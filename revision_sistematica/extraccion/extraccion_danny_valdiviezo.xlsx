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Extraccion" sheetId="2" state="visible" r:id="rId2"/>
    <sheet xmlns:r="http://schemas.openxmlformats.org/officeDocument/2006/relationships" name="Revistas" sheetId="3" state="visible" r:id="rId3"/>
    <sheet xmlns:r="http://schemas.openxmlformats.org/officeDocument/2006/relationships" name="Listas" sheetId="4" state="visible" r:id="rId4"/>
    <sheet xmlns:r="http://schemas.openxmlformats.org/officeDocument/2006/relationships" name="Diccionario" sheetId="5" state="visible" r:id="rId5"/>
    <sheet xmlns:r="http://schemas.openxmlformats.org/officeDocument/2006/relationships" name="Ejemplo" sheetId="6" state="visible" r:id="rId6"/>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color rgb="000563C1"/>
      <u val="single"/>
    </font>
  </fonts>
  <fills count="5">
    <fill>
      <patternFill/>
    </fill>
    <fill>
      <patternFill patternType="gray125"/>
    </fill>
    <fill>
      <patternFill patternType="solid">
        <fgColor rgb="001F4E79"/>
      </patternFill>
    </fill>
    <fill>
      <patternFill patternType="solid">
        <fgColor rgb="00EDEDED"/>
      </patternFill>
    </fill>
    <fill>
      <patternFill patternType="solid">
        <fgColor rgb="00FFF2CC"/>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2" borderId="0" applyAlignment="1" pivotButton="0" quotePrefix="0" xfId="0">
      <alignment vertical="center" wrapText="1"/>
    </xf>
    <xf numFmtId="0" fontId="0" fillId="3" borderId="0" pivotButton="0" quotePrefix="0" xfId="0"/>
    <xf numFmtId="0" fontId="3" fillId="3" borderId="0" pivotButton="0" quotePrefix="0" xfId="0"/>
    <xf numFmtId="0" fontId="0" fillId="4" borderId="0" pivotButton="0" quotePrefix="0" xfId="0"/>
    <xf numFmtId="0" fontId="2" fillId="2"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Guía de extracción</author>
  </authors>
  <commentList>
    <comment ref="A1" authorId="0" shapeId="0">
      <text>
        <t>Clave con la que se cruzan las dos extracciones. NO la modifique.</t>
      </text>
    </comment>
    <comment ref="B1" authorId="0" shapeId="0">
      <text>
        <t>Posición en el pozo cribado.</t>
      </text>
    </comment>
    <comment ref="F1" authorId="0" shapeId="0">
      <text>
        <t>Artículo, resumen de congreso o ficha de registro.</t>
      </text>
    </comment>
    <comment ref="G1" authorId="0" shapeId="0">
      <text>
        <t>DOI, PMID o identificador de registro.</t>
      </text>
    </comment>
    <comment ref="H1" authorId="0" shapeId="0">
      <text>
        <t>Clic para abrirlo en el navegador.</t>
      </text>
    </comment>
    <comment ref="I1" authorId="0" shapeId="0">
      <text>
        <t>Apellido del primer autor pegado al año: Tkhilaishvili2020. Sin espacios ni tildes.</t>
      </text>
    </comment>
    <comment ref="J1" authorId="0" shapeId="0">
      <text>
        <t>A si el estudio da un solo grupo de datos. Si separa desenlaces por clase de resistencia, usa A, B, C.</t>
      </text>
    </comment>
    <comment ref="K1" authorId="0" shapeId="0">
      <text>
        <t>Solo Pseudomonas si todos los pacientes tenían P. aeruginosa. Mixto si había otras bacterias PERO el artículo permite separar los de Pseudomonas.</t>
      </text>
    </comment>
    <comment ref="L1" authorId="0" shapeId="0">
      <text>
        <t>MDR, XDR o PDR según Magiorakos. Si el antibiograma no alcanza para clasificar, pon 'no clasificable'.</t>
      </text>
    </comment>
    <comment ref="M1" authorId="0" shapeId="0">
      <text>
        <t>¿Lo dice el autor y lo aceptaste, o lo verificaste tú con el antibiograma? Importa para el riesgo de sesgo.</t>
      </text>
    </comment>
    <comment ref="N1" authorId="0" shapeId="0">
      <text>
        <t>Difficult-to-Treat Resistance (Kadri 2018, PMID 30052813). NO es MDR con otro nombre: pregunta si se agotaron los antibióticos de PRIMERA LÍNEA (carbapenémicos, otros betalactámicos, fluoroquinolonas). Los de RESERVA -- colistina, aminoglucósidos, tigeciclina -- y los posteriores a 2018 -- ceftazidima-avibactam, cefiderocol -- NO cuentan: son aquello a lo que el DTR obliga a recurrir.
SÍ: el artículo documenta sensibilidad SOLO a agentes de reserva.
NO: basta UN agente de primera línea sensible documentado.
NO DERIVABLE: el resto.
Ojo: esta revisión ya definió mal este campo una vez (exigía 'todos los betalactámicos', más estricto que Kadri) y fabricó no-derivabilidad. Si duda entre 'no' y 'no derivable', mire si hay UN solo agente de primera línea sensible.</t>
      </text>
    </comment>
    <comment ref="O1" authorId="0" shapeId="0">
      <text>
        <t>Por dónde se administró el fago. Si fueron varias vías, elige 'otra' y explica en el paréntesis.</t>
      </text>
    </comment>
    <comment ref="P1" authorId="0" shapeId="0">
      <text>
        <t>¿El fago fue solo, o junto con antibióticos?</t>
      </text>
    </comment>
    <comment ref="Q1" authorId="0" shapeId="0">
      <text>
        <t>Lo que el artículo ES, no lo que dice ser. Un 'estudio' de un paciente es un caso clínico.</t>
      </text>
    </comment>
    <comment ref="R1" authorId="0" shapeId="0">
      <text>
        <t>COMPLETA si sacaste todo lo que el artículo daba. PARCIAL o INCOMPLETA si te faltó algo, y explícalo en la última columna.</t>
      </text>
    </comment>
    <comment ref="S1" authorId="0" shapeId="0">
      <text>
        <t>Cuántos pacientes hay en ESTE brazo, no en todo el estudio.</t>
      </text>
    </comment>
    <comment ref="T1" authorId="0" shapeId="0">
      <text>
        <t>Cuántos pacientes de este brazo mejoraron, según la definición del propio autor. Si no lo reporta, NA.</t>
      </text>
    </comment>
    <comment ref="U1" authorId="0" shapeId="0">
      <text>
        <t>Cuántos pacientes tuvieron algún evento adverso. Cero notificados se escribe 0, no NA.</t>
      </text>
    </comment>
    <comment ref="V1" authorId="0" shapeId="0">
      <text>
        <t>En cuántos desapareció la bacteria en cultivo.</t>
      </text>
    </comment>
    <comment ref="W1" authorId="0" shapeId="0">
      <text>
        <t>Cuántos fallecieron durante el seguimiento.</t>
      </text>
    </comment>
    <comment ref="X1" authorId="0" shapeId="0">
      <text>
        <t>Días de hospitalización. Casi ningún caso clínico lo reporta: NA es lo normal aquí.</t>
      </text>
    </comment>
    <comment ref="Y1" authorId="0" shapeId="0">
      <text>
        <t>En cuántos apareció resistencia al fago durante el tratamiento.</t>
      </text>
    </comment>
    <comment ref="Z1" authorId="0" shapeId="0">
      <text>
        <t>Año del artículo.</t>
      </text>
    </comment>
    <comment ref="AA1" authorId="0" shapeId="0">
      <text>
        <t>COPIA la definición del autor, no escribas la tuya. Es lo que después permite ver si todos midieron lo mismo.</t>
      </text>
    </comment>
    <comment ref="AB1" authorId="0" shapeId="0">
      <text>
        <t>Nombre de la revista, y si es de alto o medio impacto: 'alto (Nature Microbiology)'.</t>
      </text>
    </comment>
    <comment ref="AC1" authorId="0" shapeId="0">
      <text>
        <t>País y ciudad si consta: 'Alemania (Berlín)'.</t>
      </text>
    </comment>
    <comment ref="AD1" authorId="0" shapeId="0">
      <text>
        <t>Página, tabla o figura de donde sacaste los números: 'p.3 Results, Tabla 2'. Obligatorio para cualquier cifra.</t>
      </text>
    </comment>
    <comment ref="AE1" authorId="0" shapeId="0">
      <text>
        <t>Qué faltó y por qué. NA si no faltó nada.</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pubmed.ncbi.nlm.nih.gov/40593506/" TargetMode="External" Id="rId1"/><Relationship Type="http://schemas.openxmlformats.org/officeDocument/2006/relationships/hyperlink" Target="https://pubmed.ncbi.nlm.nih.gov/30292481/" TargetMode="External" Id="rId2"/><Relationship Type="http://schemas.openxmlformats.org/officeDocument/2006/relationships/hyperlink" Target="https://pubmed.ncbi.nlm.nih.gov/36578069/" TargetMode="External" Id="rId3"/><Relationship Type="http://schemas.openxmlformats.org/officeDocument/2006/relationships/hyperlink" Target="https://doi.org/10.1136/bmjresp-2022-001360" TargetMode="External" Id="rId4"/><Relationship Type="http://schemas.openxmlformats.org/officeDocument/2006/relationships/hyperlink" Target="https://doi.org/10.1016/j.jddst.2023.104486" TargetMode="External" Id="rId5"/><Relationship Type="http://schemas.openxmlformats.org/officeDocument/2006/relationships/hyperlink" Target="https://doi.org/10.3390/biomedicines13092103" TargetMode="External" Id="rId6"/><Relationship Type="http://schemas.openxmlformats.org/officeDocument/2006/relationships/hyperlink" Target="https://doi.org/10.1136/bmjopen-2022-065401" TargetMode="External" Id="rId7"/><Relationship Type="http://schemas.openxmlformats.org/officeDocument/2006/relationships/hyperlink" Target="https://doi.org/10.5005/jp-journals-10071-25143" TargetMode="External" Id="rId8"/><Relationship Type="http://schemas.openxmlformats.org/officeDocument/2006/relationships/hyperlink" Target="https://doi.org/10.36740/wlek202106129" TargetMode="External" Id="rId9"/><Relationship Type="http://schemas.openxmlformats.org/officeDocument/2006/relationships/hyperlink" Target="https://pubmed.ncbi.nlm.nih.gov/36851713/" TargetMode="External" Id="rId10"/><Relationship Type="http://schemas.openxmlformats.org/officeDocument/2006/relationships/hyperlink" Target="https://pubmed.ncbi.nlm.nih.gov/39740667/" TargetMode="External" Id="rId11"/><Relationship Type="http://schemas.openxmlformats.org/officeDocument/2006/relationships/hyperlink" Target="https://clinicaltrials.gov/study/NCT04684641" TargetMode="External" Id="rId12"/><Relationship Type="http://schemas.openxmlformats.org/officeDocument/2006/relationships/hyperlink" Target="https://trialsearch.who.int/?TrialID=cita: Int J Diabetes Dev Ctries 2025" TargetMode="External" Id="rId13"/><Relationship Type="http://schemas.openxmlformats.org/officeDocument/2006/relationships/hyperlink" Target="https://pubmed.ncbi.nlm.nih.gov/40103254/" TargetMode="External" Id="rId14"/><Relationship Type="http://schemas.openxmlformats.org/officeDocument/2006/relationships/hyperlink" Target="https://pubmed.ncbi.nlm.nih.gov/41885494/" TargetMode="External" Id="rId15"/><Relationship Type="http://schemas.openxmlformats.org/officeDocument/2006/relationships/hyperlink" Target="https://pubmed.ncbi.nlm.nih.gov/32949500/" TargetMode="External" Id="rId16"/><Relationship Type="http://schemas.openxmlformats.org/officeDocument/2006/relationships/hyperlink" Target="https://doi.org/10.4103/ijpam.ijpam_1_24" TargetMode="External" Id="rId17"/><Relationship Type="http://schemas.openxmlformats.org/officeDocument/2006/relationships/hyperlink" Target="https://pubmed.ncbi.nlm.nih.gov/38233034/" TargetMode="External" Id="rId18"/><Relationship Type="http://schemas.openxmlformats.org/officeDocument/2006/relationships/hyperlink" Target="https://doi.org/10.1177/15347346211072779" TargetMode="External" Id="rId19"/><Relationship Type="http://schemas.openxmlformats.org/officeDocument/2006/relationships/hyperlink" Target="https://trialsearch.who.int/?TrialID=cita: Surgical Chronicles 2016" TargetMode="External" Id="rId20"/><Relationship Type="http://schemas.openxmlformats.org/officeDocument/2006/relationships/hyperlink" Target="https://pubmed.ncbi.nlm.nih.gov/35175218/" TargetMode="External" Id="rId21"/><Relationship Type="http://schemas.openxmlformats.org/officeDocument/2006/relationships/hyperlink" Target="https://trialsearch.who.int/?TrialID=cita: Nephrol Dial Transplant 2020 (resumen de congreso)" TargetMode="External" Id="rId22"/><Relationship Type="http://schemas.openxmlformats.org/officeDocument/2006/relationships/hyperlink" Target="https://doi.org/10.17116/hirurgia202309145" TargetMode="External" Id="rId23"/><Relationship Type="http://schemas.openxmlformats.org/officeDocument/2006/relationships/hyperlink" Target="https://doi.org/10.1038/s41591-025-03678-8" TargetMode="External" Id="rId24"/><Relationship Type="http://schemas.openxmlformats.org/officeDocument/2006/relationships/hyperlink" Target="https://doi.org/10.1038/s41591-025-03678-8" TargetMode="External" Id="rId25"/><Relationship Type="http://schemas.openxmlformats.org/officeDocument/2006/relationships/hyperlink" Target="https://doi.org/10.1177/23247096231188243" TargetMode="External" Id="rId26"/><Relationship Type="http://schemas.openxmlformats.org/officeDocument/2006/relationships/hyperlink" Target="https://doi.org/10.3390/antibiotics12121734" TargetMode="External" Id="rId27"/><Relationship Type="http://schemas.openxmlformats.org/officeDocument/2006/relationships/hyperlink" Target="https://doi.org/10.1002/mlf2.70042" TargetMode="External" Id="rId28"/><Relationship Type="http://schemas.openxmlformats.org/officeDocument/2006/relationships/hyperlink" Target="https://doi.org/10.1097/cu9.0000000000000268" TargetMode="External" Id="rId29"/><Relationship Type="http://schemas.openxmlformats.org/officeDocument/2006/relationships/hyperlink" Target="https://doi.org/10.3390/antibiotics9050232" TargetMode="External" Id="rId30"/><Relationship Type="http://schemas.openxmlformats.org/officeDocument/2006/relationships/hyperlink" Target="https://doi.org/10.15789/1563-0625-pti-2012" TargetMode="External" Id="rId31"/><Relationship Type="http://schemas.openxmlformats.org/officeDocument/2006/relationships/hyperlink" Target="https://doi.org/10.1128/aac.01728-23" TargetMode="External" Id="rId32"/><Relationship Type="http://schemas.openxmlformats.org/officeDocument/2006/relationships/hyperlink" Target="https://doi.org/10.1089/phage.2020.0010" TargetMode="External" Id="rId33"/><Relationship Type="http://schemas.openxmlformats.org/officeDocument/2006/relationships/hyperlink" Target="https://doi.org/10.3390/ijms27010172" TargetMode="External" Id="rId34"/><Relationship Type="http://schemas.openxmlformats.org/officeDocument/2006/relationships/hyperlink" Target="https://doi.org/10.1038/s41564-024-01705-x" TargetMode="External" Id="rId35"/><Relationship Type="http://schemas.openxmlformats.org/officeDocument/2006/relationships/hyperlink" Target="https://doi.org/10.3390/v11030265" TargetMode="External" Id="rId36"/><Relationship Type="http://schemas.openxmlformats.org/officeDocument/2006/relationships/hyperlink" Target="https://doi.org/10.1007/s12223-020-00835-z" TargetMode="External" Id="rId37"/><Relationship Type="http://schemas.openxmlformats.org/officeDocument/2006/relationships/hyperlink" Target="https://pubmed.ncbi.nlm.nih.gov/30131795/" TargetMode="External" Id="rId38"/><Relationship Type="http://schemas.openxmlformats.org/officeDocument/2006/relationships/hyperlink" Target="https://doi.org/10.1093/cid/ciad335" TargetMode="External" Id="rId39"/><Relationship Type="http://schemas.openxmlformats.org/officeDocument/2006/relationships/hyperlink" Target="https://doi.org/10.3390/antibiotics14010087" TargetMode="External" Id="rId40"/><Relationship Type="http://schemas.openxmlformats.org/officeDocument/2006/relationships/hyperlink" Target="https://doi.org/10.1016/j.virusres.2024.199442" TargetMode="External" Id="rId41"/><Relationship Type="http://schemas.openxmlformats.org/officeDocument/2006/relationships/hyperlink" Target="https://doi.org/10.1016/j.medj.2023.07.002" TargetMode="External" Id="rId42"/><Relationship Type="http://schemas.openxmlformats.org/officeDocument/2006/relationships/hyperlink" Target="https://doi.org/10.1016/j.medj.2023.07.002" TargetMode="External" Id="rId43"/><Relationship Type="http://schemas.openxmlformats.org/officeDocument/2006/relationships/hyperlink" Target="https://doi.org/10.1016/j.medj.2023.07.002" TargetMode="External" Id="rId44"/><Relationship Type="http://schemas.openxmlformats.org/officeDocument/2006/relationships/hyperlink" Target="https://doi.org/10.1016/j.medj.2023.07.002" TargetMode="External" Id="rId45"/><Relationship Type="http://schemas.openxmlformats.org/officeDocument/2006/relationships/hyperlink" Target="https://doi.org/10.1016/j.medj.2023.07.002" TargetMode="External" Id="rId46"/><Relationship Type="http://schemas.openxmlformats.org/officeDocument/2006/relationships/hyperlink" Target="https://doi.org/10.1016/j.medj.2024.05.017" TargetMode="External" Id="rId47"/><Relationship Type="http://schemas.openxmlformats.org/officeDocument/2006/relationships/hyperlink" Target="https://doi.org/10.1016/j.jiac.2025.102770" TargetMode="External" Id="rId48"/><Relationship Type="http://schemas.openxmlformats.org/officeDocument/2006/relationships/hyperlink" Target="https://doi.org/10.1016/j.medmic.2026.100178" TargetMode="External" Id="rId49"/><Relationship Type="http://schemas.openxmlformats.org/officeDocument/2006/relationships/hyperlink" Target="https://doi.org/10.1093/ofid/ofaa389" TargetMode="External" Id="rId50"/><Relationship Type="http://schemas.openxmlformats.org/officeDocument/2006/relationships/hyperlink" Target="https://doi.org/10.3390/v13101901" TargetMode="External" Id="rId51"/><Relationship Type="http://schemas.openxmlformats.org/officeDocument/2006/relationships/hyperlink" Target="https://doi.org/10.1016/j.ijantimicag.2024.107372" TargetMode="External" Id="rId52"/><Relationship Type="http://schemas.openxmlformats.org/officeDocument/2006/relationships/hyperlink" Target="https://doi.org/10.20953/1729-9225-2017-1-35-40" TargetMode="External" Id="rId53"/><Relationship Type="http://schemas.openxmlformats.org/officeDocument/2006/relationships/hyperlink" Target="https://doi.org/10.1111/ajt.15503" TargetMode="External" Id="rId54"/><Relationship Type="http://schemas.openxmlformats.org/officeDocument/2006/relationships/hyperlink" Target="https://doi.org/10.1093/ofid/ofad221" TargetMode="External" Id="rId55"/><Relationship Type="http://schemas.openxmlformats.org/officeDocument/2006/relationships/hyperlink" Target="https://doi.org/10.1177/1534734619835115" TargetMode="External" Id="rId56"/><Relationship Type="http://schemas.openxmlformats.org/officeDocument/2006/relationships/hyperlink" Target="https://doi.org/10.1093/cid/ciac694" TargetMode="External" Id="rId57"/><Relationship Type="http://schemas.openxmlformats.org/officeDocument/2006/relationships/hyperlink" Target="https://doi.org/10.3390/antibiotics10060627" TargetMode="External" Id="rId58"/><Relationship Type="http://schemas.openxmlformats.org/officeDocument/2006/relationships/hyperlink" Target="https://doi.org/10.1016/j.healun.2022.01.018" TargetMode="External" Id="rId59"/><Relationship Type="http://schemas.openxmlformats.org/officeDocument/2006/relationships/hyperlink" Target="https://doi.org/10.2217/fmb-2016-0156" TargetMode="External" Id="rId60"/><Relationship Type="http://schemas.openxmlformats.org/officeDocument/2006/relationships/hyperlink" Target="https://trialsearch.who.int/?TrialID=cita: Eur Urol Suppl 2016 (informe previo del grupo de Leitner)" TargetMode="External" Id="rId61"/><Relationship Type="http://schemas.openxmlformats.org/officeDocument/2006/relationships/hyperlink" Target="https://doi.org/10.3390/v11100891" TargetMode="External" Id="rId62"/><Relationship Type="http://schemas.openxmlformats.org/officeDocument/2006/relationships/hyperlink" Target="https://doi.org/10.1177/1534734619881076" TargetMode="External" Id="rId63"/><Relationship Type="http://schemas.openxmlformats.org/officeDocument/2006/relationships/hyperlink" Target="https://doi.org/10.1016/j.bjps.2026.06.028" TargetMode="External" Id="rId64"/><Relationship Type="http://schemas.openxmlformats.org/officeDocument/2006/relationships/hyperlink" Target="https://doi.org/10.3389/fmed.2021.569159" TargetMode="External" Id="rId65"/><Relationship Type="http://schemas.openxmlformats.org/officeDocument/2006/relationships/hyperlink" Target="https://doi.org/10.3389/fmed.2023.1199657" TargetMode="External" Id="rId66"/><Relationship Type="http://schemas.openxmlformats.org/officeDocument/2006/relationships/hyperlink" Target="https://doi.org/10.3390/v16071080" TargetMode="External" Id="rId67"/><Relationship Type="http://schemas.openxmlformats.org/officeDocument/2006/relationships/hyperlink" Target="https://doi.org/10.3389/fphar.2021.692614" TargetMode="External" Id="rId68"/><Relationship Type="http://schemas.openxmlformats.org/officeDocument/2006/relationships/hyperlink" Target="https://doi.org/10.1038/s41467-022-31837-9" TargetMode="External" Id="rId69"/><Relationship Type="http://schemas.openxmlformats.org/officeDocument/2006/relationships/hyperlink" Target="https://doi.org/10.1038/s41598-025-17510-3" TargetMode="External" Id="rId70"/><Relationship Type="http://schemas.openxmlformats.org/officeDocument/2006/relationships/hyperlink" Target="https://doi.org/10.1038/s41467-026-74326-z" TargetMode="External" Id="rId71"/><Relationship Type="http://schemas.openxmlformats.org/officeDocument/2006/relationships/hyperlink" Target="https://doi.org/10.5582/bst.2022.01147" TargetMode="External" Id="rId72"/><Relationship Type="http://schemas.openxmlformats.org/officeDocument/2006/relationships/hyperlink" Target="https://doi.org/10.3389/fmed.2022.851310" TargetMode="External" Id="rId73"/><Relationship Type="http://schemas.openxmlformats.org/officeDocument/2006/relationships/hyperlink" Target="https://doi.org/10.7759/cureus.77681" TargetMode="External" Id="rId74"/><Relationship Type="http://schemas.openxmlformats.org/officeDocument/2006/relationships/hyperlink" Target="https://doi.org/10.1038/s41467-025-59806-y" TargetMode="External" Id="rId75"/><Relationship Type="http://schemas.openxmlformats.org/officeDocument/2006/relationships/hyperlink" Target="https://doi.org/10.1038/s41467-023-39370-z" TargetMode="External" Id="rId76"/><Relationship Type="http://schemas.openxmlformats.org/officeDocument/2006/relationships/hyperlink" Target="https://doi.org/10.1128/asmcr.00108-25" TargetMode="External" Id="rId77"/><Relationship Type="http://schemas.openxmlformats.org/officeDocument/2006/relationships/hyperlink" Target="https://doi.org/10.1177/11795476251411094" TargetMode="External" Id="rId78"/><Relationship Type="http://schemas.openxmlformats.org/officeDocument/2006/relationships/hyperlink" Target="https://doi.org/10.2147/idr.s413900" TargetMode="External" Id="rId79"/><Relationship Type="http://schemas.openxmlformats.org/officeDocument/2006/relationships/hyperlink" Target="https://doi.org/10.1038/s41598-024-52192-3" TargetMode="External" Id="rId80"/><Relationship Type="http://schemas.openxmlformats.org/officeDocument/2006/relationships/hyperlink" Target="https://doi.org/10.1186/s13054-017-1709-y" TargetMode="External" Id="rId81"/><Relationship Type="http://schemas.openxmlformats.org/officeDocument/2006/relationships/hyperlink" Target="https://doi.org/10.1128/aac.00924-19" TargetMode="External" Id="rId82"/><Relationship Type="http://schemas.openxmlformats.org/officeDocument/2006/relationships/hyperlink" Target="https://doi.org/10.1093/ofid/ofad051" TargetMode="External" Id="rId83"/><Relationship Type="http://schemas.openxmlformats.org/officeDocument/2006/relationships/hyperlink" Target="https://doi.org/10.3389/fmed.2024.1428432" TargetMode="External" Id="rId84"/><Relationship Type="http://schemas.openxmlformats.org/officeDocument/2006/relationships/hyperlink" Target="https://doi.org/10.3390/antibiotics13100916" TargetMode="External" Id="rId85"/><Relationship Type="http://schemas.openxmlformats.org/officeDocument/2006/relationships/hyperlink" Target="https://doi.org/10.3390/v17010123" TargetMode="External" Id="rId86"/><Relationship Type="http://schemas.openxmlformats.org/officeDocument/2006/relationships/hyperlink" Target="https://doi.org/10.1128/asmcr.00058-24" TargetMode="External" Id="rId87"/><Relationship Type="http://schemas.openxmlformats.org/officeDocument/2006/relationships/hyperlink" Target="https://doi.org/10.1038/s41467-022-33294-w" TargetMode="External" Id="rId88"/><Relationship Type="http://schemas.openxmlformats.org/officeDocument/2006/relationships/hyperlink" Target="https://doi.org/10.1111/1751-7915.14217" TargetMode="External" Id="rId89"/><Relationship Type="http://schemas.openxmlformats.org/officeDocument/2006/relationships/hyperlink" Target="https://doi.org/10.3389/fcimb.2024.1354681" TargetMode="External" Id="rId90"/><Relationship Type="http://schemas.openxmlformats.org/officeDocument/2006/relationships/hyperlink" Target="https://doi.org/10.1093/jacamr/dlaf257" TargetMode="External" Id="rId91"/><Relationship Type="http://schemas.openxmlformats.org/officeDocument/2006/relationships/hyperlink" Target="https://doi.org/10.1038/s41467-025-68136-y" TargetMode="External" Id="rId92"/><Relationship Type="http://schemas.openxmlformats.org/officeDocument/2006/relationships/hyperlink" Target="https://doi.org/10.15252/emmm.202113936" TargetMode="External" Id="rId93"/><Relationship Type="http://schemas.openxmlformats.org/officeDocument/2006/relationships/hyperlink" Target="https://doi.org/10.1093/emph/eoy005" TargetMode="External" Id="rId94"/><Relationship Type="http://schemas.openxmlformats.org/officeDocument/2006/relationships/hyperlink" Target="https://doi.org/10.3390/antibiotics11101358" TargetMode="External" Id="rId95"/><Relationship Type="http://schemas.openxmlformats.org/officeDocument/2006/relationships/hyperlink" Target="https://doi.org/10.3390/v15051210" TargetMode="External" Id="rId96"/><Relationship Type="http://schemas.openxmlformats.org/officeDocument/2006/relationships/hyperlink" Target="https://doi.org/10.3390/antibiotics14020114" TargetMode="External" Id="rId97"/><Relationship Type="http://schemas.openxmlformats.org/officeDocument/2006/relationships/hyperlink" Target="https://doi.org/10.1038/s41467-025-65939-x" TargetMode="External" Id="rId98"/><Relationship Type="http://schemas.openxmlformats.org/officeDocument/2006/relationships/hyperlink" Target="https://doi.org/10.3389/fmed.2020.00342" TargetMode="External" Id="rId99"/><Relationship Type="http://schemas.openxmlformats.org/officeDocument/2006/relationships/hyperlink" Target="https://doi.org/10.3390/antibiotics11050602" TargetMode="External" Id="rId100"/><Relationship Type="http://schemas.openxmlformats.org/officeDocument/2006/relationships/hyperlink" Target="https://doi.org/10.3389/fmed.2023.1238147" TargetMode="External" Id="rId101"/><Relationship Type="http://schemas.openxmlformats.org/officeDocument/2006/relationships/hyperlink" Target="https://doi.org/10.3390/antibiotics11101310" TargetMode="External" Id="rId102"/><Relationship Type="http://schemas.openxmlformats.org/officeDocument/2006/relationships/hyperlink" Target="https://doi.org/10.1007/s15010-019-01319-0" TargetMode="External" Id="rId103"/><Relationship Type="http://schemas.openxmlformats.org/officeDocument/2006/relationships/hyperlink" Target="https://doi.org/10.1016/j.ijid.2026.108756" TargetMode="External" Id="rId104"/><Relationship Type="http://schemas.openxmlformats.org/officeDocument/2006/relationships/hyperlink" Target="https://doi.org/10.1016/j.hlife.2025.03.004" TargetMode="External" Id="rId105"/><Relationship Type="http://schemas.openxmlformats.org/officeDocument/2006/relationships/hyperlink" Target="https://doi.org/10.1093/jacamr/dlac046" TargetMode="External" Id="rId106"/><Relationship Type="http://schemas.openxmlformats.org/officeDocument/2006/relationships/hyperlink" Target="https://doi.org/10.1080/1120009x.2025.2547147" TargetMode="External" Id="rId107"/><Relationship Type="http://schemas.openxmlformats.org/officeDocument/2006/relationships/hyperlink" Target="https://doi.org/10.1093/jpids/pix056" TargetMode="External" Id="rId108"/><Relationship Type="http://schemas.openxmlformats.org/officeDocument/2006/relationships/hyperlink" Target="https://doi.org/10.1164/rccm.201904-0839le" TargetMode="External" Id="rId109"/><Relationship Type="http://schemas.openxmlformats.org/officeDocument/2006/relationships/hyperlink" Target="https://doi.org/10.1016/s1473-3099(26)00176-3" TargetMode="External" Id="rId110"/><Relationship Type="http://schemas.openxmlformats.org/officeDocument/2006/relationships/hyperlink" Target="https://doi.org/10.1016/j.jpeds.2026.115005" TargetMode="External" Id="rId111"/><Relationship Type="http://schemas.openxmlformats.org/officeDocument/2006/relationships/hyperlink" Target="https://doi.org/10.20953/1729-9225-2017-4-49-54" TargetMode="External" Id="rId112"/><Relationship Type="http://schemas.openxmlformats.org/officeDocument/2006/relationships/hyperlink" Target="https://doi.org/10.1093/infdis/jiac368" TargetMode="External" Id="rId113"/><Relationship Type="http://schemas.openxmlformats.org/officeDocument/2006/relationships/hyperlink" Target="https://doi.org/10.1097/mao.0000000000004417" TargetMode="External" Id="rId114"/><Relationship Type="http://schemas.openxmlformats.org/officeDocument/2006/relationships/hyperlink" Target="https://doi.org/10.3390/v11010018" TargetMode="External" Id="rId115"/><Relationship Type="http://schemas.openxmlformats.org/officeDocument/2006/relationships/hyperlink" Target="https://doi.org/10.1016/j.ijantimicag.2025.107629" TargetMode="External" Id="rId116"/><Relationship Type="http://schemas.openxmlformats.org/officeDocument/2006/relationships/hyperlink" Target="https://doi.org/10.1016/j.eimc.2025.05.008" TargetMode="External" Id="rId117"/><Relationship Type="http://schemas.openxmlformats.org/officeDocument/2006/relationships/hyperlink" Target="https://doi.org/10.1097/qco.0000000000000658" TargetMode="External" Id="rId118"/><Relationship Type="http://schemas.openxmlformats.org/officeDocument/2006/relationships/hyperlink" Target="https://doi.org/10.3390/v13081543" TargetMode="External" Id="rId119"/><Relationship Type="http://schemas.openxmlformats.org/officeDocument/2006/relationships/hyperlink" Target="https://doi.org/10.1093/jac/dky263" TargetMode="External" Id="rId120"/><Relationship Type="http://schemas.openxmlformats.org/officeDocument/2006/relationships/hyperlink" Target="https://doi.org/10.1007/978-1-0716-3523-0_15" TargetMode="External" Id="rId121"/><Relationship Type="http://schemas.openxmlformats.org/officeDocument/2006/relationships/hyperlink" Target="https://doi.org/10.1016/j.ijantimicag.2025.107613" TargetMode="External" Id="rId122"/><Relationship Type="http://schemas.openxmlformats.org/officeDocument/2006/relationships/hyperlink" Target="https://doi.org/10.1016/j.healun.2019.01.001" TargetMode="External" Id="rId123"/><Relationship Type="http://schemas.openxmlformats.org/officeDocument/2006/relationships/hyperlink" Target="https://doi.org/10.17116/hirurgia2023121123" TargetMode="External" Id="rId124"/><Relationship Type="http://schemas.openxmlformats.org/officeDocument/2006/relationships/hyperlink" Target="https://doi.org/10.1016/j.avsurg.2024.100302" TargetMode="External" Id="rId125"/><Relationship Type="http://schemas.openxmlformats.org/officeDocument/2006/relationships/hyperlink" Target="https://doi.org/10.1016/j.jdcr.2026.06.010" TargetMode="External" Id="rId126"/><Relationship Type="http://schemas.openxmlformats.org/officeDocument/2006/relationships/hyperlink" Target="https://trialsearch.who.int/?TrialID=cita: Rev Cubana Angiol Cir Vasc 2017" TargetMode="External" Id="rId127"/><Relationship Type="http://schemas.openxmlformats.org/officeDocument/2006/relationships/hyperlink" Target="https://doi.org/10.1093/europace/euz319" TargetMode="External" Id="rId128"/><Relationship Type="http://schemas.openxmlformats.org/officeDocument/2006/relationships/hyperlink" Target="https://doi.org/10.1093/ejcts/ezz295" TargetMode="External" Id="rId129"/><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 t="inlineStr">
        <is>
          <t>Formulario de extracción — Danny Valdiviezo</t>
        </is>
      </c>
    </row>
    <row r="2">
      <c r="A2" t="inlineStr">
        <is>
          <t>2026-08-11 · los 124 estudios extraíbles</t>
        </is>
      </c>
    </row>
    <row r="3">
      <c r="A3" t="inlineStr"/>
    </row>
    <row r="4">
      <c r="A4" s="1" t="inlineStr">
        <is>
          <t>Empiece por la hoja Ejemplo. Son dos estudios ya resueltos.</t>
        </is>
      </c>
    </row>
    <row r="5">
      <c r="A5" t="inlineStr"/>
    </row>
    <row r="6">
      <c r="A6" s="1" t="inlineStr">
        <is>
          <t>Lo que no debe hacer</t>
        </is>
      </c>
    </row>
    <row r="7">
      <c r="A7" t="inlineStr">
        <is>
          <t>No abra el formulario del otro revisor ni el archivo de extracción del proyecto.</t>
        </is>
      </c>
    </row>
    <row r="8">
      <c r="A8" t="inlineStr">
        <is>
          <t>Hay 42 estudios que ya se extrajeron y aun así salen en blanco aquí, a propósito:</t>
        </is>
      </c>
    </row>
    <row r="9">
      <c r="A9" t="inlineStr">
        <is>
          <t>la comparación posterior solo mide algo si usted no vio lo que puso el otro.</t>
        </is>
      </c>
    </row>
    <row r="10">
      <c r="A10" t="inlineStr"/>
    </row>
    <row r="11">
      <c r="A11" s="1" t="inlineStr">
        <is>
          <t>Las columnas</t>
        </is>
      </c>
    </row>
    <row r="12">
      <c r="A12" t="inlineStr">
        <is>
          <t>Grises (A a G): identifican el estudio. No se tocan. La primera, Nº, es la clave</t>
        </is>
      </c>
    </row>
    <row r="13">
      <c r="A13" t="inlineStr">
        <is>
          <t>con la que se cruzan las dos extracciones; si la cambia, se rompe el cruce.</t>
        </is>
      </c>
    </row>
    <row r="14">
      <c r="A14" t="inlineStr">
        <is>
          <t>Amarillas: son suyas. Pase el ratón por cada encabezado y sale una nota</t>
        </is>
      </c>
    </row>
    <row r="15">
      <c r="A15" t="inlineStr">
        <is>
          <t>explicando qué va en esa columna.</t>
        </is>
      </c>
    </row>
    <row r="16">
      <c r="A16" t="inlineStr"/>
    </row>
    <row r="17">
      <c r="A17" s="1" t="inlineStr">
        <is>
          <t>Una fila por brazo</t>
        </is>
      </c>
    </row>
    <row r="18">
      <c r="A18" t="inlineStr">
        <is>
          <t>Un brazo es un grupo de pacientes cuyos desenlaces el artículo permite contar</t>
        </is>
      </c>
    </row>
    <row r="19">
      <c r="A19" t="inlineStr">
        <is>
          <t>aparte. Casi siempre eso significa clase de resistencia, no grupo de tratamiento.</t>
        </is>
      </c>
    </row>
    <row r="20">
      <c r="A20" t="inlineStr">
        <is>
          <t>Si hay varios: copie la fila entera, péguela debajo, deje el mismo Nº y cambie</t>
        </is>
      </c>
    </row>
    <row r="21">
      <c r="A21" t="inlineStr">
        <is>
          <t>el Brazo a B, C… Si el artículo no permite separarlos, una sola fila.</t>
        </is>
      </c>
    </row>
    <row r="22">
      <c r="A22" t="inlineStr"/>
    </row>
    <row r="23">
      <c r="A23" s="1" t="inlineStr">
        <is>
          <t>NA y celda vacía no son lo mismo</t>
        </is>
      </c>
    </row>
    <row r="24">
      <c r="A24" t="inlineStr">
        <is>
          <t>NA quiere decir que el artículo no lo reporta. Vacío quiere decir que usted</t>
        </is>
      </c>
    </row>
    <row r="25">
      <c r="A25" t="inlineStr">
        <is>
          <t>todavía no lo ha mirado. El programa que compara los distingue.</t>
        </is>
      </c>
    </row>
    <row r="26">
      <c r="A26" t="inlineStr"/>
    </row>
    <row r="27">
      <c r="A27" s="1" t="inlineStr">
        <is>
          <t>Los desplegables admiten texto</t>
        </is>
      </c>
    </row>
    <row r="28">
      <c r="A28" t="inlineStr">
        <is>
          <t>Si ninguna opción encaja, escriba encima: otra (instilación intravesical).</t>
        </is>
      </c>
    </row>
    <row r="29">
      <c r="A29" t="inlineStr">
        <is>
          <t>Lo que va entre paréntesis no afecta a la concordancia, así que explíquese.</t>
        </is>
      </c>
    </row>
    <row r="30">
      <c r="A30" t="inlineStr"/>
    </row>
    <row r="31">
      <c r="A31" s="1" t="inlineStr">
        <is>
          <t>Al terminar</t>
        </is>
      </c>
    </row>
    <row r="32">
      <c r="A32" t="inlineStr">
        <is>
          <t>Guarde el archivo sin cambiarle el nombre y devuélvalo a quien coordina.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E130"/>
  <sheetViews>
    <sheetView workbookViewId="0">
      <pane xSplit="8" ySplit="1" topLeftCell="I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58" customWidth="1" min="3" max="3"/>
    <col width="24" customWidth="1" min="4" max="4"/>
    <col width="6" customWidth="1" min="5" max="5"/>
    <col width="17" customWidth="1" min="6" max="6"/>
    <col width="24" customWidth="1" min="7" max="7"/>
    <col width="16" customWidth="1" min="8" max="8"/>
    <col width="22" customWidth="1" min="9" max="9"/>
    <col width="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42" customWidth="1" min="27" max="27"/>
    <col width="26" customWidth="1" min="28" max="28"/>
    <col width="20" customWidth="1" min="29" max="29"/>
    <col width="32" customWidth="1" min="30" max="30"/>
    <col width="30" customWidth="1" min="31" max="31"/>
  </cols>
  <sheetData>
    <row r="1" ht="46" customHeight="1">
      <c r="A1" s="2" t="inlineStr">
        <is>
          <t>Nº</t>
        </is>
      </c>
      <c r="B1" s="2" t="inlineStr">
        <is>
          <t>Pos.</t>
        </is>
      </c>
      <c r="C1" s="2" t="inlineStr">
        <is>
          <t>Título del artículo</t>
        </is>
      </c>
      <c r="D1" s="2" t="inlineStr">
        <is>
          <t>Revista</t>
        </is>
      </c>
      <c r="E1" s="2" t="inlineStr">
        <is>
          <t>Año</t>
        </is>
      </c>
      <c r="F1" s="2" t="inlineStr">
        <is>
          <t>Tipo</t>
        </is>
      </c>
      <c r="G1" s="2" t="inlineStr">
        <is>
          <t>Cómo encontrarlo</t>
        </is>
      </c>
      <c r="H1" s="2" t="inlineStr">
        <is>
          <t>Abrir artículo</t>
        </is>
      </c>
      <c r="I1" s="2" t="inlineStr">
        <is>
          <t>Id del estudio (Autor+Año)</t>
        </is>
      </c>
      <c r="J1" s="2" t="inlineStr">
        <is>
          <t>Brazo</t>
        </is>
      </c>
      <c r="K1" s="2" t="inlineStr">
        <is>
          <t>¿Solo P. aeruginosa o mixto?</t>
        </is>
      </c>
      <c r="L1" s="2" t="inlineStr">
        <is>
          <t>Clase de resistencia</t>
        </is>
      </c>
      <c r="M1" s="2" t="inlineStr">
        <is>
          <t>¿De dónde sale esa clase?</t>
        </is>
      </c>
      <c r="N1" s="2" t="inlineStr">
        <is>
          <t>¿Cumple criterio DTR?</t>
        </is>
      </c>
      <c r="O1" s="2" t="inlineStr">
        <is>
          <t>Vía de administración</t>
        </is>
      </c>
      <c r="P1" s="2" t="inlineStr">
        <is>
          <t>¿Fago solo o con antibiótico?</t>
        </is>
      </c>
      <c r="Q1" s="2" t="inlineStr">
        <is>
          <t>Diseño del estudio</t>
        </is>
      </c>
      <c r="R1" s="2" t="inlineStr">
        <is>
          <t>Estado de esta extracción</t>
        </is>
      </c>
      <c r="S1" s="2" t="inlineStr">
        <is>
          <t>Pacientes en este brazo</t>
        </is>
      </c>
      <c r="T1" s="2" t="inlineStr">
        <is>
          <t>Éxito clínico (nº pacientes)</t>
        </is>
      </c>
      <c r="U1" s="2" t="inlineStr">
        <is>
          <t>Eventos adversos (nº)</t>
        </is>
      </c>
      <c r="V1" s="2" t="inlineStr">
        <is>
          <t>Erradicación microbiológica (nº)</t>
        </is>
      </c>
      <c r="W1" s="2" t="inlineStr">
        <is>
          <t>Fallecidos (nº)</t>
        </is>
      </c>
      <c r="X1" s="2" t="inlineStr">
        <is>
          <t>Estancia hospitalaria (días)</t>
        </is>
      </c>
      <c r="Y1" s="2" t="inlineStr">
        <is>
          <t>Aparición de resistencia al fago (nº)</t>
        </is>
      </c>
      <c r="Z1" s="2" t="inlineStr">
        <is>
          <t>Año de publicación</t>
        </is>
      </c>
      <c r="AA1" s="2" t="inlineStr">
        <is>
          <t>¿Cómo define el AUTOR el éxito clínico?</t>
        </is>
      </c>
      <c r="AB1" s="2" t="inlineStr">
        <is>
          <t>Nivel de la revista</t>
        </is>
      </c>
      <c r="AC1" s="2" t="inlineStr">
        <is>
          <t>País del estudio</t>
        </is>
      </c>
      <c r="AD1" s="2" t="inlineStr">
        <is>
          <t>¿Dónde viste estos datos?</t>
        </is>
      </c>
      <c r="AE1" s="2" t="inlineStr">
        <is>
          <t>Si algo quedó incompleto, ¿por qué?</t>
        </is>
      </c>
    </row>
    <row r="2">
      <c r="A2" s="3" t="inlineStr">
        <is>
          <t>EST-008</t>
        </is>
      </c>
      <c r="B2" s="3" t="n">
        <v>12</v>
      </c>
      <c r="C2" s="3" t="inlineStr">
        <is>
          <t>Phage therapy with nebulized cocktail BX004-A for chronic Pseudomonas aeruginosa infections in cystic fibrosis: a randomized first-in-human trial.</t>
        </is>
      </c>
      <c r="D2" s="3" t="inlineStr">
        <is>
          <t xml:space="preserve">Nature Communications </t>
        </is>
      </c>
      <c r="E2" s="3" t="inlineStr">
        <is>
          <t>2025</t>
        </is>
      </c>
      <c r="F2" s="3" t="inlineStr">
        <is>
          <t>articulo</t>
        </is>
      </c>
      <c r="G2" s="3" t="inlineStr">
        <is>
          <t>40593506</t>
        </is>
      </c>
      <c r="H2" s="4" t="inlineStr">
        <is>
          <t>abrir</t>
        </is>
      </c>
      <c r="I2" s="5" t="inlineStr">
        <is>
          <t>Weiner2025</t>
        </is>
      </c>
      <c r="J2" s="5" t="inlineStr">
        <is>
          <t>A</t>
        </is>
      </c>
      <c r="K2" s="5" t="inlineStr">
        <is>
          <t>solo Pseudomonas</t>
        </is>
      </c>
      <c r="L2" s="5" t="inlineStr">
        <is>
          <t>no clasificable</t>
        </is>
      </c>
      <c r="M2" s="5" t="inlineStr">
        <is>
          <t>verificado de forma independiente</t>
        </is>
      </c>
      <c r="N2" s="5" t="inlineStr">
        <is>
          <t>no derivable</t>
        </is>
      </c>
      <c r="O2" s="5" t="inlineStr">
        <is>
          <t>inhalada/nebulizada</t>
        </is>
      </c>
      <c r="P2" s="5" t="inlineStr">
        <is>
          <t>fago en monoterapia</t>
        </is>
      </c>
      <c r="Q2" s="5" t="inlineStr">
        <is>
          <t>ECA</t>
        </is>
      </c>
      <c r="R2" s="5" t="inlineStr">
        <is>
          <t>COMPLETA</t>
        </is>
      </c>
      <c r="S2" s="5" t="n">
        <v>9</v>
      </c>
      <c r="T2" s="5" t="n">
        <v>9</v>
      </c>
      <c r="U2" s="5" t="n">
        <v>0</v>
      </c>
      <c r="V2" s="5" t="n">
        <v>9</v>
      </c>
      <c r="W2" s="5" t="n">
        <v>0</v>
      </c>
      <c r="X2" s="5" t="inlineStr">
        <is>
          <t>Na</t>
        </is>
      </c>
      <c r="Y2" s="5" t="inlineStr">
        <is>
          <t>Na</t>
        </is>
      </c>
      <c r="Z2" s="5" t="n">
        <v>2025</v>
      </c>
      <c r="AA2" s="5" t="inlineStr"/>
      <c r="AB2" s="5">
        <f>IFERROR(IF(VLOOKUP(D2,Revistas!$A$21:$C$400,3,FALSE)=0,"",VLOOKUP(D2,Revistas!$A$21:$C$400,3,FALSE)),"")</f>
        <v/>
      </c>
      <c r="AC2" s="5" t="inlineStr">
        <is>
          <t>Estados unidos</t>
        </is>
      </c>
      <c r="AD2" s="5" t="inlineStr">
        <is>
          <t>Resultados</t>
        </is>
      </c>
      <c r="AE2" s="5" t="inlineStr">
        <is>
          <t>Na</t>
        </is>
      </c>
    </row>
    <row r="3">
      <c r="A3" s="3" t="inlineStr">
        <is>
          <t>EST-021</t>
        </is>
      </c>
      <c r="B3" s="3" t="n">
        <v>54</v>
      </c>
      <c r="C3" s="3" t="inlineStr">
        <is>
          <t>Efficacy and tolerability of a cocktail of bacteriophages to treat burn wounds infected by Pseudomonas aeruginosa (PhagoBurn): a randomised, controlled, double-blind phase 1/2 tria</t>
        </is>
      </c>
      <c r="D3" s="3" t="inlineStr">
        <is>
          <t>The Lancet. Infectious diseases</t>
        </is>
      </c>
      <c r="E3" s="3" t="inlineStr">
        <is>
          <t>2019</t>
        </is>
      </c>
      <c r="F3" s="3" t="inlineStr">
        <is>
          <t>articulo</t>
        </is>
      </c>
      <c r="G3" s="3" t="inlineStr">
        <is>
          <t>30292481</t>
        </is>
      </c>
      <c r="H3" s="4" t="inlineStr">
        <is>
          <t>abrir</t>
        </is>
      </c>
      <c r="I3" s="5" t="inlineStr"/>
      <c r="J3" s="5" t="inlineStr">
        <is>
          <t>A</t>
        </is>
      </c>
      <c r="K3" s="5" t="inlineStr"/>
      <c r="L3" s="5" t="inlineStr"/>
      <c r="M3" s="5" t="inlineStr"/>
      <c r="N3" s="5" t="inlineStr"/>
      <c r="O3" s="5" t="inlineStr"/>
      <c r="P3" s="5" t="inlineStr"/>
      <c r="Q3" s="5" t="inlineStr"/>
      <c r="R3" s="5" t="inlineStr"/>
      <c r="S3" s="5" t="inlineStr"/>
      <c r="T3" s="5" t="inlineStr"/>
      <c r="U3" s="5" t="inlineStr"/>
      <c r="V3" s="5" t="inlineStr"/>
      <c r="W3" s="5" t="inlineStr"/>
      <c r="X3" s="5" t="inlineStr"/>
      <c r="Y3" s="5" t="inlineStr"/>
      <c r="Z3" s="5" t="inlineStr"/>
      <c r="AA3" s="5" t="inlineStr"/>
      <c r="AB3" s="5">
        <f>IFERROR(IF(VLOOKUP(D3,Revistas!$A$21:$C$400,3,FALSE)=0,"",VLOOKUP(D3,Revistas!$A$21:$C$400,3,FALSE)),"")</f>
        <v/>
      </c>
      <c r="AC3" s="5" t="inlineStr"/>
      <c r="AD3" s="5" t="inlineStr"/>
      <c r="AE3" s="5" t="inlineStr"/>
    </row>
    <row r="4">
      <c r="A4" s="3" t="inlineStr">
        <is>
          <t>EST-035</t>
        </is>
      </c>
      <c r="B4" s="3" t="n">
        <v>80</v>
      </c>
      <c r="C4" s="3" t="inlineStr">
        <is>
          <t>Safety and microbiological activity of phage therapy in persons with cystic fibrosis colonized with Pseudomonas aeruginosa: study protocol for a phase 1b/2, multicenter, randomized</t>
        </is>
      </c>
      <c r="D4" s="3" t="inlineStr">
        <is>
          <t>Trials</t>
        </is>
      </c>
      <c r="E4" s="3" t="inlineStr">
        <is>
          <t>2022</t>
        </is>
      </c>
      <c r="F4" s="3" t="inlineStr">
        <is>
          <t>articulo</t>
        </is>
      </c>
      <c r="G4" s="3" t="inlineStr">
        <is>
          <t>36578069</t>
        </is>
      </c>
      <c r="H4" s="4" t="inlineStr">
        <is>
          <t>abrir</t>
        </is>
      </c>
      <c r="I4" s="5" t="inlineStr"/>
      <c r="J4" s="5" t="inlineStr">
        <is>
          <t>A</t>
        </is>
      </c>
      <c r="K4" s="5" t="inlineStr"/>
      <c r="L4" s="5" t="inlineStr"/>
      <c r="M4" s="5" t="inlineStr"/>
      <c r="N4" s="5" t="inlineStr"/>
      <c r="O4" s="5" t="inlineStr"/>
      <c r="P4" s="5" t="inlineStr"/>
      <c r="Q4" s="5" t="inlineStr"/>
      <c r="R4" s="5" t="inlineStr"/>
      <c r="S4" s="5" t="inlineStr"/>
      <c r="T4" s="5" t="inlineStr"/>
      <c r="U4" s="5" t="inlineStr"/>
      <c r="V4" s="5" t="inlineStr"/>
      <c r="W4" s="5" t="inlineStr"/>
      <c r="X4" s="5" t="inlineStr"/>
      <c r="Y4" s="5" t="inlineStr"/>
      <c r="Z4" s="5" t="inlineStr"/>
      <c r="AA4" s="5" t="inlineStr"/>
      <c r="AB4" s="5">
        <f>IFERROR(IF(VLOOKUP(D4,Revistas!$A$21:$C$400,3,FALSE)=0,"",VLOOKUP(D4,Revistas!$A$21:$C$400,3,FALSE)),"")</f>
        <v/>
      </c>
      <c r="AC4" s="5" t="inlineStr"/>
      <c r="AD4" s="5" t="inlineStr"/>
      <c r="AE4" s="5" t="inlineStr"/>
    </row>
    <row r="5">
      <c r="A5" s="3" t="inlineStr">
        <is>
          <t>EST-063</t>
        </is>
      </c>
      <c r="B5" s="3" t="n">
        <v>181</v>
      </c>
      <c r="C5" s="3" t="inlineStr">
        <is>
          <t>Single-arm, open-labelled, safety and tolerability of intrabronchial and nebulised bacteriophage treatment in children with cystic fibrosis and Pseudomonas aeruginosa.</t>
        </is>
      </c>
      <c r="D5" s="3" t="inlineStr">
        <is>
          <t>BMJ open respiratory research</t>
        </is>
      </c>
      <c r="E5" s="3" t="inlineStr">
        <is>
          <t>2023</t>
        </is>
      </c>
      <c r="F5" s="3" t="inlineStr">
        <is>
          <t>articulo</t>
        </is>
      </c>
      <c r="G5" s="3" t="inlineStr">
        <is>
          <t>10.1136/bmjresp-2022-001360</t>
        </is>
      </c>
      <c r="H5" s="4" t="inlineStr">
        <is>
          <t>abrir</t>
        </is>
      </c>
      <c r="I5" s="5" t="inlineStr"/>
      <c r="J5" s="5" t="inlineStr">
        <is>
          <t>A</t>
        </is>
      </c>
      <c r="K5" s="5" t="inlineStr"/>
      <c r="L5" s="5" t="inlineStr"/>
      <c r="M5" s="5" t="inlineStr"/>
      <c r="N5" s="5" t="inlineStr"/>
      <c r="O5" s="5" t="inlineStr"/>
      <c r="P5" s="5" t="inlineStr"/>
      <c r="Q5" s="5" t="inlineStr"/>
      <c r="R5" s="5" t="inlineStr"/>
      <c r="S5" s="5" t="inlineStr"/>
      <c r="T5" s="5" t="inlineStr"/>
      <c r="U5" s="5" t="inlineStr"/>
      <c r="V5" s="5" t="inlineStr"/>
      <c r="W5" s="5" t="inlineStr"/>
      <c r="X5" s="5" t="inlineStr"/>
      <c r="Y5" s="5" t="inlineStr"/>
      <c r="Z5" s="5" t="inlineStr"/>
      <c r="AA5" s="5" t="inlineStr"/>
      <c r="AB5" s="5">
        <f>IFERROR(IF(VLOOKUP(D5,Revistas!$A$21:$C$400,3,FALSE)=0,"",VLOOKUP(D5,Revistas!$A$21:$C$400,3,FALSE)),"")</f>
        <v/>
      </c>
      <c r="AC5" s="5" t="inlineStr"/>
      <c r="AD5" s="5" t="inlineStr"/>
      <c r="AE5" s="5" t="inlineStr"/>
    </row>
    <row r="6">
      <c r="A6" s="3" t="inlineStr">
        <is>
          <t>EST-086</t>
        </is>
      </c>
      <c r="B6" s="3" t="n">
        <v>361</v>
      </c>
      <c r="C6" s="3" t="inlineStr">
        <is>
          <t>Inhalation phage therapy as a new approach to preventing secondary bacterial pneumonia in patients with moderate to severe COVID-19: A double-blind clinical trial study</t>
        </is>
      </c>
      <c r="D6" s="3" t="inlineStr">
        <is>
          <t>Journal of Drug Delivery Science and Technology</t>
        </is>
      </c>
      <c r="E6" s="3" t="inlineStr">
        <is>
          <t>2023</t>
        </is>
      </c>
      <c r="F6" s="3" t="inlineStr">
        <is>
          <t>articulo</t>
        </is>
      </c>
      <c r="G6" s="3" t="inlineStr">
        <is>
          <t>10.1016/j.jddst.2023.104486</t>
        </is>
      </c>
      <c r="H6" s="4" t="inlineStr">
        <is>
          <t>abrir</t>
        </is>
      </c>
      <c r="I6" s="5" t="inlineStr"/>
      <c r="J6" s="5" t="inlineStr">
        <is>
          <t>A</t>
        </is>
      </c>
      <c r="K6" s="5" t="inlineStr"/>
      <c r="L6" s="5" t="inlineStr"/>
      <c r="M6" s="5" t="inlineStr"/>
      <c r="N6" s="5" t="inlineStr"/>
      <c r="O6" s="5" t="inlineStr"/>
      <c r="P6" s="5" t="inlineStr"/>
      <c r="Q6" s="5" t="inlineStr"/>
      <c r="R6" s="5" t="inlineStr"/>
      <c r="S6" s="5" t="inlineStr"/>
      <c r="T6" s="5" t="inlineStr"/>
      <c r="U6" s="5" t="inlineStr"/>
      <c r="V6" s="5" t="inlineStr"/>
      <c r="W6" s="5" t="inlineStr"/>
      <c r="X6" s="5" t="inlineStr"/>
      <c r="Y6" s="5" t="inlineStr"/>
      <c r="Z6" s="5" t="inlineStr"/>
      <c r="AA6" s="5" t="inlineStr"/>
      <c r="AB6" s="5">
        <f>IFERROR(IF(VLOOKUP(D6,Revistas!$A$21:$C$400,3,FALSE)=0,"",VLOOKUP(D6,Revistas!$A$21:$C$400,3,FALSE)),"")</f>
        <v/>
      </c>
      <c r="AC6" s="5" t="inlineStr"/>
      <c r="AD6" s="5" t="inlineStr"/>
      <c r="AE6" s="5" t="inlineStr"/>
    </row>
    <row r="7">
      <c r="A7" s="3" t="inlineStr">
        <is>
          <t>EST-101</t>
        </is>
      </c>
      <c r="B7" s="3" t="n">
        <v>498</v>
      </c>
      <c r="C7" s="3" t="inlineStr">
        <is>
          <t>The Efficacy of Inhaled Phage Cocktail to Prevent Ventilator-Associated Pneumonia in Children: A Double-Blind Clinical Trial</t>
        </is>
      </c>
      <c r="D7" s="3" t="inlineStr">
        <is>
          <t>Biomedicines</t>
        </is>
      </c>
      <c r="E7" s="3" t="inlineStr">
        <is>
          <t>2025</t>
        </is>
      </c>
      <c r="F7" s="3" t="inlineStr">
        <is>
          <t>articulo</t>
        </is>
      </c>
      <c r="G7" s="3" t="inlineStr">
        <is>
          <t>10.3390/biomedicines13092103</t>
        </is>
      </c>
      <c r="H7" s="4" t="inlineStr">
        <is>
          <t>abrir</t>
        </is>
      </c>
      <c r="I7" s="5" t="inlineStr"/>
      <c r="J7" s="5" t="inlineStr">
        <is>
          <t>A</t>
        </is>
      </c>
      <c r="K7" s="5" t="inlineStr"/>
      <c r="L7" s="5" t="inlineStr"/>
      <c r="M7" s="5" t="inlineStr"/>
      <c r="N7" s="5" t="inlineStr"/>
      <c r="O7" s="5" t="inlineStr"/>
      <c r="P7" s="5" t="inlineStr"/>
      <c r="Q7" s="5" t="inlineStr"/>
      <c r="R7" s="5" t="inlineStr"/>
      <c r="S7" s="5" t="inlineStr"/>
      <c r="T7" s="5" t="inlineStr"/>
      <c r="U7" s="5" t="inlineStr"/>
      <c r="V7" s="5" t="inlineStr"/>
      <c r="W7" s="5" t="inlineStr"/>
      <c r="X7" s="5" t="inlineStr"/>
      <c r="Y7" s="5" t="inlineStr"/>
      <c r="Z7" s="5" t="inlineStr"/>
      <c r="AA7" s="5" t="inlineStr"/>
      <c r="AB7" s="5">
        <f>IFERROR(IF(VLOOKUP(D7,Revistas!$A$21:$C$400,3,FALSE)=0,"",VLOOKUP(D7,Revistas!$A$21:$C$400,3,FALSE)),"")</f>
        <v/>
      </c>
      <c r="AC7" s="5" t="inlineStr"/>
      <c r="AD7" s="5" t="inlineStr"/>
      <c r="AE7" s="5" t="inlineStr"/>
    </row>
    <row r="8">
      <c r="A8" s="3" t="inlineStr">
        <is>
          <t>EST-122</t>
        </is>
      </c>
      <c r="B8" s="3" t="n">
        <v>753</v>
      </c>
      <c r="C8" s="3" t="inlineStr">
        <is>
          <t>Standardised treatment and monitoring protocol to assess safety and tolerability of bacteriophage therapy for adult and paediatric patients (STAMP study): protocol for an open-labe</t>
        </is>
      </c>
      <c r="D8" s="3" t="inlineStr">
        <is>
          <t>BMJ open</t>
        </is>
      </c>
      <c r="E8" s="3" t="inlineStr">
        <is>
          <t>2022</t>
        </is>
      </c>
      <c r="F8" s="3" t="inlineStr">
        <is>
          <t>articulo</t>
        </is>
      </c>
      <c r="G8" s="3" t="inlineStr">
        <is>
          <t>10.1136/bmjopen-2022-065401</t>
        </is>
      </c>
      <c r="H8" s="4" t="inlineStr">
        <is>
          <t>abrir</t>
        </is>
      </c>
      <c r="I8" s="5" t="inlineStr"/>
      <c r="J8" s="5" t="inlineStr">
        <is>
          <t>A</t>
        </is>
      </c>
      <c r="K8" s="5" t="inlineStr"/>
      <c r="L8" s="5" t="inlineStr"/>
      <c r="M8" s="5" t="inlineStr"/>
      <c r="N8" s="5" t="inlineStr"/>
      <c r="O8" s="5" t="inlineStr"/>
      <c r="P8" s="5" t="inlineStr"/>
      <c r="Q8" s="5" t="inlineStr"/>
      <c r="R8" s="5" t="inlineStr"/>
      <c r="S8" s="5" t="inlineStr"/>
      <c r="T8" s="5" t="inlineStr"/>
      <c r="U8" s="5" t="inlineStr"/>
      <c r="V8" s="5" t="inlineStr"/>
      <c r="W8" s="5" t="inlineStr"/>
      <c r="X8" s="5" t="inlineStr"/>
      <c r="Y8" s="5" t="inlineStr"/>
      <c r="Z8" s="5" t="inlineStr"/>
      <c r="AA8" s="5" t="inlineStr"/>
      <c r="AB8" s="5">
        <f>IFERROR(IF(VLOOKUP(D8,Revistas!$A$21:$C$400,3,FALSE)=0,"",VLOOKUP(D8,Revistas!$A$21:$C$400,3,FALSE)),"")</f>
        <v/>
      </c>
      <c r="AC8" s="5" t="inlineStr"/>
      <c r="AD8" s="5" t="inlineStr"/>
      <c r="AE8" s="5" t="inlineStr"/>
    </row>
    <row r="9">
      <c r="A9" s="3" t="inlineStr">
        <is>
          <t>EST-132</t>
        </is>
      </c>
      <c r="B9" s="3" t="n">
        <v>869</v>
      </c>
      <c r="C9" s="3" t="inlineStr">
        <is>
          <t>Evaluation of the Potential Efficacy of Bacteriophage Therapy for the Management of Pressure Ulcers and Its Comparison to Conventional Therapy: A Randomized Controlled Trial</t>
        </is>
      </c>
      <c r="D9" s="3" t="inlineStr">
        <is>
          <t>Indian Journal of Critical Care Medicine</t>
        </is>
      </c>
      <c r="E9" s="3" t="inlineStr">
        <is>
          <t>2026</t>
        </is>
      </c>
      <c r="F9" s="3" t="inlineStr">
        <is>
          <t>articulo</t>
        </is>
      </c>
      <c r="G9" s="3" t="inlineStr">
        <is>
          <t>10.5005/jp-journals-10071-25143</t>
        </is>
      </c>
      <c r="H9" s="4" t="inlineStr">
        <is>
          <t>abrir</t>
        </is>
      </c>
      <c r="I9" s="5" t="inlineStr"/>
      <c r="J9" s="5" t="inlineStr">
        <is>
          <t>A</t>
        </is>
      </c>
      <c r="K9" s="5" t="inlineStr"/>
      <c r="L9" s="5" t="inlineStr"/>
      <c r="M9" s="5" t="inlineStr"/>
      <c r="N9" s="5" t="inlineStr"/>
      <c r="O9" s="5" t="inlineStr"/>
      <c r="P9" s="5" t="inlineStr"/>
      <c r="Q9" s="5" t="inlineStr"/>
      <c r="R9" s="5" t="inlineStr"/>
      <c r="S9" s="5" t="inlineStr"/>
      <c r="T9" s="5" t="inlineStr"/>
      <c r="U9" s="5" t="inlineStr"/>
      <c r="V9" s="5" t="inlineStr"/>
      <c r="W9" s="5" t="inlineStr"/>
      <c r="X9" s="5" t="inlineStr"/>
      <c r="Y9" s="5" t="inlineStr"/>
      <c r="Z9" s="5" t="inlineStr"/>
      <c r="AA9" s="5" t="inlineStr"/>
      <c r="AB9" s="5">
        <f>IFERROR(IF(VLOOKUP(D9,Revistas!$A$21:$C$400,3,FALSE)=0,"",VLOOKUP(D9,Revistas!$A$21:$C$400,3,FALSE)),"")</f>
        <v/>
      </c>
      <c r="AC9" s="5" t="inlineStr"/>
      <c r="AD9" s="5" t="inlineStr"/>
      <c r="AE9" s="5" t="inlineStr"/>
    </row>
    <row r="10">
      <c r="A10" s="3" t="inlineStr">
        <is>
          <t>EST-178</t>
        </is>
      </c>
      <c r="B10" s="3" t="n">
        <v>3039</v>
      </c>
      <c r="C10" s="3" t="inlineStr">
        <is>
          <t>CLINICAL AND LABORATORY JUSTIFICATION FOR USE OF POLYVALENT BACTERIOPHAGE IN TECHNIQUE OF DELAYED PRESCRIBING OF ANTIBIOTICS IN PATIENTS WITH ARS.</t>
        </is>
      </c>
      <c r="D10" s="3" t="inlineStr">
        <is>
          <t>Wiadomosci lekarskie (Warsaw, Poland : 1960)</t>
        </is>
      </c>
      <c r="E10" s="3" t="inlineStr">
        <is>
          <t>2021</t>
        </is>
      </c>
      <c r="F10" s="3" t="inlineStr">
        <is>
          <t>articulo</t>
        </is>
      </c>
      <c r="G10" s="3" t="inlineStr">
        <is>
          <t>10.36740/wlek202106129</t>
        </is>
      </c>
      <c r="H10" s="4" t="inlineStr">
        <is>
          <t>abrir</t>
        </is>
      </c>
      <c r="I10" s="5" t="inlineStr"/>
      <c r="J10" s="5" t="inlineStr">
        <is>
          <t>A</t>
        </is>
      </c>
      <c r="K10" s="5" t="inlineStr"/>
      <c r="L10" s="5" t="inlineStr"/>
      <c r="M10" s="5" t="inlineStr"/>
      <c r="N10" s="5" t="inlineStr"/>
      <c r="O10" s="5" t="inlineStr"/>
      <c r="P10" s="5" t="inlineStr"/>
      <c r="Q10" s="5" t="inlineStr"/>
      <c r="R10" s="5" t="inlineStr"/>
      <c r="S10" s="5" t="inlineStr"/>
      <c r="T10" s="5" t="inlineStr"/>
      <c r="U10" s="5" t="inlineStr"/>
      <c r="V10" s="5" t="inlineStr"/>
      <c r="W10" s="5" t="inlineStr"/>
      <c r="X10" s="5" t="inlineStr"/>
      <c r="Y10" s="5" t="inlineStr"/>
      <c r="Z10" s="5" t="inlineStr"/>
      <c r="AA10" s="5" t="inlineStr"/>
      <c r="AB10" s="5">
        <f>IFERROR(IF(VLOOKUP(D10,Revistas!$A$21:$C$400,3,FALSE)=0,"",VLOOKUP(D10,Revistas!$A$21:$C$400,3,FALSE)),"")</f>
        <v/>
      </c>
      <c r="AC10" s="5" t="inlineStr"/>
      <c r="AD10" s="5" t="inlineStr"/>
      <c r="AE10" s="5" t="inlineStr"/>
    </row>
    <row r="11">
      <c r="A11" s="3" t="inlineStr">
        <is>
          <t>EST-181</t>
        </is>
      </c>
      <c r="B11" s="3" t="n">
        <v>3367</v>
      </c>
      <c r="C11" s="3" t="inlineStr">
        <is>
          <t>Short-Term Outcomes of Phage-Antibiotic Combination Treatment in Adult Patients with Periprosthetic Hip Joint Infection.</t>
        </is>
      </c>
      <c r="D11" s="3" t="inlineStr">
        <is>
          <t>Viruses</t>
        </is>
      </c>
      <c r="E11" s="3" t="inlineStr">
        <is>
          <t>2023</t>
        </is>
      </c>
      <c r="F11" s="3" t="inlineStr">
        <is>
          <t>articulo</t>
        </is>
      </c>
      <c r="G11" s="3" t="inlineStr">
        <is>
          <t>36851713</t>
        </is>
      </c>
      <c r="H11" s="4" t="inlineStr">
        <is>
          <t>abrir</t>
        </is>
      </c>
      <c r="I11" s="5" t="inlineStr"/>
      <c r="J11" s="5" t="inlineStr">
        <is>
          <t>A</t>
        </is>
      </c>
      <c r="K11" s="5" t="inlineStr"/>
      <c r="L11" s="5" t="inlineStr"/>
      <c r="M11" s="5" t="inlineStr"/>
      <c r="N11" s="5" t="inlineStr"/>
      <c r="O11" s="5" t="inlineStr"/>
      <c r="P11" s="5" t="inlineStr"/>
      <c r="Q11" s="5" t="inlineStr"/>
      <c r="R11" s="5" t="inlineStr"/>
      <c r="S11" s="5" t="inlineStr"/>
      <c r="T11" s="5" t="inlineStr"/>
      <c r="U11" s="5" t="inlineStr"/>
      <c r="V11" s="5" t="inlineStr"/>
      <c r="W11" s="5" t="inlineStr"/>
      <c r="X11" s="5" t="inlineStr"/>
      <c r="Y11" s="5" t="inlineStr"/>
      <c r="Z11" s="5" t="inlineStr"/>
      <c r="AA11" s="5" t="inlineStr"/>
      <c r="AB11" s="5">
        <f>IFERROR(IF(VLOOKUP(D11,Revistas!$A$21:$C$400,3,FALSE)=0,"",VLOOKUP(D11,Revistas!$A$21:$C$400,3,FALSE)),"")</f>
        <v/>
      </c>
      <c r="AC11" s="5" t="inlineStr"/>
      <c r="AD11" s="5" t="inlineStr"/>
      <c r="AE11" s="5" t="inlineStr"/>
    </row>
    <row r="12">
      <c r="A12" s="3" t="inlineStr">
        <is>
          <t>EST-029</t>
        </is>
      </c>
      <c r="B12" s="3" t="n">
        <v>66</v>
      </c>
      <c r="C12" s="3" t="inlineStr">
        <is>
          <t>Randomized double-blind study on safety and tolerability of TP-102 phage cocktail in patients with infected and non-infected diabetic foot ulcers.</t>
        </is>
      </c>
      <c r="D12" s="3" t="inlineStr">
        <is>
          <t>Med (New York, N.Y.)</t>
        </is>
      </c>
      <c r="E12" s="3" t="inlineStr">
        <is>
          <t>2025</t>
        </is>
      </c>
      <c r="F12" s="3" t="inlineStr">
        <is>
          <t>articulo</t>
        </is>
      </c>
      <c r="G12" s="3" t="inlineStr">
        <is>
          <t>39740667</t>
        </is>
      </c>
      <c r="H12" s="4" t="inlineStr">
        <is>
          <t>abrir</t>
        </is>
      </c>
      <c r="I12" s="5" t="inlineStr"/>
      <c r="J12" s="5" t="inlineStr">
        <is>
          <t>A</t>
        </is>
      </c>
      <c r="K12" s="5" t="inlineStr"/>
      <c r="L12" s="5" t="inlineStr"/>
      <c r="M12" s="5" t="inlineStr"/>
      <c r="N12" s="5" t="inlineStr"/>
      <c r="O12" s="5" t="inlineStr"/>
      <c r="P12" s="5" t="inlineStr"/>
      <c r="Q12" s="5" t="inlineStr"/>
      <c r="R12" s="5" t="inlineStr"/>
      <c r="S12" s="5" t="inlineStr"/>
      <c r="T12" s="5" t="inlineStr"/>
      <c r="U12" s="5" t="inlineStr"/>
      <c r="V12" s="5" t="inlineStr"/>
      <c r="W12" s="5" t="inlineStr"/>
      <c r="X12" s="5" t="inlineStr"/>
      <c r="Y12" s="5" t="inlineStr"/>
      <c r="Z12" s="5" t="inlineStr"/>
      <c r="AA12" s="5" t="inlineStr"/>
      <c r="AB12" s="5">
        <f>IFERROR(IF(VLOOKUP(D12,Revistas!$A$21:$C$400,3,FALSE)=0,"",VLOOKUP(D12,Revistas!$A$21:$C$400,3,FALSE)),"")</f>
        <v/>
      </c>
      <c r="AC12" s="5" t="inlineStr"/>
      <c r="AD12" s="5" t="inlineStr"/>
      <c r="AE12" s="5" t="inlineStr"/>
    </row>
    <row r="13">
      <c r="A13" s="3" t="inlineStr">
        <is>
          <t>EST-052</t>
        </is>
      </c>
      <c r="B13" s="3" t="n">
        <v>219</v>
      </c>
      <c r="C13" s="3" t="inlineStr">
        <is>
          <t>CYstic Fibrosis bacterioPHage study at Yale (CYPHY)</t>
        </is>
      </c>
      <c r="D13" s="3" t="inlineStr">
        <is>
          <t>Journal of cystic fibrosis</t>
        </is>
      </c>
      <c r="E13" s="3" t="inlineStr">
        <is>
          <t>2023</t>
        </is>
      </c>
      <c r="F13" s="3" t="inlineStr">
        <is>
          <t>articulo</t>
        </is>
      </c>
      <c r="G13" s="3" t="inlineStr">
        <is>
          <t>NCT04684641</t>
        </is>
      </c>
      <c r="H13" s="4" t="inlineStr">
        <is>
          <t>abrir</t>
        </is>
      </c>
      <c r="I13" s="5" t="inlineStr"/>
      <c r="J13" s="5" t="inlineStr">
        <is>
          <t>A</t>
        </is>
      </c>
      <c r="K13" s="5" t="inlineStr"/>
      <c r="L13" s="5" t="inlineStr"/>
      <c r="M13" s="5" t="inlineStr"/>
      <c r="N13" s="5" t="inlineStr"/>
      <c r="O13" s="5" t="inlineStr"/>
      <c r="P13" s="5" t="inlineStr"/>
      <c r="Q13" s="5" t="inlineStr"/>
      <c r="R13" s="5" t="inlineStr"/>
      <c r="S13" s="5" t="inlineStr"/>
      <c r="T13" s="5" t="inlineStr"/>
      <c r="U13" s="5" t="inlineStr"/>
      <c r="V13" s="5" t="inlineStr"/>
      <c r="W13" s="5" t="inlineStr"/>
      <c r="X13" s="5" t="inlineStr"/>
      <c r="Y13" s="5" t="inlineStr"/>
      <c r="Z13" s="5" t="inlineStr"/>
      <c r="AA13" s="5" t="inlineStr"/>
      <c r="AB13" s="5">
        <f>IFERROR(IF(VLOOKUP(D13,Revistas!$A$21:$C$400,3,FALSE)=0,"",VLOOKUP(D13,Revistas!$A$21:$C$400,3,FALSE)),"")</f>
        <v/>
      </c>
      <c r="AC13" s="5" t="inlineStr"/>
      <c r="AD13" s="5" t="inlineStr"/>
      <c r="AE13" s="5" t="inlineStr"/>
    </row>
    <row r="14">
      <c r="A14" s="3" t="inlineStr">
        <is>
          <t>EST-078</t>
        </is>
      </c>
      <c r="B14" s="3" t="n">
        <v>288</v>
      </c>
      <c r="C14" s="3" t="inlineStr">
        <is>
          <t>Efficacy of Bacteriophage Therapy in the Treatment of Diabetic Foot Ulcers: a Pilot Study from South India</t>
        </is>
      </c>
      <c r="D14" s="3" t="inlineStr">
        <is>
          <t>International journal of diabetes in developing countries</t>
        </is>
      </c>
      <c r="E14" s="3" t="inlineStr">
        <is>
          <t>2025</t>
        </is>
      </c>
      <c r="F14" s="3" t="inlineStr">
        <is>
          <t>resumen de congreso</t>
        </is>
      </c>
      <c r="G14" s="3" t="inlineStr">
        <is>
          <t>cita: Int J Diabetes Dev Ctries 2025</t>
        </is>
      </c>
      <c r="H14" s="4" t="inlineStr">
        <is>
          <t>abrir</t>
        </is>
      </c>
      <c r="I14" s="5" t="inlineStr"/>
      <c r="J14" s="5" t="inlineStr">
        <is>
          <t>A</t>
        </is>
      </c>
      <c r="K14" s="5" t="inlineStr"/>
      <c r="L14" s="5" t="inlineStr"/>
      <c r="M14" s="5" t="inlineStr"/>
      <c r="N14" s="5" t="inlineStr"/>
      <c r="O14" s="5" t="inlineStr"/>
      <c r="P14" s="5" t="inlineStr"/>
      <c r="Q14" s="5" t="inlineStr"/>
      <c r="R14" s="5" t="inlineStr"/>
      <c r="S14" s="5" t="inlineStr"/>
      <c r="T14" s="5" t="inlineStr"/>
      <c r="U14" s="5" t="inlineStr"/>
      <c r="V14" s="5" t="inlineStr"/>
      <c r="W14" s="5" t="inlineStr"/>
      <c r="X14" s="5" t="inlineStr"/>
      <c r="Y14" s="5" t="inlineStr"/>
      <c r="Z14" s="5" t="inlineStr"/>
      <c r="AA14" s="5" t="inlineStr"/>
      <c r="AB14" s="5">
        <f>IFERROR(IF(VLOOKUP(D14,Revistas!$A$21:$C$400,3,FALSE)=0,"",VLOOKUP(D14,Revistas!$A$21:$C$400,3,FALSE)),"")</f>
        <v/>
      </c>
      <c r="AC14" s="5" t="inlineStr"/>
      <c r="AD14" s="5" t="inlineStr"/>
      <c r="AE14" s="5" t="inlineStr"/>
    </row>
    <row r="15">
      <c r="A15" s="3" t="inlineStr">
        <is>
          <t>EST-092</t>
        </is>
      </c>
      <c r="B15" s="3" t="n">
        <v>399</v>
      </c>
      <c r="C15" s="3" t="inlineStr">
        <is>
          <t>Phage therapy analysis of effectiveness in comorbid patients with wounds and surgical infections of various etiology based on the results of a comparative clinical study; [Анализ э</t>
        </is>
      </c>
      <c r="D15" s="3" t="inlineStr">
        <is>
          <t>Pirogov Russian Journal of Surgery</t>
        </is>
      </c>
      <c r="E15" s="3" t="inlineStr">
        <is>
          <t>2025</t>
        </is>
      </c>
      <c r="F15" s="3" t="inlineStr">
        <is>
          <t>articulo</t>
        </is>
      </c>
      <c r="G15" s="3" t="inlineStr">
        <is>
          <t>40103254</t>
        </is>
      </c>
      <c r="H15" s="4" t="inlineStr">
        <is>
          <t>abrir</t>
        </is>
      </c>
      <c r="I15" s="5" t="inlineStr"/>
      <c r="J15" s="5" t="inlineStr">
        <is>
          <t>A</t>
        </is>
      </c>
      <c r="K15" s="5" t="inlineStr"/>
      <c r="L15" s="5" t="inlineStr"/>
      <c r="M15" s="5" t="inlineStr"/>
      <c r="N15" s="5" t="inlineStr"/>
      <c r="O15" s="5" t="inlineStr"/>
      <c r="P15" s="5" t="inlineStr"/>
      <c r="Q15" s="5" t="inlineStr"/>
      <c r="R15" s="5" t="inlineStr"/>
      <c r="S15" s="5" t="inlineStr"/>
      <c r="T15" s="5" t="inlineStr"/>
      <c r="U15" s="5" t="inlineStr"/>
      <c r="V15" s="5" t="inlineStr"/>
      <c r="W15" s="5" t="inlineStr"/>
      <c r="X15" s="5" t="inlineStr"/>
      <c r="Y15" s="5" t="inlineStr"/>
      <c r="Z15" s="5" t="inlineStr"/>
      <c r="AA15" s="5" t="inlineStr"/>
      <c r="AB15" s="5">
        <f>IFERROR(IF(VLOOKUP(D15,Revistas!$A$21:$C$400,3,FALSE)=0,"",VLOOKUP(D15,Revistas!$A$21:$C$400,3,FALSE)),"")</f>
        <v/>
      </c>
      <c r="AC15" s="5" t="inlineStr"/>
      <c r="AD15" s="5" t="inlineStr"/>
      <c r="AE15" s="5" t="inlineStr"/>
    </row>
    <row r="16">
      <c r="A16" s="3" t="inlineStr">
        <is>
          <t>EST-103</t>
        </is>
      </c>
      <c r="B16" s="3" t="n">
        <v>506</v>
      </c>
      <c r="C16" s="3" t="inlineStr">
        <is>
          <t>Phage therapy of purulent wounds: comparative clinical cytomorphological and microbiological analysis of effectiveness; [Фаготерапиягнойныхран:сравнительныйклинико-цитоморфологичес</t>
        </is>
      </c>
      <c r="D16" s="3" t="inlineStr">
        <is>
          <t>Pirogov Russian Journal of Surgery</t>
        </is>
      </c>
      <c r="E16" s="3" t="inlineStr">
        <is>
          <t>2026</t>
        </is>
      </c>
      <c r="F16" s="3" t="inlineStr">
        <is>
          <t>articulo</t>
        </is>
      </c>
      <c r="G16" s="3" t="inlineStr">
        <is>
          <t>41885494</t>
        </is>
      </c>
      <c r="H16" s="4" t="inlineStr">
        <is>
          <t>abrir</t>
        </is>
      </c>
      <c r="I16" s="5" t="inlineStr"/>
      <c r="J16" s="5" t="inlineStr">
        <is>
          <t>A</t>
        </is>
      </c>
      <c r="K16" s="5" t="inlineStr"/>
      <c r="L16" s="5" t="inlineStr"/>
      <c r="M16" s="5" t="inlineStr"/>
      <c r="N16" s="5" t="inlineStr"/>
      <c r="O16" s="5" t="inlineStr"/>
      <c r="P16" s="5" t="inlineStr"/>
      <c r="Q16" s="5" t="inlineStr"/>
      <c r="R16" s="5" t="inlineStr"/>
      <c r="S16" s="5" t="inlineStr"/>
      <c r="T16" s="5" t="inlineStr"/>
      <c r="U16" s="5" t="inlineStr"/>
      <c r="V16" s="5" t="inlineStr"/>
      <c r="W16" s="5" t="inlineStr"/>
      <c r="X16" s="5" t="inlineStr"/>
      <c r="Y16" s="5" t="inlineStr"/>
      <c r="Z16" s="5" t="inlineStr"/>
      <c r="AA16" s="5" t="inlineStr"/>
      <c r="AB16" s="5">
        <f>IFERROR(IF(VLOOKUP(D16,Revistas!$A$21:$C$400,3,FALSE)=0,"",VLOOKUP(D16,Revistas!$A$21:$C$400,3,FALSE)),"")</f>
        <v/>
      </c>
      <c r="AC16" s="5" t="inlineStr"/>
      <c r="AD16" s="5" t="inlineStr"/>
      <c r="AE16" s="5" t="inlineStr"/>
    </row>
    <row r="17">
      <c r="A17" s="3" t="inlineStr">
        <is>
          <t>EST-118</t>
        </is>
      </c>
      <c r="B17" s="3" t="n">
        <v>720</v>
      </c>
      <c r="C17" s="3" t="inlineStr">
        <is>
          <t>Intravesical bacteriophages for treating urinary tract infections in patients undergoing transurethral resection of the prostate: a randomised, placebo-controlled, double-blind cli</t>
        </is>
      </c>
      <c r="D17" s="3" t="inlineStr">
        <is>
          <t>The Lancet. Infectious diseases</t>
        </is>
      </c>
      <c r="E17" s="3" t="inlineStr">
        <is>
          <t>2021</t>
        </is>
      </c>
      <c r="F17" s="3" t="inlineStr">
        <is>
          <t>articulo</t>
        </is>
      </c>
      <c r="G17" s="3" t="inlineStr">
        <is>
          <t>32949500</t>
        </is>
      </c>
      <c r="H17" s="4" t="inlineStr">
        <is>
          <t>abrir</t>
        </is>
      </c>
      <c r="I17" s="5" t="inlineStr"/>
      <c r="J17" s="5" t="inlineStr">
        <is>
          <t>A</t>
        </is>
      </c>
      <c r="K17" s="5" t="inlineStr"/>
      <c r="L17" s="5" t="inlineStr"/>
      <c r="M17" s="5" t="inlineStr"/>
      <c r="N17" s="5" t="inlineStr"/>
      <c r="O17" s="5" t="inlineStr"/>
      <c r="P17" s="5" t="inlineStr"/>
      <c r="Q17" s="5" t="inlineStr"/>
      <c r="R17" s="5" t="inlineStr"/>
      <c r="S17" s="5" t="inlineStr"/>
      <c r="T17" s="5" t="inlineStr"/>
      <c r="U17" s="5" t="inlineStr"/>
      <c r="V17" s="5" t="inlineStr"/>
      <c r="W17" s="5" t="inlineStr"/>
      <c r="X17" s="5" t="inlineStr"/>
      <c r="Y17" s="5" t="inlineStr"/>
      <c r="Z17" s="5" t="inlineStr"/>
      <c r="AA17" s="5" t="inlineStr"/>
      <c r="AB17" s="5">
        <f>IFERROR(IF(VLOOKUP(D17,Revistas!$A$21:$C$400,3,FALSE)=0,"",VLOOKUP(D17,Revistas!$A$21:$C$400,3,FALSE)),"")</f>
        <v/>
      </c>
      <c r="AC17" s="5" t="inlineStr"/>
      <c r="AD17" s="5" t="inlineStr"/>
      <c r="AE17" s="5" t="inlineStr"/>
    </row>
    <row r="18">
      <c r="A18" s="3" t="inlineStr">
        <is>
          <t>EST-126</t>
        </is>
      </c>
      <c r="B18" s="3" t="n">
        <v>787</v>
      </c>
      <c r="C18" s="3" t="inlineStr">
        <is>
          <t>Application of bacteriophage therapy in the treatment of children with acute tonsillitis</t>
        </is>
      </c>
      <c r="D18" s="3" t="inlineStr">
        <is>
          <t xml:space="preserve">International Journal of Pediatrics and Adolescent Medicine </t>
        </is>
      </c>
      <c r="E18" s="3" t="inlineStr">
        <is>
          <t>2024</t>
        </is>
      </c>
      <c r="F18" s="3" t="inlineStr">
        <is>
          <t>articulo</t>
        </is>
      </c>
      <c r="G18" s="3" t="inlineStr">
        <is>
          <t>10.4103/ijpam.ijpam_1_24</t>
        </is>
      </c>
      <c r="H18" s="4" t="inlineStr">
        <is>
          <t>abrir</t>
        </is>
      </c>
      <c r="I18" s="5" t="inlineStr"/>
      <c r="J18" s="5" t="inlineStr">
        <is>
          <t>A</t>
        </is>
      </c>
      <c r="K18" s="5" t="inlineStr"/>
      <c r="L18" s="5" t="inlineStr"/>
      <c r="M18" s="5" t="inlineStr"/>
      <c r="N18" s="5" t="inlineStr"/>
      <c r="O18" s="5" t="inlineStr"/>
      <c r="P18" s="5" t="inlineStr"/>
      <c r="Q18" s="5" t="inlineStr"/>
      <c r="R18" s="5" t="inlineStr"/>
      <c r="S18" s="5" t="inlineStr"/>
      <c r="T18" s="5" t="inlineStr"/>
      <c r="U18" s="5" t="inlineStr"/>
      <c r="V18" s="5" t="inlineStr"/>
      <c r="W18" s="5" t="inlineStr"/>
      <c r="X18" s="5" t="inlineStr"/>
      <c r="Y18" s="5" t="inlineStr"/>
      <c r="Z18" s="5" t="inlineStr"/>
      <c r="AA18" s="5" t="inlineStr"/>
      <c r="AB18" s="5">
        <f>IFERROR(IF(VLOOKUP(D18,Revistas!$A$21:$C$400,3,FALSE)=0,"",VLOOKUP(D18,Revistas!$A$21:$C$400,3,FALSE)),"")</f>
        <v/>
      </c>
      <c r="AC18" s="5" t="inlineStr"/>
      <c r="AD18" s="5" t="inlineStr"/>
      <c r="AE18" s="5" t="inlineStr"/>
    </row>
    <row r="19">
      <c r="A19" s="3" t="inlineStr">
        <is>
          <t>EST-157</t>
        </is>
      </c>
      <c r="B19" s="3" t="n">
        <v>1639</v>
      </c>
      <c r="C19" s="3" t="inlineStr">
        <is>
          <t>A Randomized, Placebo-controlled, Double-blind Clinical Trial of Bacteriophage Cocktails in Chronic Wound Infections.</t>
        </is>
      </c>
      <c r="D19" s="3" t="inlineStr">
        <is>
          <t>The international journal of lower extremity wounds</t>
        </is>
      </c>
      <c r="E19" s="3" t="inlineStr">
        <is>
          <t>2026</t>
        </is>
      </c>
      <c r="F19" s="3" t="inlineStr">
        <is>
          <t>articulo</t>
        </is>
      </c>
      <c r="G19" s="3" t="inlineStr">
        <is>
          <t>38233034</t>
        </is>
      </c>
      <c r="H19" s="4" t="inlineStr">
        <is>
          <t>abrir</t>
        </is>
      </c>
      <c r="I19" s="5" t="inlineStr"/>
      <c r="J19" s="5" t="inlineStr">
        <is>
          <t>A</t>
        </is>
      </c>
      <c r="K19" s="5" t="inlineStr"/>
      <c r="L19" s="5" t="inlineStr"/>
      <c r="M19" s="5" t="inlineStr"/>
      <c r="N19" s="5" t="inlineStr"/>
      <c r="O19" s="5" t="inlineStr"/>
      <c r="P19" s="5" t="inlineStr"/>
      <c r="Q19" s="5" t="inlineStr"/>
      <c r="R19" s="5" t="inlineStr"/>
      <c r="S19" s="5" t="inlineStr"/>
      <c r="T19" s="5" t="inlineStr"/>
      <c r="U19" s="5" t="inlineStr"/>
      <c r="V19" s="5" t="inlineStr"/>
      <c r="W19" s="5" t="inlineStr"/>
      <c r="X19" s="5" t="inlineStr"/>
      <c r="Y19" s="5" t="inlineStr"/>
      <c r="Z19" s="5" t="inlineStr"/>
      <c r="AA19" s="5" t="inlineStr"/>
      <c r="AB19" s="5">
        <f>IFERROR(IF(VLOOKUP(D19,Revistas!$A$21:$C$400,3,FALSE)=0,"",VLOOKUP(D19,Revistas!$A$21:$C$400,3,FALSE)),"")</f>
        <v/>
      </c>
      <c r="AC19" s="5" t="inlineStr"/>
      <c r="AD19" s="5" t="inlineStr"/>
      <c r="AE19" s="5" t="inlineStr"/>
    </row>
    <row r="20">
      <c r="A20" s="3" t="inlineStr">
        <is>
          <t>EST-167</t>
        </is>
      </c>
      <c r="B20" s="3" t="n">
        <v>2267</v>
      </c>
      <c r="C20" s="3" t="inlineStr">
        <is>
          <t>Biological Therapy on Infected Traumatic Wounds: A Case-Control Study.</t>
        </is>
      </c>
      <c r="D20" s="3" t="inlineStr">
        <is>
          <t>The international journal of lower extremity wounds</t>
        </is>
      </c>
      <c r="E20" s="3" t="inlineStr">
        <is>
          <t>2024</t>
        </is>
      </c>
      <c r="F20" s="3" t="inlineStr">
        <is>
          <t>articulo</t>
        </is>
      </c>
      <c r="G20" s="3" t="inlineStr">
        <is>
          <t>10.1177/15347346211072779</t>
        </is>
      </c>
      <c r="H20" s="4" t="inlineStr">
        <is>
          <t>abrir</t>
        </is>
      </c>
      <c r="I20" s="5" t="inlineStr"/>
      <c r="J20" s="5" t="inlineStr">
        <is>
          <t>A</t>
        </is>
      </c>
      <c r="K20" s="5" t="inlineStr"/>
      <c r="L20" s="5" t="inlineStr"/>
      <c r="M20" s="5" t="inlineStr"/>
      <c r="N20" s="5" t="inlineStr"/>
      <c r="O20" s="5" t="inlineStr"/>
      <c r="P20" s="5" t="inlineStr"/>
      <c r="Q20" s="5" t="inlineStr"/>
      <c r="R20" s="5" t="inlineStr"/>
      <c r="S20" s="5" t="inlineStr"/>
      <c r="T20" s="5" t="inlineStr"/>
      <c r="U20" s="5" t="inlineStr"/>
      <c r="V20" s="5" t="inlineStr"/>
      <c r="W20" s="5" t="inlineStr"/>
      <c r="X20" s="5" t="inlineStr"/>
      <c r="Y20" s="5" t="inlineStr"/>
      <c r="Z20" s="5" t="inlineStr"/>
      <c r="AA20" s="5" t="inlineStr"/>
      <c r="AB20" s="5">
        <f>IFERROR(IF(VLOOKUP(D20,Revistas!$A$21:$C$400,3,FALSE)=0,"",VLOOKUP(D20,Revistas!$A$21:$C$400,3,FALSE)),"")</f>
        <v/>
      </c>
      <c r="AC20" s="5" t="inlineStr"/>
      <c r="AD20" s="5" t="inlineStr"/>
      <c r="AE20" s="5" t="inlineStr"/>
    </row>
    <row r="21">
      <c r="A21" s="3" t="inlineStr">
        <is>
          <t>EST-173</t>
        </is>
      </c>
      <c r="B21" s="3" t="n">
        <v>2761</v>
      </c>
      <c r="C21" s="3" t="inlineStr">
        <is>
          <t>Use of bacteriophages in the treatment of infected wounds in patients who have allergy to antibiotics</t>
        </is>
      </c>
      <c r="D21" s="3" t="inlineStr">
        <is>
          <t>Surgical Chronicles</t>
        </is>
      </c>
      <c r="E21" s="3" t="inlineStr">
        <is>
          <t>2016</t>
        </is>
      </c>
      <c r="F21" s="3" t="inlineStr">
        <is>
          <t>articulo</t>
        </is>
      </c>
      <c r="G21" s="3" t="inlineStr">
        <is>
          <t>cita: Surgical Chronicles 2016</t>
        </is>
      </c>
      <c r="H21" s="4" t="inlineStr">
        <is>
          <t>abrir</t>
        </is>
      </c>
      <c r="I21" s="5" t="inlineStr"/>
      <c r="J21" s="5" t="inlineStr">
        <is>
          <t>A</t>
        </is>
      </c>
      <c r="K21" s="5" t="inlineStr"/>
      <c r="L21" s="5" t="inlineStr"/>
      <c r="M21" s="5" t="inlineStr"/>
      <c r="N21" s="5" t="inlineStr"/>
      <c r="O21" s="5" t="inlineStr"/>
      <c r="P21" s="5" t="inlineStr"/>
      <c r="Q21" s="5" t="inlineStr"/>
      <c r="R21" s="5" t="inlineStr"/>
      <c r="S21" s="5" t="inlineStr"/>
      <c r="T21" s="5" t="inlineStr"/>
      <c r="U21" s="5" t="inlineStr"/>
      <c r="V21" s="5" t="inlineStr"/>
      <c r="W21" s="5" t="inlineStr"/>
      <c r="X21" s="5" t="inlineStr"/>
      <c r="Y21" s="5" t="inlineStr"/>
      <c r="Z21" s="5" t="inlineStr"/>
      <c r="AA21" s="5" t="inlineStr"/>
      <c r="AB21" s="5">
        <f>IFERROR(IF(VLOOKUP(D21,Revistas!$A$21:$C$400,3,FALSE)=0,"",VLOOKUP(D21,Revistas!$A$21:$C$400,3,FALSE)),"")</f>
        <v/>
      </c>
      <c r="AC21" s="5" t="inlineStr"/>
      <c r="AD21" s="5" t="inlineStr"/>
      <c r="AE21" s="5" t="inlineStr"/>
    </row>
    <row r="22">
      <c r="A22" s="3" t="inlineStr">
        <is>
          <t>EST-177</t>
        </is>
      </c>
      <c r="B22" s="3" t="n">
        <v>3017</v>
      </c>
      <c r="C22" s="3" t="inlineStr">
        <is>
          <t>A randomized, double-blind, placebo- -controlled study to investigate the use of bacteriophages in patients with chronic rhinosinusitis with nasal polyps.</t>
        </is>
      </c>
      <c r="D22" s="3" t="inlineStr">
        <is>
          <t>Otolaryngologia polska = The Polish otolaryngology</t>
        </is>
      </c>
      <c r="E22" s="3" t="inlineStr">
        <is>
          <t>2021</t>
        </is>
      </c>
      <c r="F22" s="3" t="inlineStr">
        <is>
          <t>articulo</t>
        </is>
      </c>
      <c r="G22" s="3" t="inlineStr">
        <is>
          <t>35175218</t>
        </is>
      </c>
      <c r="H22" s="4" t="inlineStr">
        <is>
          <t>abrir</t>
        </is>
      </c>
      <c r="I22" s="5" t="inlineStr"/>
      <c r="J22" s="5" t="inlineStr">
        <is>
          <t>A</t>
        </is>
      </c>
      <c r="K22" s="5" t="inlineStr"/>
      <c r="L22" s="5" t="inlineStr"/>
      <c r="M22" s="5" t="inlineStr"/>
      <c r="N22" s="5" t="inlineStr"/>
      <c r="O22" s="5" t="inlineStr"/>
      <c r="P22" s="5" t="inlineStr"/>
      <c r="Q22" s="5" t="inlineStr"/>
      <c r="R22" s="5" t="inlineStr"/>
      <c r="S22" s="5" t="inlineStr"/>
      <c r="T22" s="5" t="inlineStr"/>
      <c r="U22" s="5" t="inlineStr"/>
      <c r="V22" s="5" t="inlineStr"/>
      <c r="W22" s="5" t="inlineStr"/>
      <c r="X22" s="5" t="inlineStr"/>
      <c r="Y22" s="5" t="inlineStr"/>
      <c r="Z22" s="5" t="inlineStr"/>
      <c r="AA22" s="5" t="inlineStr"/>
      <c r="AB22" s="5">
        <f>IFERROR(IF(VLOOKUP(D22,Revistas!$A$21:$C$400,3,FALSE)=0,"",VLOOKUP(D22,Revistas!$A$21:$C$400,3,FALSE)),"")</f>
        <v/>
      </c>
      <c r="AC22" s="5" t="inlineStr"/>
      <c r="AD22" s="5" t="inlineStr"/>
      <c r="AE22" s="5" t="inlineStr"/>
    </row>
    <row r="23">
      <c r="A23" s="3" t="inlineStr">
        <is>
          <t>EST-188</t>
        </is>
      </c>
      <c r="B23" s="3" t="n">
        <v>4064</v>
      </c>
      <c r="C23" s="3" t="inlineStr">
        <is>
          <t>Potential treatment method of recurrent urinary tract infection in postmenopausal kidney transplant recipients: the results of pilot study</t>
        </is>
      </c>
      <c r="D23" s="3" t="inlineStr">
        <is>
          <t>Nephrology dialysis transplantation</t>
        </is>
      </c>
      <c r="E23" s="3" t="inlineStr">
        <is>
          <t>2020</t>
        </is>
      </c>
      <c r="F23" s="3" t="inlineStr">
        <is>
          <t>resumen de congreso</t>
        </is>
      </c>
      <c r="G23" s="3" t="inlineStr">
        <is>
          <t>cita: Nephrol Dial Transplant 2020 (resumen de congreso)</t>
        </is>
      </c>
      <c r="H23" s="4" t="inlineStr">
        <is>
          <t>abrir</t>
        </is>
      </c>
      <c r="I23" s="5" t="inlineStr"/>
      <c r="J23" s="5" t="inlineStr">
        <is>
          <t>A</t>
        </is>
      </c>
      <c r="K23" s="5" t="inlineStr"/>
      <c r="L23" s="5" t="inlineStr"/>
      <c r="M23" s="5" t="inlineStr"/>
      <c r="N23" s="5" t="inlineStr"/>
      <c r="O23" s="5" t="inlineStr"/>
      <c r="P23" s="5" t="inlineStr"/>
      <c r="Q23" s="5" t="inlineStr"/>
      <c r="R23" s="5" t="inlineStr"/>
      <c r="S23" s="5" t="inlineStr"/>
      <c r="T23" s="5" t="inlineStr"/>
      <c r="U23" s="5" t="inlineStr"/>
      <c r="V23" s="5" t="inlineStr"/>
      <c r="W23" s="5" t="inlineStr"/>
      <c r="X23" s="5" t="inlineStr"/>
      <c r="Y23" s="5" t="inlineStr"/>
      <c r="Z23" s="5" t="inlineStr"/>
      <c r="AA23" s="5" t="inlineStr"/>
      <c r="AB23" s="5">
        <f>IFERROR(IF(VLOOKUP(D23,Revistas!$A$21:$C$400,3,FALSE)=0,"",VLOOKUP(D23,Revistas!$A$21:$C$400,3,FALSE)),"")</f>
        <v/>
      </c>
      <c r="AC23" s="5" t="inlineStr"/>
      <c r="AD23" s="5" t="inlineStr"/>
      <c r="AE23" s="5" t="inlineStr"/>
    </row>
    <row r="24">
      <c r="A24" s="3" t="inlineStr">
        <is>
          <t>EST-219</t>
        </is>
      </c>
      <c r="B24" s="3" t="n">
        <v>11138</v>
      </c>
      <c r="C24" s="3" t="inlineStr">
        <is>
          <t>Bacteriophages in complex treatment of septic diseases of the hand; [Использование лекарственных препаратов бактериофагов в комплексном лечении гнойных заболеваний кисти]</t>
        </is>
      </c>
      <c r="D24" s="3" t="inlineStr">
        <is>
          <t>Pirogov Russian Journal of Surgery</t>
        </is>
      </c>
      <c r="E24" s="3" t="inlineStr">
        <is>
          <t>2023</t>
        </is>
      </c>
      <c r="F24" s="3" t="inlineStr">
        <is>
          <t>articulo</t>
        </is>
      </c>
      <c r="G24" s="3" t="inlineStr">
        <is>
          <t>10.17116/hirurgia202309145</t>
        </is>
      </c>
      <c r="H24" s="4" t="inlineStr">
        <is>
          <t>abrir</t>
        </is>
      </c>
      <c r="I24" s="5" t="inlineStr"/>
      <c r="J24" s="5" t="inlineStr">
        <is>
          <t>A</t>
        </is>
      </c>
      <c r="K24" s="5" t="inlineStr"/>
      <c r="L24" s="5" t="inlineStr"/>
      <c r="M24" s="5" t="inlineStr"/>
      <c r="N24" s="5" t="inlineStr"/>
      <c r="O24" s="5" t="inlineStr"/>
      <c r="P24" s="5" t="inlineStr"/>
      <c r="Q24" s="5" t="inlineStr"/>
      <c r="R24" s="5" t="inlineStr"/>
      <c r="S24" s="5" t="inlineStr"/>
      <c r="T24" s="5" t="inlineStr"/>
      <c r="U24" s="5" t="inlineStr"/>
      <c r="V24" s="5" t="inlineStr"/>
      <c r="W24" s="5" t="inlineStr"/>
      <c r="X24" s="5" t="inlineStr"/>
      <c r="Y24" s="5" t="inlineStr"/>
      <c r="Z24" s="5" t="inlineStr"/>
      <c r="AA24" s="5" t="inlineStr"/>
      <c r="AB24" s="5">
        <f>IFERROR(IF(VLOOKUP(D24,Revistas!$A$21:$C$400,3,FALSE)=0,"",VLOOKUP(D24,Revistas!$A$21:$C$400,3,FALSE)),"")</f>
        <v/>
      </c>
      <c r="AC24" s="5" t="inlineStr"/>
      <c r="AD24" s="5" t="inlineStr"/>
      <c r="AE24" s="5" t="inlineStr"/>
    </row>
    <row r="25">
      <c r="A25" s="3" t="inlineStr">
        <is>
          <t>EST-004</t>
        </is>
      </c>
      <c r="B25" s="3" t="n">
        <v>4</v>
      </c>
      <c r="C25" s="3" t="inlineStr">
        <is>
          <t>Personalized inhaled bacteriophage therapy for treatment of multidrug-resistant Pseudomonas aeruginosa in cystic fibrosis.</t>
        </is>
      </c>
      <c r="D25" s="3" t="inlineStr">
        <is>
          <t>Nature medicine</t>
        </is>
      </c>
      <c r="E25" s="3" t="inlineStr">
        <is>
          <t>2025</t>
        </is>
      </c>
      <c r="F25" s="3" t="inlineStr">
        <is>
          <t>articulo</t>
        </is>
      </c>
      <c r="G25" s="3" t="inlineStr">
        <is>
          <t>10.1038/s41591-025-03678-8</t>
        </is>
      </c>
      <c r="H25" s="4" t="inlineStr">
        <is>
          <t>abrir</t>
        </is>
      </c>
      <c r="I25" s="5" t="inlineStr">
        <is>
          <t>Chan2025</t>
        </is>
      </c>
      <c r="J25" s="5" t="inlineStr">
        <is>
          <t>A</t>
        </is>
      </c>
      <c r="K25" s="5" t="inlineStr">
        <is>
          <t>solo Pseudomonas</t>
        </is>
      </c>
      <c r="L25" s="5" t="inlineStr">
        <is>
          <t>MDR</t>
        </is>
      </c>
      <c r="M25" s="5" t="inlineStr">
        <is>
          <t>declarado por el autor</t>
        </is>
      </c>
      <c r="N25" s="5" t="inlineStr">
        <is>
          <t>si</t>
        </is>
      </c>
      <c r="O25" s="5" t="inlineStr">
        <is>
          <t>inhalada/nebulizada</t>
        </is>
      </c>
      <c r="P25" s="5" t="inlineStr">
        <is>
          <t>fago + antibiotico</t>
        </is>
      </c>
      <c r="Q25" s="5" t="inlineStr">
        <is>
          <t>cohorte prospectiva</t>
        </is>
      </c>
      <c r="R25" s="5" t="inlineStr">
        <is>
          <t>COMPLETA</t>
        </is>
      </c>
      <c r="S25" s="5" t="n">
        <v>7</v>
      </c>
      <c r="T25" s="5" t="n">
        <v>7</v>
      </c>
      <c r="U25" s="5" t="n">
        <v>0</v>
      </c>
      <c r="V25" s="5" t="n">
        <v>7</v>
      </c>
      <c r="W25" s="5" t="n">
        <v>0</v>
      </c>
      <c r="X25" s="5" t="inlineStr">
        <is>
          <t>Na</t>
        </is>
      </c>
      <c r="Y25" s="5" t="inlineStr">
        <is>
          <t>Na</t>
        </is>
      </c>
      <c r="Z25" s="5" t="n">
        <v>2025</v>
      </c>
      <c r="AA25" s="5" t="inlineStr">
        <is>
          <t>En resumen, este estudio evaluó el impacto de la terapia de fagos nebulizados complementarios para MDR y PDR PsA en una cohorte de casos compasivos en pwCF. Si bien el número de pacientes es limitado, la nebulización de fagos fue bien tolerada, y los resultados mostraron que un enfoque de terapia con fagos personalizado se asoció con una carga reducida de PsA y una mejor función pulmonar. Además de la muerte bacteriana, este enfoque de la terapia de fagos se asoció con compensaciones en PsA que resultaron en una disminución de la resistencia a los antibióticos y una reducción de la virulencia en los aislados posteriores a la terapia. Por lo tanto, en una enfermedad pulmonar crónica como la FQ, la terapia con fagos inhalados puede ofrecer una opción terapéutica efectiva. Actualmente se están llevando a cabo más estudios de esta nueva terapia en ensayos clínicos, y nuestro enfoque personalizado de terapia con fagos requerirá de manera similar ensayos clínicos más grandes.</t>
        </is>
      </c>
      <c r="AB25" s="5">
        <f>IFERROR(IF(VLOOKUP(D25,Revistas!$A$21:$C$400,3,FALSE)=0,"",VLOOKUP(D25,Revistas!$A$21:$C$400,3,FALSE)),"")</f>
        <v/>
      </c>
      <c r="AC25" s="5" t="inlineStr">
        <is>
          <t>Estados unidos</t>
        </is>
      </c>
      <c r="AD25" s="5" t="inlineStr">
        <is>
          <t>Tabla 2 Terapia personalizada con fagos</t>
        </is>
      </c>
      <c r="AE25" s="5" t="inlineStr">
        <is>
          <t>Na</t>
        </is>
      </c>
    </row>
    <row r="26">
      <c r="A26" s="3" t="inlineStr">
        <is>
          <t>EST-004</t>
        </is>
      </c>
      <c r="B26" s="3" t="n">
        <v>4</v>
      </c>
      <c r="C26" s="3" t="inlineStr">
        <is>
          <t>Personalized inhaled bacteriophage therapy for treatment of multidrug-resistant Pseudomonas aeruginosa in cystic fibrosis.</t>
        </is>
      </c>
      <c r="D26" s="3" t="inlineStr">
        <is>
          <t>Nature medicine</t>
        </is>
      </c>
      <c r="E26" s="3" t="inlineStr">
        <is>
          <t>2025</t>
        </is>
      </c>
      <c r="F26" s="3" t="inlineStr">
        <is>
          <t>articulo</t>
        </is>
      </c>
      <c r="G26" s="3" t="inlineStr">
        <is>
          <t>10.1038/s41591-025-03678-8</t>
        </is>
      </c>
      <c r="H26" s="4" t="inlineStr">
        <is>
          <t>abrir</t>
        </is>
      </c>
      <c r="I26" s="5" t="inlineStr">
        <is>
          <t>Chan2025</t>
        </is>
      </c>
      <c r="J26" s="5" t="inlineStr">
        <is>
          <t>B</t>
        </is>
      </c>
      <c r="K26" s="5" t="inlineStr">
        <is>
          <t>solo Pseudomonas</t>
        </is>
      </c>
      <c r="L26" s="5" t="inlineStr">
        <is>
          <t>PDR</t>
        </is>
      </c>
      <c r="M26" s="5" t="inlineStr">
        <is>
          <t>declarado por el autor</t>
        </is>
      </c>
      <c r="N26" s="5" t="inlineStr">
        <is>
          <t>si</t>
        </is>
      </c>
      <c r="O26" s="5" t="inlineStr">
        <is>
          <t>inhalada/nebulizada</t>
        </is>
      </c>
      <c r="P26" s="5" t="inlineStr">
        <is>
          <t>fago + antibiotico</t>
        </is>
      </c>
      <c r="Q26" s="5" t="inlineStr">
        <is>
          <t>cohorte prospectiva</t>
        </is>
      </c>
      <c r="R26" s="5" t="inlineStr">
        <is>
          <t>COMPLETA</t>
        </is>
      </c>
      <c r="S26" s="5" t="n">
        <v>2</v>
      </c>
      <c r="T26" s="5" t="n">
        <v>2</v>
      </c>
      <c r="U26" s="5" t="n">
        <v>0</v>
      </c>
      <c r="V26" s="5" t="n">
        <v>2</v>
      </c>
      <c r="W26" s="5" t="n">
        <v>0</v>
      </c>
      <c r="X26" s="5" t="inlineStr">
        <is>
          <t>Na</t>
        </is>
      </c>
      <c r="Y26" s="5" t="inlineStr">
        <is>
          <t>Na</t>
        </is>
      </c>
      <c r="Z26" s="5" t="n">
        <v>2025</v>
      </c>
      <c r="AA26" s="5" t="inlineStr">
        <is>
          <t>En resumen, este estudio evaluó el impacto de la terapia de fagos nebulizados complementarios para MDR y PDR PsA en una cohorte de casos compasivos en pwCF. Si bien el número de pacientes es limitado, la nebulización de fagos fue bien tolerada, y los resultados mostraron que un enfoque de terapia con fagos personalizado se asoció con una carga reducida de PsA y una mejor función pulmonar. Además de la muerte bacteriana, este enfoque de la terapia de fagos se asoció con compensaciones en PsA que resultaron en una disminución de la resistencia a los antibióticos y una reducción de la virulencia en los aislados posteriores a la terapia. Por lo tanto, en una enfermedad pulmonar crónica como la FQ, la terapia con fagos inhalados puede ofrecer una opción terapéutica efectiva. Actualmente se están llevando a cabo más estudios de esta nueva terapia en ensayos clínicos, y nuestro enfoque personalizado de terapia con fagos requerirá de manera similar ensayos clínicos más grandes.</t>
        </is>
      </c>
      <c r="AB26" s="5">
        <f>IFERROR(IF(VLOOKUP(D26,Revistas!$A$21:$C$400,3,FALSE)=0,"",VLOOKUP(D26,Revistas!$A$21:$C$400,3,FALSE)),"")</f>
        <v/>
      </c>
      <c r="AC26" s="5" t="inlineStr">
        <is>
          <t>Estados unidos</t>
        </is>
      </c>
      <c r="AD26" s="5" t="inlineStr">
        <is>
          <t>Tabla 2 Terapia personalizada con fagos</t>
        </is>
      </c>
      <c r="AE26" s="5" t="inlineStr">
        <is>
          <t>Na</t>
        </is>
      </c>
    </row>
    <row r="27">
      <c r="A27" s="3" t="inlineStr">
        <is>
          <t>EST-024</t>
        </is>
      </c>
      <c r="B27" s="3" t="n">
        <v>47</v>
      </c>
      <c r="C27" s="3" t="inlineStr">
        <is>
          <t>Bacteriophage Therapy for Pan-Drug-Resistant Pseudomonas aeruginosa in Two Persons With Cystic Fibrosis.</t>
        </is>
      </c>
      <c r="D27" s="3" t="inlineStr">
        <is>
          <t>Journal of investigative medicine high impact case reports</t>
        </is>
      </c>
      <c r="E27" s="3" t="inlineStr">
        <is>
          <t>2023</t>
        </is>
      </c>
      <c r="F27" s="3" t="inlineStr">
        <is>
          <t>articulo</t>
        </is>
      </c>
      <c r="G27" s="3" t="inlineStr">
        <is>
          <t>10.1177/23247096231188243</t>
        </is>
      </c>
      <c r="H27" s="4" t="inlineStr">
        <is>
          <t>abrir</t>
        </is>
      </c>
      <c r="I27" s="5" t="inlineStr"/>
      <c r="J27" s="5" t="inlineStr">
        <is>
          <t>A</t>
        </is>
      </c>
      <c r="K27" s="5" t="inlineStr"/>
      <c r="L27" s="5" t="inlineStr"/>
      <c r="M27" s="5" t="inlineStr"/>
      <c r="N27" s="5" t="inlineStr"/>
      <c r="O27" s="5" t="inlineStr"/>
      <c r="P27" s="5" t="inlineStr"/>
      <c r="Q27" s="5" t="inlineStr"/>
      <c r="R27" s="5" t="inlineStr"/>
      <c r="S27" s="5" t="inlineStr"/>
      <c r="T27" s="5" t="inlineStr"/>
      <c r="U27" s="5" t="inlineStr"/>
      <c r="V27" s="5" t="inlineStr"/>
      <c r="W27" s="5" t="inlineStr"/>
      <c r="X27" s="5" t="inlineStr"/>
      <c r="Y27" s="5" t="inlineStr"/>
      <c r="Z27" s="5" t="inlineStr"/>
      <c r="AA27" s="5" t="inlineStr"/>
      <c r="AB27" s="5">
        <f>IFERROR(IF(VLOOKUP(D27,Revistas!$A$21:$C$400,3,FALSE)=0,"",VLOOKUP(D27,Revistas!$A$21:$C$400,3,FALSE)),"")</f>
        <v/>
      </c>
      <c r="AC27" s="5" t="inlineStr"/>
      <c r="AD27" s="5" t="inlineStr"/>
      <c r="AE27" s="5" t="inlineStr"/>
    </row>
    <row r="28">
      <c r="A28" s="3" t="inlineStr">
        <is>
          <t>EST-039</t>
        </is>
      </c>
      <c r="B28" s="3" t="n">
        <v>97</v>
      </c>
      <c r="C28" s="3" t="inlineStr">
        <is>
          <t>Adaptive Phage Therapy for the Prevention of Recurrent Nosocomial Pneumonia: Novel Protocol Description and Case Series</t>
        </is>
      </c>
      <c r="D28" s="3" t="inlineStr">
        <is>
          <t>Antibiotics</t>
        </is>
      </c>
      <c r="E28" s="3" t="inlineStr">
        <is>
          <t>2023</t>
        </is>
      </c>
      <c r="F28" s="3" t="inlineStr">
        <is>
          <t>articulo</t>
        </is>
      </c>
      <c r="G28" s="3" t="inlineStr">
        <is>
          <t>10.3390/antibiotics12121734</t>
        </is>
      </c>
      <c r="H28" s="4" t="inlineStr">
        <is>
          <t>abrir</t>
        </is>
      </c>
      <c r="I28" s="5" t="inlineStr"/>
      <c r="J28" s="5" t="inlineStr">
        <is>
          <t>A</t>
        </is>
      </c>
      <c r="K28" s="5" t="inlineStr"/>
      <c r="L28" s="5" t="inlineStr"/>
      <c r="M28" s="5" t="inlineStr"/>
      <c r="N28" s="5" t="inlineStr"/>
      <c r="O28" s="5" t="inlineStr"/>
      <c r="P28" s="5" t="inlineStr"/>
      <c r="Q28" s="5" t="inlineStr"/>
      <c r="R28" s="5" t="inlineStr"/>
      <c r="S28" s="5" t="inlineStr"/>
      <c r="T28" s="5" t="inlineStr"/>
      <c r="U28" s="5" t="inlineStr"/>
      <c r="V28" s="5" t="inlineStr"/>
      <c r="W28" s="5" t="inlineStr"/>
      <c r="X28" s="5" t="inlineStr"/>
      <c r="Y28" s="5" t="inlineStr"/>
      <c r="Z28" s="5" t="inlineStr"/>
      <c r="AA28" s="5" t="inlineStr"/>
      <c r="AB28" s="5">
        <f>IFERROR(IF(VLOOKUP(D28,Revistas!$A$21:$C$400,3,FALSE)=0,"",VLOOKUP(D28,Revistas!$A$21:$C$400,3,FALSE)),"")</f>
        <v/>
      </c>
      <c r="AC28" s="5" t="inlineStr"/>
      <c r="AD28" s="5" t="inlineStr"/>
      <c r="AE28" s="5" t="inlineStr"/>
    </row>
    <row r="29">
      <c r="A29" s="3" t="inlineStr">
        <is>
          <t>EST-042</t>
        </is>
      </c>
      <c r="B29" s="3" t="n">
        <v>110</v>
      </c>
      <c r="C29" s="3" t="inlineStr">
        <is>
          <t>Phage therapy of perinephric abscess in kidney transplantation recipients caused by drug-resistant Pseudomonas aeruginosa.</t>
        </is>
      </c>
      <c r="D29" s="3" t="inlineStr">
        <is>
          <t>mLife</t>
        </is>
      </c>
      <c r="E29" s="3" t="inlineStr">
        <is>
          <t>2025</t>
        </is>
      </c>
      <c r="F29" s="3" t="inlineStr">
        <is>
          <t>articulo</t>
        </is>
      </c>
      <c r="G29" s="3" t="inlineStr">
        <is>
          <t>10.1002/mlf2.70042</t>
        </is>
      </c>
      <c r="H29" s="4" t="inlineStr">
        <is>
          <t>abrir</t>
        </is>
      </c>
      <c r="I29" s="5" t="inlineStr"/>
      <c r="J29" s="5" t="inlineStr">
        <is>
          <t>A</t>
        </is>
      </c>
      <c r="K29" s="5" t="inlineStr"/>
      <c r="L29" s="5" t="inlineStr"/>
      <c r="M29" s="5" t="inlineStr"/>
      <c r="N29" s="5" t="inlineStr"/>
      <c r="O29" s="5" t="inlineStr"/>
      <c r="P29" s="5" t="inlineStr"/>
      <c r="Q29" s="5" t="inlineStr"/>
      <c r="R29" s="5" t="inlineStr"/>
      <c r="S29" s="5" t="inlineStr"/>
      <c r="T29" s="5" t="inlineStr"/>
      <c r="U29" s="5" t="inlineStr"/>
      <c r="V29" s="5" t="inlineStr"/>
      <c r="W29" s="5" t="inlineStr"/>
      <c r="X29" s="5" t="inlineStr"/>
      <c r="Y29" s="5" t="inlineStr"/>
      <c r="Z29" s="5" t="inlineStr"/>
      <c r="AA29" s="5" t="inlineStr"/>
      <c r="AB29" s="5">
        <f>IFERROR(IF(VLOOKUP(D29,Revistas!$A$21:$C$400,3,FALSE)=0,"",VLOOKUP(D29,Revistas!$A$21:$C$400,3,FALSE)),"")</f>
        <v/>
      </c>
      <c r="AC29" s="5" t="inlineStr"/>
      <c r="AD29" s="5" t="inlineStr"/>
      <c r="AE29" s="5" t="inlineStr"/>
    </row>
    <row r="30">
      <c r="A30" s="3" t="inlineStr">
        <is>
          <t>EST-055</t>
        </is>
      </c>
      <c r="B30" s="3" t="n">
        <v>138</v>
      </c>
      <c r="C30" s="3" t="inlineStr">
        <is>
          <t>Bacteriophage therapy in women with chronic recurrent cystitis caused by multidrug-resistant bacteria: A prospective, observational, comparative study</t>
        </is>
      </c>
      <c r="D30" s="3" t="inlineStr">
        <is>
          <t>Current Urology</t>
        </is>
      </c>
      <c r="E30" s="3" t="inlineStr">
        <is>
          <t>2025</t>
        </is>
      </c>
      <c r="F30" s="3" t="inlineStr">
        <is>
          <t>articulo</t>
        </is>
      </c>
      <c r="G30" s="3" t="inlineStr">
        <is>
          <t>10.1097/cu9.0000000000000268</t>
        </is>
      </c>
      <c r="H30" s="4" t="inlineStr">
        <is>
          <t>abrir</t>
        </is>
      </c>
      <c r="I30" s="5" t="inlineStr"/>
      <c r="J30" s="5" t="inlineStr">
        <is>
          <t>A</t>
        </is>
      </c>
      <c r="K30" s="5" t="inlineStr"/>
      <c r="L30" s="5" t="inlineStr"/>
      <c r="M30" s="5" t="inlineStr"/>
      <c r="N30" s="5" t="inlineStr"/>
      <c r="O30" s="5" t="inlineStr"/>
      <c r="P30" s="5" t="inlineStr"/>
      <c r="Q30" s="5" t="inlineStr"/>
      <c r="R30" s="5" t="inlineStr"/>
      <c r="S30" s="5" t="inlineStr"/>
      <c r="T30" s="5" t="inlineStr"/>
      <c r="U30" s="5" t="inlineStr"/>
      <c r="V30" s="5" t="inlineStr"/>
      <c r="W30" s="5" t="inlineStr"/>
      <c r="X30" s="5" t="inlineStr"/>
      <c r="Y30" s="5" t="inlineStr"/>
      <c r="Z30" s="5" t="inlineStr"/>
      <c r="AA30" s="5" t="inlineStr"/>
      <c r="AB30" s="5">
        <f>IFERROR(IF(VLOOKUP(D30,Revistas!$A$21:$C$400,3,FALSE)=0,"",VLOOKUP(D30,Revistas!$A$21:$C$400,3,FALSE)),"")</f>
        <v/>
      </c>
      <c r="AC30" s="5" t="inlineStr"/>
      <c r="AD30" s="5" t="inlineStr"/>
      <c r="AE30" s="5" t="inlineStr"/>
    </row>
    <row r="31">
      <c r="A31" s="3" t="inlineStr">
        <is>
          <t>EST-074</t>
        </is>
      </c>
      <c r="B31" s="3" t="n">
        <v>259</v>
      </c>
      <c r="C31" s="3" t="inlineStr">
        <is>
          <t>Bacteriophage Therapy for Critical Infections Related to Cardiothoracic Surgery.</t>
        </is>
      </c>
      <c r="D31" s="3" t="inlineStr">
        <is>
          <t>Antibiotics (Basel, Switzerland)</t>
        </is>
      </c>
      <c r="E31" s="3" t="inlineStr">
        <is>
          <t>2020</t>
        </is>
      </c>
      <c r="F31" s="3" t="inlineStr">
        <is>
          <t>articulo</t>
        </is>
      </c>
      <c r="G31" s="3" t="inlineStr">
        <is>
          <t>10.3390/antibiotics9050232</t>
        </is>
      </c>
      <c r="H31" s="4" t="inlineStr">
        <is>
          <t>abrir</t>
        </is>
      </c>
      <c r="I31" s="5" t="inlineStr"/>
      <c r="J31" s="5" t="inlineStr">
        <is>
          <t>A</t>
        </is>
      </c>
      <c r="K31" s="5" t="inlineStr"/>
      <c r="L31" s="5" t="inlineStr"/>
      <c r="M31" s="5" t="inlineStr"/>
      <c r="N31" s="5" t="inlineStr"/>
      <c r="O31" s="5" t="inlineStr"/>
      <c r="P31" s="5" t="inlineStr"/>
      <c r="Q31" s="5" t="inlineStr"/>
      <c r="R31" s="5" t="inlineStr"/>
      <c r="S31" s="5" t="inlineStr"/>
      <c r="T31" s="5" t="inlineStr"/>
      <c r="U31" s="5" t="inlineStr"/>
      <c r="V31" s="5" t="inlineStr"/>
      <c r="W31" s="5" t="inlineStr"/>
      <c r="X31" s="5" t="inlineStr"/>
      <c r="Y31" s="5" t="inlineStr"/>
      <c r="Z31" s="5" t="inlineStr"/>
      <c r="AA31" s="5" t="inlineStr"/>
      <c r="AB31" s="5">
        <f>IFERROR(IF(VLOOKUP(D31,Revistas!$A$21:$C$400,3,FALSE)=0,"",VLOOKUP(D31,Revistas!$A$21:$C$400,3,FALSE)),"")</f>
        <v/>
      </c>
      <c r="AC31" s="5" t="inlineStr"/>
      <c r="AD31" s="5" t="inlineStr"/>
      <c r="AE31" s="5" t="inlineStr"/>
    </row>
    <row r="32">
      <c r="A32" s="3" t="inlineStr">
        <is>
          <t>EST-075</t>
        </is>
      </c>
      <c r="B32" s="3" t="n">
        <v>264</v>
      </c>
      <c r="C32" s="3" t="inlineStr">
        <is>
          <t>Phage therapy in antibiotic resistant pneumonia: Immunomodulation or redistribution?; [ФАГОТЕРАПИЯ АНТИБИОТИКОРЕЗИСТЕНТНОЙ ПНЕВМОНИИ: ИММУНОМОДУЛЯЦИЯ ИЛИ ПЕРЕРАСПРЕДЕЛЕНИЕ?]</t>
        </is>
      </c>
      <c r="D32" s="3" t="inlineStr">
        <is>
          <t>Medical Immunology (Russia)</t>
        </is>
      </c>
      <c r="E32" s="3" t="inlineStr">
        <is>
          <t>2021</t>
        </is>
      </c>
      <c r="F32" s="3" t="inlineStr">
        <is>
          <t>articulo</t>
        </is>
      </c>
      <c r="G32" s="3" t="inlineStr">
        <is>
          <t>10.15789/1563-0625-pti-2012</t>
        </is>
      </c>
      <c r="H32" s="4" t="inlineStr">
        <is>
          <t>abrir</t>
        </is>
      </c>
      <c r="I32" s="5" t="inlineStr"/>
      <c r="J32" s="5" t="inlineStr">
        <is>
          <t>A</t>
        </is>
      </c>
      <c r="K32" s="5" t="inlineStr"/>
      <c r="L32" s="5" t="inlineStr"/>
      <c r="M32" s="5" t="inlineStr"/>
      <c r="N32" s="5" t="inlineStr"/>
      <c r="O32" s="5" t="inlineStr"/>
      <c r="P32" s="5" t="inlineStr"/>
      <c r="Q32" s="5" t="inlineStr"/>
      <c r="R32" s="5" t="inlineStr"/>
      <c r="S32" s="5" t="inlineStr"/>
      <c r="T32" s="5" t="inlineStr"/>
      <c r="U32" s="5" t="inlineStr"/>
      <c r="V32" s="5" t="inlineStr"/>
      <c r="W32" s="5" t="inlineStr"/>
      <c r="X32" s="5" t="inlineStr"/>
      <c r="Y32" s="5" t="inlineStr"/>
      <c r="Z32" s="5" t="inlineStr"/>
      <c r="AA32" s="5" t="inlineStr"/>
      <c r="AB32" s="5">
        <f>IFERROR(IF(VLOOKUP(D32,Revistas!$A$21:$C$400,3,FALSE)=0,"",VLOOKUP(D32,Revistas!$A$21:$C$400,3,FALSE)),"")</f>
        <v/>
      </c>
      <c r="AC32" s="5" t="inlineStr"/>
      <c r="AD32" s="5" t="inlineStr"/>
      <c r="AE32" s="5" t="inlineStr"/>
    </row>
    <row r="33">
      <c r="A33" s="3" t="inlineStr">
        <is>
          <t>EST-077</t>
        </is>
      </c>
      <c r="B33" s="3" t="n">
        <v>278</v>
      </c>
      <c r="C33" s="3" t="inlineStr">
        <is>
          <t>Pseudomonas aeruginosa ventricular assist device infections: findings from ineffective phage therapies in five cases.</t>
        </is>
      </c>
      <c r="D33" s="3" t="inlineStr">
        <is>
          <t>Antimicrobial agents and chemotherapy</t>
        </is>
      </c>
      <c r="E33" s="3" t="inlineStr">
        <is>
          <t>2024</t>
        </is>
      </c>
      <c r="F33" s="3" t="inlineStr">
        <is>
          <t>articulo</t>
        </is>
      </c>
      <c r="G33" s="3" t="inlineStr">
        <is>
          <t>10.1128/aac.01728-23</t>
        </is>
      </c>
      <c r="H33" s="4" t="inlineStr">
        <is>
          <t>abrir</t>
        </is>
      </c>
      <c r="I33" s="5" t="inlineStr"/>
      <c r="J33" s="5" t="inlineStr">
        <is>
          <t>A</t>
        </is>
      </c>
      <c r="K33" s="5" t="inlineStr"/>
      <c r="L33" s="5" t="inlineStr"/>
      <c r="M33" s="5" t="inlineStr"/>
      <c r="N33" s="5" t="inlineStr"/>
      <c r="O33" s="5" t="inlineStr"/>
      <c r="P33" s="5" t="inlineStr"/>
      <c r="Q33" s="5" t="inlineStr"/>
      <c r="R33" s="5" t="inlineStr"/>
      <c r="S33" s="5" t="inlineStr"/>
      <c r="T33" s="5" t="inlineStr"/>
      <c r="U33" s="5" t="inlineStr"/>
      <c r="V33" s="5" t="inlineStr"/>
      <c r="W33" s="5" t="inlineStr"/>
      <c r="X33" s="5" t="inlineStr"/>
      <c r="Y33" s="5" t="inlineStr"/>
      <c r="Z33" s="5" t="inlineStr"/>
      <c r="AA33" s="5" t="inlineStr"/>
      <c r="AB33" s="5">
        <f>IFERROR(IF(VLOOKUP(D33,Revistas!$A$21:$C$400,3,FALSE)=0,"",VLOOKUP(D33,Revistas!$A$21:$C$400,3,FALSE)),"")</f>
        <v/>
      </c>
      <c r="AC33" s="5" t="inlineStr"/>
      <c r="AD33" s="5" t="inlineStr"/>
      <c r="AE33" s="5" t="inlineStr"/>
    </row>
    <row r="34">
      <c r="A34" s="3" t="inlineStr">
        <is>
          <t>EST-080</t>
        </is>
      </c>
      <c r="B34" s="3" t="n">
        <v>321</v>
      </c>
      <c r="C34" s="3" t="inlineStr">
        <is>
          <t>Bacteriophage Therapy as a Potential Management Option for Surgical Wound Infections</t>
        </is>
      </c>
      <c r="D34" s="3" t="inlineStr">
        <is>
          <t>PHAGE: Therapy, Applications, and Research</t>
        </is>
      </c>
      <c r="E34" s="3" t="inlineStr">
        <is>
          <t>2020</t>
        </is>
      </c>
      <c r="F34" s="3" t="inlineStr">
        <is>
          <t>articulo</t>
        </is>
      </c>
      <c r="G34" s="3" t="inlineStr">
        <is>
          <t>10.1089/phage.2020.0010</t>
        </is>
      </c>
      <c r="H34" s="4" t="inlineStr">
        <is>
          <t>abrir</t>
        </is>
      </c>
      <c r="I34" s="5" t="inlineStr"/>
      <c r="J34" s="5" t="inlineStr">
        <is>
          <t>A</t>
        </is>
      </c>
      <c r="K34" s="5" t="inlineStr"/>
      <c r="L34" s="5" t="inlineStr"/>
      <c r="M34" s="5" t="inlineStr"/>
      <c r="N34" s="5" t="inlineStr"/>
      <c r="O34" s="5" t="inlineStr"/>
      <c r="P34" s="5" t="inlineStr"/>
      <c r="Q34" s="5" t="inlineStr"/>
      <c r="R34" s="5" t="inlineStr"/>
      <c r="S34" s="5" t="inlineStr"/>
      <c r="T34" s="5" t="inlineStr"/>
      <c r="U34" s="5" t="inlineStr"/>
      <c r="V34" s="5" t="inlineStr"/>
      <c r="W34" s="5" t="inlineStr"/>
      <c r="X34" s="5" t="inlineStr"/>
      <c r="Y34" s="5" t="inlineStr"/>
      <c r="Z34" s="5" t="inlineStr"/>
      <c r="AA34" s="5" t="inlineStr"/>
      <c r="AB34" s="5">
        <f>IFERROR(IF(VLOOKUP(D34,Revistas!$A$21:$C$400,3,FALSE)=0,"",VLOOKUP(D34,Revistas!$A$21:$C$400,3,FALSE)),"")</f>
        <v/>
      </c>
      <c r="AC34" s="5" t="inlineStr"/>
      <c r="AD34" s="5" t="inlineStr"/>
      <c r="AE34" s="5" t="inlineStr"/>
    </row>
    <row r="35">
      <c r="A35" s="3" t="inlineStr">
        <is>
          <t>EST-091</t>
        </is>
      </c>
      <c r="B35" s="3" t="n">
        <v>387</v>
      </c>
      <c r="C35" s="3" t="inlineStr">
        <is>
          <t>Analysis of Pro- and Anti-Inflammatory Gene Response Patterns in Patients Receiving Phage Therapy.</t>
        </is>
      </c>
      <c r="D35" s="3" t="inlineStr">
        <is>
          <t>International journal of molecular sciences</t>
        </is>
      </c>
      <c r="E35" s="3" t="inlineStr">
        <is>
          <t>2025</t>
        </is>
      </c>
      <c r="F35" s="3" t="inlineStr">
        <is>
          <t>articulo</t>
        </is>
      </c>
      <c r="G35" s="3" t="inlineStr">
        <is>
          <t>10.3390/ijms27010172</t>
        </is>
      </c>
      <c r="H35" s="4" t="inlineStr">
        <is>
          <t>abrir</t>
        </is>
      </c>
      <c r="I35" s="5" t="inlineStr"/>
      <c r="J35" s="5" t="inlineStr">
        <is>
          <t>A</t>
        </is>
      </c>
      <c r="K35" s="5" t="inlineStr"/>
      <c r="L35" s="5" t="inlineStr"/>
      <c r="M35" s="5" t="inlineStr"/>
      <c r="N35" s="5" t="inlineStr"/>
      <c r="O35" s="5" t="inlineStr"/>
      <c r="P35" s="5" t="inlineStr"/>
      <c r="Q35" s="5" t="inlineStr"/>
      <c r="R35" s="5" t="inlineStr"/>
      <c r="S35" s="5" t="inlineStr"/>
      <c r="T35" s="5" t="inlineStr"/>
      <c r="U35" s="5" t="inlineStr"/>
      <c r="V35" s="5" t="inlineStr"/>
      <c r="W35" s="5" t="inlineStr"/>
      <c r="X35" s="5" t="inlineStr"/>
      <c r="Y35" s="5" t="inlineStr"/>
      <c r="Z35" s="5" t="inlineStr"/>
      <c r="AA35" s="5" t="inlineStr"/>
      <c r="AB35" s="5">
        <f>IFERROR(IF(VLOOKUP(D35,Revistas!$A$21:$C$400,3,FALSE)=0,"",VLOOKUP(D35,Revistas!$A$21:$C$400,3,FALSE)),"")</f>
        <v/>
      </c>
      <c r="AC35" s="5" t="inlineStr"/>
      <c r="AD35" s="5" t="inlineStr"/>
      <c r="AE35" s="5" t="inlineStr"/>
    </row>
    <row r="36">
      <c r="A36" s="3" t="inlineStr">
        <is>
          <t>EST-108</t>
        </is>
      </c>
      <c r="B36" s="3" t="n">
        <v>606</v>
      </c>
      <c r="C36" s="3" t="inlineStr">
        <is>
          <t>Personalized bacteriophage therapy outcomes for 100 consecutive cases: a multicentre, multinational, retrospective observational study.</t>
        </is>
      </c>
      <c r="D36" s="3" t="inlineStr">
        <is>
          <t>Nature microbiology</t>
        </is>
      </c>
      <c r="E36" s="3" t="inlineStr">
        <is>
          <t>2024</t>
        </is>
      </c>
      <c r="F36" s="3" t="inlineStr">
        <is>
          <t>articulo</t>
        </is>
      </c>
      <c r="G36" s="3" t="inlineStr">
        <is>
          <t>10.1038/s41564-024-01705-x</t>
        </is>
      </c>
      <c r="H36" s="4" t="inlineStr">
        <is>
          <t>abrir</t>
        </is>
      </c>
      <c r="I36" s="5" t="inlineStr"/>
      <c r="J36" s="5" t="inlineStr">
        <is>
          <t>A</t>
        </is>
      </c>
      <c r="K36" s="5" t="inlineStr"/>
      <c r="L36" s="5" t="inlineStr"/>
      <c r="M36" s="5" t="inlineStr"/>
      <c r="N36" s="5" t="inlineStr"/>
      <c r="O36" s="5" t="inlineStr"/>
      <c r="P36" s="5" t="inlineStr"/>
      <c r="Q36" s="5" t="inlineStr"/>
      <c r="R36" s="5" t="inlineStr"/>
      <c r="S36" s="5" t="inlineStr"/>
      <c r="T36" s="5" t="inlineStr"/>
      <c r="U36" s="5" t="inlineStr"/>
      <c r="V36" s="5" t="inlineStr"/>
      <c r="W36" s="5" t="inlineStr"/>
      <c r="X36" s="5" t="inlineStr"/>
      <c r="Y36" s="5" t="inlineStr"/>
      <c r="Z36" s="5" t="inlineStr"/>
      <c r="AA36" s="5" t="inlineStr"/>
      <c r="AB36" s="5">
        <f>IFERROR(IF(VLOOKUP(D36,Revistas!$A$21:$C$400,3,FALSE)=0,"",VLOOKUP(D36,Revistas!$A$21:$C$400,3,FALSE)),"")</f>
        <v/>
      </c>
      <c r="AC36" s="5" t="inlineStr"/>
      <c r="AD36" s="5" t="inlineStr"/>
      <c r="AE36" s="5" t="inlineStr"/>
    </row>
    <row r="37">
      <c r="A37" s="3" t="inlineStr">
        <is>
          <t>EST-116</t>
        </is>
      </c>
      <c r="B37" s="3" t="n">
        <v>687</v>
      </c>
      <c r="C37" s="3" t="inlineStr">
        <is>
          <t>Processing Phage Therapy Requests in a Brussels Military Hospital: Lessons Identified.</t>
        </is>
      </c>
      <c r="D37" s="3" t="inlineStr">
        <is>
          <t>Viruses</t>
        </is>
      </c>
      <c r="E37" s="3" t="inlineStr">
        <is>
          <t>2019</t>
        </is>
      </c>
      <c r="F37" s="3" t="inlineStr">
        <is>
          <t>articulo</t>
        </is>
      </c>
      <c r="G37" s="3" t="inlineStr">
        <is>
          <t>10.3390/v11030265</t>
        </is>
      </c>
      <c r="H37" s="4" t="inlineStr">
        <is>
          <t>abrir</t>
        </is>
      </c>
      <c r="I37" s="5" t="inlineStr"/>
      <c r="J37" s="5" t="inlineStr">
        <is>
          <t>A</t>
        </is>
      </c>
      <c r="K37" s="5" t="inlineStr"/>
      <c r="L37" s="5" t="inlineStr"/>
      <c r="M37" s="5" t="inlineStr"/>
      <c r="N37" s="5" t="inlineStr"/>
      <c r="O37" s="5" t="inlineStr"/>
      <c r="P37" s="5" t="inlineStr"/>
      <c r="Q37" s="5" t="inlineStr"/>
      <c r="R37" s="5" t="inlineStr"/>
      <c r="S37" s="5" t="inlineStr"/>
      <c r="T37" s="5" t="inlineStr"/>
      <c r="U37" s="5" t="inlineStr"/>
      <c r="V37" s="5" t="inlineStr"/>
      <c r="W37" s="5" t="inlineStr"/>
      <c r="X37" s="5" t="inlineStr"/>
      <c r="Y37" s="5" t="inlineStr"/>
      <c r="Z37" s="5" t="inlineStr"/>
      <c r="AA37" s="5" t="inlineStr"/>
      <c r="AB37" s="5">
        <f>IFERROR(IF(VLOOKUP(D37,Revistas!$A$21:$C$400,3,FALSE)=0,"",VLOOKUP(D37,Revistas!$A$21:$C$400,3,FALSE)),"")</f>
        <v/>
      </c>
      <c r="AC37" s="5" t="inlineStr"/>
      <c r="AD37" s="5" t="inlineStr"/>
      <c r="AE37" s="5" t="inlineStr"/>
    </row>
    <row r="38">
      <c r="A38" s="3" t="inlineStr">
        <is>
          <t>EST-117</t>
        </is>
      </c>
      <c r="B38" s="3" t="n">
        <v>708</v>
      </c>
      <c r="C38" s="3" t="inlineStr">
        <is>
          <t>Anti-phage serum antibody responses and the outcome of phage therapy.</t>
        </is>
      </c>
      <c r="D38" s="3" t="inlineStr">
        <is>
          <t>Folia microbiologica</t>
        </is>
      </c>
      <c r="E38" s="3" t="inlineStr">
        <is>
          <t>2021</t>
        </is>
      </c>
      <c r="F38" s="3" t="inlineStr">
        <is>
          <t>articulo</t>
        </is>
      </c>
      <c r="G38" s="3" t="inlineStr">
        <is>
          <t>10.1007/s12223-020-00835-z</t>
        </is>
      </c>
      <c r="H38" s="4" t="inlineStr">
        <is>
          <t>abrir</t>
        </is>
      </c>
      <c r="I38" s="5" t="inlineStr"/>
      <c r="J38" s="5" t="inlineStr">
        <is>
          <t>A</t>
        </is>
      </c>
      <c r="K38" s="5" t="inlineStr"/>
      <c r="L38" s="5" t="inlineStr"/>
      <c r="M38" s="5" t="inlineStr"/>
      <c r="N38" s="5" t="inlineStr"/>
      <c r="O38" s="5" t="inlineStr"/>
      <c r="P38" s="5" t="inlineStr"/>
      <c r="Q38" s="5" t="inlineStr"/>
      <c r="R38" s="5" t="inlineStr"/>
      <c r="S38" s="5" t="inlineStr"/>
      <c r="T38" s="5" t="inlineStr"/>
      <c r="U38" s="5" t="inlineStr"/>
      <c r="V38" s="5" t="inlineStr"/>
      <c r="W38" s="5" t="inlineStr"/>
      <c r="X38" s="5" t="inlineStr"/>
      <c r="Y38" s="5" t="inlineStr"/>
      <c r="Z38" s="5" t="inlineStr"/>
      <c r="AA38" s="5" t="inlineStr"/>
      <c r="AB38" s="5">
        <f>IFERROR(IF(VLOOKUP(D38,Revistas!$A$21:$C$400,3,FALSE)=0,"",VLOOKUP(D38,Revistas!$A$21:$C$400,3,FALSE)),"")</f>
        <v/>
      </c>
      <c r="AC38" s="5" t="inlineStr"/>
      <c r="AD38" s="5" t="inlineStr"/>
      <c r="AE38" s="5" t="inlineStr"/>
    </row>
    <row r="39">
      <c r="A39" s="3" t="inlineStr">
        <is>
          <t>EST-134</t>
        </is>
      </c>
      <c r="B39" s="3" t="n">
        <v>896</v>
      </c>
      <c r="C39" s="3" t="inlineStr">
        <is>
          <t>Adapted Bacteriophages for Treating Urinary Tract Infections.</t>
        </is>
      </c>
      <c r="D39" s="3" t="inlineStr">
        <is>
          <t>Frontiers in microbiology</t>
        </is>
      </c>
      <c r="E39" s="3" t="inlineStr">
        <is>
          <t>2018</t>
        </is>
      </c>
      <c r="F39" s="3" t="inlineStr">
        <is>
          <t>articulo</t>
        </is>
      </c>
      <c r="G39" s="3" t="inlineStr">
        <is>
          <t>30131795</t>
        </is>
      </c>
      <c r="H39" s="4" t="inlineStr">
        <is>
          <t>abrir</t>
        </is>
      </c>
      <c r="I39" s="5" t="inlineStr"/>
      <c r="J39" s="5" t="inlineStr">
        <is>
          <t>A</t>
        </is>
      </c>
      <c r="K39" s="5" t="inlineStr"/>
      <c r="L39" s="5" t="inlineStr"/>
      <c r="M39" s="5" t="inlineStr"/>
      <c r="N39" s="5" t="inlineStr"/>
      <c r="O39" s="5" t="inlineStr"/>
      <c r="P39" s="5" t="inlineStr"/>
      <c r="Q39" s="5" t="inlineStr"/>
      <c r="R39" s="5" t="inlineStr"/>
      <c r="S39" s="5" t="inlineStr"/>
      <c r="T39" s="5" t="inlineStr"/>
      <c r="U39" s="5" t="inlineStr"/>
      <c r="V39" s="5" t="inlineStr"/>
      <c r="W39" s="5" t="inlineStr"/>
      <c r="X39" s="5" t="inlineStr"/>
      <c r="Y39" s="5" t="inlineStr"/>
      <c r="Z39" s="5" t="inlineStr"/>
      <c r="AA39" s="5" t="inlineStr"/>
      <c r="AB39" s="5">
        <f>IFERROR(IF(VLOOKUP(D39,Revistas!$A$21:$C$400,3,FALSE)=0,"",VLOOKUP(D39,Revistas!$A$21:$C$400,3,FALSE)),"")</f>
        <v/>
      </c>
      <c r="AC39" s="5" t="inlineStr"/>
      <c r="AD39" s="5" t="inlineStr"/>
      <c r="AE39" s="5" t="inlineStr"/>
    </row>
    <row r="40">
      <c r="A40" s="3" t="inlineStr">
        <is>
          <t>EST-146</t>
        </is>
      </c>
      <c r="B40" s="3" t="n">
        <v>1239</v>
      </c>
      <c r="C40" s="3" t="inlineStr">
        <is>
          <t>A Retrospective, Observational Study of 12 Cases of Expanded-Access Customized Phage Therapy: Production, Characteristics, and Clinical Outcomes.</t>
        </is>
      </c>
      <c r="D40" s="3" t="inlineStr">
        <is>
          <t>Clinical infectious diseases : an official publication of the Infectious Diseases Society of America</t>
        </is>
      </c>
      <c r="E40" s="3" t="inlineStr">
        <is>
          <t>2023</t>
        </is>
      </c>
      <c r="F40" s="3" t="inlineStr">
        <is>
          <t>articulo</t>
        </is>
      </c>
      <c r="G40" s="3" t="inlineStr">
        <is>
          <t>10.1093/cid/ciad335</t>
        </is>
      </c>
      <c r="H40" s="4" t="inlineStr">
        <is>
          <t>abrir</t>
        </is>
      </c>
      <c r="I40" s="5" t="inlineStr"/>
      <c r="J40" s="5" t="inlineStr">
        <is>
          <t>A</t>
        </is>
      </c>
      <c r="K40" s="5" t="inlineStr"/>
      <c r="L40" s="5" t="inlineStr"/>
      <c r="M40" s="5" t="inlineStr"/>
      <c r="N40" s="5" t="inlineStr"/>
      <c r="O40" s="5" t="inlineStr"/>
      <c r="P40" s="5" t="inlineStr"/>
      <c r="Q40" s="5" t="inlineStr"/>
      <c r="R40" s="5" t="inlineStr"/>
      <c r="S40" s="5" t="inlineStr"/>
      <c r="T40" s="5" t="inlineStr"/>
      <c r="U40" s="5" t="inlineStr"/>
      <c r="V40" s="5" t="inlineStr"/>
      <c r="W40" s="5" t="inlineStr"/>
      <c r="X40" s="5" t="inlineStr"/>
      <c r="Y40" s="5" t="inlineStr"/>
      <c r="Z40" s="5" t="inlineStr"/>
      <c r="AA40" s="5" t="inlineStr"/>
      <c r="AB40" s="5">
        <f>IFERROR(IF(VLOOKUP(D40,Revistas!$A$21:$C$400,3,FALSE)=0,"",VLOOKUP(D40,Revistas!$A$21:$C$400,3,FALSE)),"")</f>
        <v/>
      </c>
      <c r="AC40" s="5" t="inlineStr"/>
      <c r="AD40" s="5" t="inlineStr"/>
      <c r="AE40" s="5" t="inlineStr"/>
    </row>
    <row r="41">
      <c r="A41" s="3" t="inlineStr">
        <is>
          <t>EST-152</t>
        </is>
      </c>
      <c r="B41" s="3" t="n">
        <v>1410</v>
      </c>
      <c r="C41" s="3" t="inlineStr">
        <is>
          <t>The Appearance of Antiphage Antibodies in Sera of Patients Treated with Phages</t>
        </is>
      </c>
      <c r="D41" s="3" t="inlineStr">
        <is>
          <t>Antibiotics</t>
        </is>
      </c>
      <c r="E41" s="3" t="inlineStr">
        <is>
          <t>2025</t>
        </is>
      </c>
      <c r="F41" s="3" t="inlineStr">
        <is>
          <t>articulo</t>
        </is>
      </c>
      <c r="G41" s="3" t="inlineStr">
        <is>
          <t>10.3390/antibiotics14010087</t>
        </is>
      </c>
      <c r="H41" s="4" t="inlineStr">
        <is>
          <t>abrir</t>
        </is>
      </c>
      <c r="I41" s="5" t="inlineStr"/>
      <c r="J41" s="5" t="inlineStr">
        <is>
          <t>A</t>
        </is>
      </c>
      <c r="K41" s="5" t="inlineStr"/>
      <c r="L41" s="5" t="inlineStr"/>
      <c r="M41" s="5" t="inlineStr"/>
      <c r="N41" s="5" t="inlineStr"/>
      <c r="O41" s="5" t="inlineStr"/>
      <c r="P41" s="5" t="inlineStr"/>
      <c r="Q41" s="5" t="inlineStr"/>
      <c r="R41" s="5" t="inlineStr"/>
      <c r="S41" s="5" t="inlineStr"/>
      <c r="T41" s="5" t="inlineStr"/>
      <c r="U41" s="5" t="inlineStr"/>
      <c r="V41" s="5" t="inlineStr"/>
      <c r="W41" s="5" t="inlineStr"/>
      <c r="X41" s="5" t="inlineStr"/>
      <c r="Y41" s="5" t="inlineStr"/>
      <c r="Z41" s="5" t="inlineStr"/>
      <c r="AA41" s="5" t="inlineStr"/>
      <c r="AB41" s="5">
        <f>IFERROR(IF(VLOOKUP(D41,Revistas!$A$21:$C$400,3,FALSE)=0,"",VLOOKUP(D41,Revistas!$A$21:$C$400,3,FALSE)),"")</f>
        <v/>
      </c>
      <c r="AC41" s="5" t="inlineStr"/>
      <c r="AD41" s="5" t="inlineStr"/>
      <c r="AE41" s="5" t="inlineStr"/>
    </row>
    <row r="42">
      <c r="A42" s="3" t="inlineStr">
        <is>
          <t>EST-169</t>
        </is>
      </c>
      <c r="B42" s="3" t="n">
        <v>2315</v>
      </c>
      <c r="C42" s="3" t="inlineStr">
        <is>
          <t>Safety and tolerability of bronchoscopic and nebulised administration of bacteriophage.</t>
        </is>
      </c>
      <c r="D42" s="3" t="inlineStr">
        <is>
          <t>Virus research</t>
        </is>
      </c>
      <c r="E42" s="3" t="inlineStr">
        <is>
          <t>2024</t>
        </is>
      </c>
      <c r="F42" s="3" t="inlineStr">
        <is>
          <t>articulo</t>
        </is>
      </c>
      <c r="G42" s="3" t="inlineStr">
        <is>
          <t>10.1016/j.virusres.2024.199442</t>
        </is>
      </c>
      <c r="H42" s="4" t="inlineStr">
        <is>
          <t>abrir</t>
        </is>
      </c>
      <c r="I42" s="5" t="inlineStr"/>
      <c r="J42" s="5" t="inlineStr">
        <is>
          <t>A</t>
        </is>
      </c>
      <c r="K42" s="5" t="inlineStr"/>
      <c r="L42" s="5" t="inlineStr"/>
      <c r="M42" s="5" t="inlineStr"/>
      <c r="N42" s="5" t="inlineStr"/>
      <c r="O42" s="5" t="inlineStr"/>
      <c r="P42" s="5" t="inlineStr"/>
      <c r="Q42" s="5" t="inlineStr"/>
      <c r="R42" s="5" t="inlineStr"/>
      <c r="S42" s="5" t="inlineStr"/>
      <c r="T42" s="5" t="inlineStr"/>
      <c r="U42" s="5" t="inlineStr"/>
      <c r="V42" s="5" t="inlineStr"/>
      <c r="W42" s="5" t="inlineStr"/>
      <c r="X42" s="5" t="inlineStr"/>
      <c r="Y42" s="5" t="inlineStr"/>
      <c r="Z42" s="5" t="inlineStr"/>
      <c r="AA42" s="5" t="inlineStr"/>
      <c r="AB42" s="5">
        <f>IFERROR(IF(VLOOKUP(D42,Revistas!$A$21:$C$400,3,FALSE)=0,"",VLOOKUP(D42,Revistas!$A$21:$C$400,3,FALSE)),"")</f>
        <v/>
      </c>
      <c r="AC42" s="5" t="inlineStr"/>
      <c r="AD42" s="5" t="inlineStr"/>
      <c r="AE42" s="5" t="inlineStr"/>
    </row>
    <row r="43">
      <c r="A43" s="3" t="inlineStr">
        <is>
          <t>EST-003</t>
        </is>
      </c>
      <c r="B43" s="3" t="n">
        <v>3</v>
      </c>
      <c r="C43" s="3" t="inlineStr">
        <is>
          <t>Refractory Pseudomonas aeruginosa infections treated with phage PASA16: A compassionate use case series.</t>
        </is>
      </c>
      <c r="D43" s="3" t="inlineStr">
        <is>
          <t>Med (New York, N.Y.)</t>
        </is>
      </c>
      <c r="E43" s="3" t="inlineStr">
        <is>
          <t>2023</t>
        </is>
      </c>
      <c r="F43" s="3" t="inlineStr">
        <is>
          <t>articulo</t>
        </is>
      </c>
      <c r="G43" s="3" t="inlineStr">
        <is>
          <t>10.1016/j.medj.2023.07.002</t>
        </is>
      </c>
      <c r="H43" s="4" t="inlineStr">
        <is>
          <t>abrir</t>
        </is>
      </c>
      <c r="I43" s="5" t="inlineStr">
        <is>
          <t>Onallah2023</t>
        </is>
      </c>
      <c r="J43" s="5" t="inlineStr">
        <is>
          <t>A</t>
        </is>
      </c>
      <c r="K43" s="5" t="inlineStr">
        <is>
          <t>solo Pseudomonas</t>
        </is>
      </c>
      <c r="L43" s="5" t="inlineStr">
        <is>
          <t>no clasificable</t>
        </is>
      </c>
      <c r="M43" s="5" t="inlineStr">
        <is>
          <t>declarado por el autor</t>
        </is>
      </c>
      <c r="N43" s="5" t="inlineStr">
        <is>
          <t>no</t>
        </is>
      </c>
      <c r="O43" s="5" t="inlineStr">
        <is>
          <t>NA</t>
        </is>
      </c>
      <c r="P43" s="5" t="inlineStr">
        <is>
          <t>NA</t>
        </is>
      </c>
      <c r="Q43" s="5" t="inlineStr">
        <is>
          <t>serie de casos</t>
        </is>
      </c>
      <c r="R43" s="5" t="inlineStr">
        <is>
          <t>COMPLETA</t>
        </is>
      </c>
      <c r="S43" s="5" t="n">
        <v>1</v>
      </c>
      <c r="T43" s="5" t="inlineStr">
        <is>
          <t>Na</t>
        </is>
      </c>
      <c r="U43" s="5" t="inlineStr">
        <is>
          <t>Na</t>
        </is>
      </c>
      <c r="V43" s="5" t="inlineStr">
        <is>
          <t>Na</t>
        </is>
      </c>
      <c r="W43" s="5" t="inlineStr">
        <is>
          <t>Na</t>
        </is>
      </c>
      <c r="X43" s="5" t="inlineStr">
        <is>
          <t>Na</t>
        </is>
      </c>
      <c r="Y43" s="5" t="inlineStr">
        <is>
          <t>Na</t>
        </is>
      </c>
      <c r="Z43" s="5" t="n">
        <v>2023</v>
      </c>
      <c r="AA43" s="5" t="inlineStr">
        <is>
          <t>En conclusión, parece que para los pacientes con infecciones persistentes por P. aeruginosa para los que la terapia convencional previa ha fracasado, el bacteriófago PASA16 puede ofrecer una opción de tratamiento razonable y segura, aunque se necesitan estudios prospectivos más amplios para definir mejor la susceptibilidad, el esquema de dosificación y la duración. Nuestro estudio ofrece una base potencial para dichos estudios, así como casos de uso compasivos en necesidad.</t>
        </is>
      </c>
      <c r="AB43" s="5">
        <f>IFERROR(IF(VLOOKUP(D43,Revistas!$A$21:$C$400,3,FALSE)=0,"",VLOOKUP(D43,Revistas!$A$21:$C$400,3,FALSE)),"")</f>
        <v/>
      </c>
      <c r="AC43" s="5" t="inlineStr">
        <is>
          <t>Israel</t>
        </is>
      </c>
      <c r="AD43" s="5" t="inlineStr">
        <is>
          <t>Tabla 4. Descripción general de los 16 casos de terapia con bacteriófagos PASA16</t>
        </is>
      </c>
      <c r="AE43" s="5" t="inlineStr">
        <is>
          <t>Na</t>
        </is>
      </c>
    </row>
    <row r="44">
      <c r="A44" s="3" t="inlineStr">
        <is>
          <t>EST-003</t>
        </is>
      </c>
      <c r="B44" s="3" t="n">
        <v>3</v>
      </c>
      <c r="C44" s="3" t="inlineStr">
        <is>
          <t>Refractory Pseudomonas aeruginosa infections treated with phage PASA16: A compassionate use case series.</t>
        </is>
      </c>
      <c r="D44" s="3" t="inlineStr">
        <is>
          <t>Med (New York, N.Y.)</t>
        </is>
      </c>
      <c r="E44" s="3" t="inlineStr">
        <is>
          <t>2023</t>
        </is>
      </c>
      <c r="F44" s="3" t="inlineStr">
        <is>
          <t>articulo</t>
        </is>
      </c>
      <c r="G44" s="3" t="inlineStr">
        <is>
          <t>10.1016/j.medj.2023.07.002</t>
        </is>
      </c>
      <c r="H44" s="4" t="inlineStr">
        <is>
          <t>abrir</t>
        </is>
      </c>
      <c r="I44" s="5" t="inlineStr">
        <is>
          <t>Onallah2023</t>
        </is>
      </c>
      <c r="J44" s="5" t="inlineStr">
        <is>
          <t>B</t>
        </is>
      </c>
      <c r="K44" s="5" t="inlineStr">
        <is>
          <t>solo Pseudomonas</t>
        </is>
      </c>
      <c r="L44" s="5" t="inlineStr">
        <is>
          <t>por debajo del umbral MDR</t>
        </is>
      </c>
      <c r="M44" s="5" t="inlineStr">
        <is>
          <t>declarado por el autor</t>
        </is>
      </c>
      <c r="N44" s="5" t="inlineStr">
        <is>
          <t>no</t>
        </is>
      </c>
      <c r="O44" s="5" t="inlineStr">
        <is>
          <t>IV</t>
        </is>
      </c>
      <c r="P44" s="5" t="inlineStr">
        <is>
          <t>fago + antibiotico</t>
        </is>
      </c>
      <c r="Q44" s="5" t="inlineStr">
        <is>
          <t>serie de casos</t>
        </is>
      </c>
      <c r="R44" s="5" t="inlineStr">
        <is>
          <t>COMPLETA</t>
        </is>
      </c>
      <c r="S44" s="5" t="n">
        <v>5</v>
      </c>
      <c r="T44" s="5" t="n">
        <v>5</v>
      </c>
      <c r="U44" s="5" t="n">
        <v>0</v>
      </c>
      <c r="V44" s="5" t="n">
        <v>5</v>
      </c>
      <c r="W44" s="5" t="n">
        <v>0</v>
      </c>
      <c r="X44" s="5" t="inlineStr">
        <is>
          <t>Na</t>
        </is>
      </c>
      <c r="Y44" s="5" t="inlineStr">
        <is>
          <t>Na</t>
        </is>
      </c>
      <c r="Z44" s="5" t="n">
        <v>2023</v>
      </c>
      <c r="AA44" s="5" t="inlineStr">
        <is>
          <t>En conclusión, parece que para los pacientes con infecciones persistentes por P. aeruginosa para los que la terapia convencional previa ha fracasado, el bacteriófago PASA16 puede ofrecer una opción de tratamiento razonable y segura, aunque se necesitan estudios prospectivos más amplios para definir mejor la susceptibilidad, el esquema de dosificación y la duración. Nuestro estudio ofrece una base potencial para dichos estudios, así como casos de uso compasivos en necesidad.</t>
        </is>
      </c>
      <c r="AB44" s="5">
        <f>IFERROR(IF(VLOOKUP(D44,Revistas!$A$21:$C$400,3,FALSE)=0,"",VLOOKUP(D44,Revistas!$A$21:$C$400,3,FALSE)),"")</f>
        <v/>
      </c>
      <c r="AC44" s="5" t="inlineStr">
        <is>
          <t>Israel</t>
        </is>
      </c>
      <c r="AD44" s="5" t="inlineStr">
        <is>
          <t>Tabla 4. Descripción general de los 16 casos de terapia con bacteriófagos PASA16</t>
        </is>
      </c>
      <c r="AE44" s="5" t="inlineStr">
        <is>
          <t>Na</t>
        </is>
      </c>
    </row>
    <row r="45">
      <c r="A45" s="3" t="inlineStr">
        <is>
          <t>EST-003</t>
        </is>
      </c>
      <c r="B45" s="3" t="n">
        <v>3</v>
      </c>
      <c r="C45" s="3" t="inlineStr">
        <is>
          <t>Refractory Pseudomonas aeruginosa infections treated with phage PASA16: A compassionate use case series.</t>
        </is>
      </c>
      <c r="D45" s="3" t="inlineStr">
        <is>
          <t>Med (New York, N.Y.)</t>
        </is>
      </c>
      <c r="E45" s="3" t="inlineStr">
        <is>
          <t>2023</t>
        </is>
      </c>
      <c r="F45" s="3" t="inlineStr">
        <is>
          <t>articulo</t>
        </is>
      </c>
      <c r="G45" s="3" t="inlineStr">
        <is>
          <t>10.1016/j.medj.2023.07.002</t>
        </is>
      </c>
      <c r="H45" s="4" t="inlineStr">
        <is>
          <t>abrir</t>
        </is>
      </c>
      <c r="I45" s="5" t="inlineStr">
        <is>
          <t>Onallah2023</t>
        </is>
      </c>
      <c r="J45" s="5" t="inlineStr">
        <is>
          <t>C</t>
        </is>
      </c>
      <c r="K45" s="5" t="inlineStr">
        <is>
          <t>solo Pseudomonas</t>
        </is>
      </c>
      <c r="L45" s="5" t="inlineStr">
        <is>
          <t>MDR</t>
        </is>
      </c>
      <c r="M45" s="5" t="inlineStr">
        <is>
          <t>declarado por el autor</t>
        </is>
      </c>
      <c r="N45" s="5" t="inlineStr">
        <is>
          <t>no</t>
        </is>
      </c>
      <c r="O45" s="5" t="inlineStr">
        <is>
          <t>IV</t>
        </is>
      </c>
      <c r="P45" s="5" t="inlineStr">
        <is>
          <t>fago + antibiotico</t>
        </is>
      </c>
      <c r="Q45" s="5" t="inlineStr">
        <is>
          <t>serie de casos</t>
        </is>
      </c>
      <c r="R45" s="5" t="inlineStr">
        <is>
          <t>COMPLETA</t>
        </is>
      </c>
      <c r="S45" s="5" t="n">
        <v>5</v>
      </c>
      <c r="T45" s="5" t="n">
        <v>4</v>
      </c>
      <c r="U45" s="5" t="n">
        <v>2</v>
      </c>
      <c r="V45" s="5" t="n">
        <v>4</v>
      </c>
      <c r="W45" s="5" t="n">
        <v>1</v>
      </c>
      <c r="X45" s="5" t="inlineStr">
        <is>
          <t>Na</t>
        </is>
      </c>
      <c r="Y45" s="5" t="inlineStr">
        <is>
          <t>Na</t>
        </is>
      </c>
      <c r="Z45" s="5" t="n">
        <v>2023</v>
      </c>
      <c r="AA45" s="5" t="inlineStr">
        <is>
          <t>En conclusión, parece que para los pacientes con infecciones persistentes por P. aeruginosa para los que la terapia convencional previa ha fracasado, el bacteriófago PASA16 puede ofrecer una opción de tratamiento razonable y segura, aunque se necesitan estudios prospectivos más amplios para definir mejor la susceptibilidad, el esquema de dosificación y la duración. Nuestro estudio ofrece una base potencial para dichos estudios, así como casos de uso compasivos en necesidad.</t>
        </is>
      </c>
      <c r="AB45" s="5">
        <f>IFERROR(IF(VLOOKUP(D45,Revistas!$A$21:$C$400,3,FALSE)=0,"",VLOOKUP(D45,Revistas!$A$21:$C$400,3,FALSE)),"")</f>
        <v/>
      </c>
      <c r="AC45" s="5" t="inlineStr">
        <is>
          <t>Israel</t>
        </is>
      </c>
      <c r="AD45" s="5" t="inlineStr">
        <is>
          <t>Tabla 4. Descripción general de los 16 casos de terapia con bacteriófagos PASA16</t>
        </is>
      </c>
      <c r="AE45" s="5" t="inlineStr">
        <is>
          <t>Na</t>
        </is>
      </c>
    </row>
    <row r="46">
      <c r="A46" s="3" t="inlineStr">
        <is>
          <t>EST-003</t>
        </is>
      </c>
      <c r="B46" s="3" t="n">
        <v>3</v>
      </c>
      <c r="C46" s="3" t="inlineStr">
        <is>
          <t>Refractory Pseudomonas aeruginosa infections treated with phage PASA16: A compassionate use case series.</t>
        </is>
      </c>
      <c r="D46" s="3" t="inlineStr">
        <is>
          <t>Med (New York, N.Y.)</t>
        </is>
      </c>
      <c r="E46" s="3" t="inlineStr">
        <is>
          <t>2023</t>
        </is>
      </c>
      <c r="F46" s="3" t="inlineStr">
        <is>
          <t>articulo</t>
        </is>
      </c>
      <c r="G46" s="3" t="inlineStr">
        <is>
          <t>10.1016/j.medj.2023.07.002</t>
        </is>
      </c>
      <c r="H46" s="4" t="inlineStr">
        <is>
          <t>abrir</t>
        </is>
      </c>
      <c r="I46" s="5" t="inlineStr">
        <is>
          <t>Onallah2023</t>
        </is>
      </c>
      <c r="J46" s="5" t="inlineStr">
        <is>
          <t>D</t>
        </is>
      </c>
      <c r="K46" s="5" t="inlineStr">
        <is>
          <t>solo Pseudomonas</t>
        </is>
      </c>
      <c r="L46" s="5" t="inlineStr">
        <is>
          <t>XDR</t>
        </is>
      </c>
      <c r="M46" s="5" t="inlineStr">
        <is>
          <t>declarado por el autor</t>
        </is>
      </c>
      <c r="N46" s="5" t="inlineStr">
        <is>
          <t>no</t>
        </is>
      </c>
      <c r="O46" s="5" t="inlineStr">
        <is>
          <t>IV</t>
        </is>
      </c>
      <c r="P46" s="5" t="inlineStr">
        <is>
          <t>fago + antibiotico</t>
        </is>
      </c>
      <c r="Q46" s="5" t="inlineStr">
        <is>
          <t>serie de casos</t>
        </is>
      </c>
      <c r="R46" s="5" t="inlineStr">
        <is>
          <t>COMPLETA</t>
        </is>
      </c>
      <c r="S46" s="5" t="n">
        <v>4</v>
      </c>
      <c r="T46" s="5" t="n">
        <v>3</v>
      </c>
      <c r="U46" s="5" t="n">
        <v>2</v>
      </c>
      <c r="V46" s="5" t="n">
        <v>3</v>
      </c>
      <c r="W46" s="5" t="n">
        <v>1</v>
      </c>
      <c r="X46" s="5" t="inlineStr">
        <is>
          <t>Na</t>
        </is>
      </c>
      <c r="Y46" s="5" t="inlineStr">
        <is>
          <t>Na</t>
        </is>
      </c>
      <c r="Z46" s="5" t="n">
        <v>2023</v>
      </c>
      <c r="AA46" s="5" t="inlineStr">
        <is>
          <t>En conclusión, parece que para los pacientes con infecciones persistentes por P. aeruginosa para los que la terapia convencional previa ha fracasado, el bacteriófago PASA16 puede ofrecer una opción de tratamiento razonable y segura, aunque se necesitan estudios prospectivos más amplios para definir mejor la susceptibilidad, el esquema de dosificación y la duración. Nuestro estudio ofrece una base potencial para dichos estudios, así como casos de uso compasivos en necesidad.</t>
        </is>
      </c>
      <c r="AB46" s="5">
        <f>IFERROR(IF(VLOOKUP(D46,Revistas!$A$21:$C$400,3,FALSE)=0,"",VLOOKUP(D46,Revistas!$A$21:$C$400,3,FALSE)),"")</f>
        <v/>
      </c>
      <c r="AC46" s="5" t="inlineStr">
        <is>
          <t>Israel</t>
        </is>
      </c>
      <c r="AD46" s="5" t="inlineStr">
        <is>
          <t>Tabla 4. Descripción general de los 16 casos de terapia con bacteriófagos PASA16</t>
        </is>
      </c>
      <c r="AE46" s="5" t="inlineStr">
        <is>
          <t>Na</t>
        </is>
      </c>
    </row>
    <row r="47">
      <c r="A47" s="3" t="inlineStr">
        <is>
          <t>EST-003</t>
        </is>
      </c>
      <c r="B47" s="3" t="n">
        <v>3</v>
      </c>
      <c r="C47" s="3" t="inlineStr">
        <is>
          <t>Refractory Pseudomonas aeruginosa infections treated with phage PASA16: A compassionate use case series.</t>
        </is>
      </c>
      <c r="D47" s="3" t="inlineStr">
        <is>
          <t>Med (New York, N.Y.)</t>
        </is>
      </c>
      <c r="E47" s="3" t="inlineStr">
        <is>
          <t>2023</t>
        </is>
      </c>
      <c r="F47" s="3" t="inlineStr">
        <is>
          <t>articulo</t>
        </is>
      </c>
      <c r="G47" s="3" t="inlineStr">
        <is>
          <t>10.1016/j.medj.2023.07.002</t>
        </is>
      </c>
      <c r="H47" s="4" t="inlineStr">
        <is>
          <t>abrir</t>
        </is>
      </c>
      <c r="I47" s="5" t="inlineStr">
        <is>
          <t>Onallah2023</t>
        </is>
      </c>
      <c r="J47" s="5" t="inlineStr">
        <is>
          <t>E</t>
        </is>
      </c>
      <c r="K47" s="5" t="inlineStr">
        <is>
          <t>solo Pseudomonas</t>
        </is>
      </c>
      <c r="L47" s="5" t="inlineStr">
        <is>
          <t>PDR</t>
        </is>
      </c>
      <c r="M47" s="5" t="inlineStr">
        <is>
          <t>declarado por el autor</t>
        </is>
      </c>
      <c r="N47" s="5" t="inlineStr">
        <is>
          <t>no</t>
        </is>
      </c>
      <c r="O47" s="5" t="inlineStr">
        <is>
          <t>IV</t>
        </is>
      </c>
      <c r="P47" s="5" t="inlineStr">
        <is>
          <t>fago + antibiotico</t>
        </is>
      </c>
      <c r="Q47" s="5" t="inlineStr">
        <is>
          <t>serie de casos</t>
        </is>
      </c>
      <c r="R47" s="5" t="inlineStr">
        <is>
          <t>COMPLETA</t>
        </is>
      </c>
      <c r="S47" s="5" t="n">
        <v>1</v>
      </c>
      <c r="T47" s="5" t="n">
        <v>1</v>
      </c>
      <c r="U47" s="5" t="n">
        <v>0</v>
      </c>
      <c r="V47" s="5" t="n">
        <v>1</v>
      </c>
      <c r="W47" s="5" t="n">
        <v>0</v>
      </c>
      <c r="X47" s="5" t="inlineStr">
        <is>
          <t>Na</t>
        </is>
      </c>
      <c r="Y47" s="5" t="inlineStr">
        <is>
          <t>Na</t>
        </is>
      </c>
      <c r="Z47" s="5" t="n">
        <v>2023</v>
      </c>
      <c r="AA47" s="5" t="inlineStr">
        <is>
          <t>En conclusión, parece que para los pacientes con infecciones persistentes por P. aeruginosa para los que la terapia convencional previa ha fracasado, el bacteriófago PASA16 puede ofrecer una opción de tratamiento razonable y segura, aunque se necesitan estudios prospectivos más amplios para definir mejor la susceptibilidad, el esquema de dosificación y la duración. Nuestro estudio ofrece una base potencial para dichos estudios, así como casos de uso compasivos en necesidad.</t>
        </is>
      </c>
      <c r="AB47" s="5">
        <f>IFERROR(IF(VLOOKUP(D47,Revistas!$A$21:$C$400,3,FALSE)=0,"",VLOOKUP(D47,Revistas!$A$21:$C$400,3,FALSE)),"")</f>
        <v/>
      </c>
      <c r="AC47" s="5" t="inlineStr">
        <is>
          <t>Israel</t>
        </is>
      </c>
      <c r="AD47" s="5" t="inlineStr">
        <is>
          <t>Tabla 4. Descripción general de los 16 casos de terapia con bacteriófagos PASA16</t>
        </is>
      </c>
      <c r="AE47" s="5" t="inlineStr">
        <is>
          <t>Na</t>
        </is>
      </c>
    </row>
    <row r="48">
      <c r="A48" s="3" t="inlineStr">
        <is>
          <t>EST-019</t>
        </is>
      </c>
      <c r="B48" s="3" t="n">
        <v>35</v>
      </c>
      <c r="C48" s="3" t="inlineStr">
        <is>
          <t>Neutralizing antibodies after nebulized phage therapy in cystic fibrosis patients.</t>
        </is>
      </c>
      <c r="D48" s="3" t="inlineStr">
        <is>
          <t>Med (New York, N.Y.)</t>
        </is>
      </c>
      <c r="E48" s="3" t="inlineStr">
        <is>
          <t>2024</t>
        </is>
      </c>
      <c r="F48" s="3" t="inlineStr">
        <is>
          <t>articulo</t>
        </is>
      </c>
      <c r="G48" s="3" t="inlineStr">
        <is>
          <t>10.1016/j.medj.2024.05.017</t>
        </is>
      </c>
      <c r="H48" s="4" t="inlineStr">
        <is>
          <t>abrir</t>
        </is>
      </c>
      <c r="I48" s="5" t="inlineStr"/>
      <c r="J48" s="5" t="inlineStr">
        <is>
          <t>A</t>
        </is>
      </c>
      <c r="K48" s="5" t="inlineStr"/>
      <c r="L48" s="5" t="inlineStr"/>
      <c r="M48" s="5" t="inlineStr"/>
      <c r="N48" s="5" t="inlineStr"/>
      <c r="O48" s="5" t="inlineStr"/>
      <c r="P48" s="5" t="inlineStr"/>
      <c r="Q48" s="5" t="inlineStr"/>
      <c r="R48" s="5" t="inlineStr"/>
      <c r="S48" s="5" t="inlineStr"/>
      <c r="T48" s="5" t="inlineStr"/>
      <c r="U48" s="5" t="inlineStr"/>
      <c r="V48" s="5" t="inlineStr"/>
      <c r="W48" s="5" t="inlineStr"/>
      <c r="X48" s="5" t="inlineStr"/>
      <c r="Y48" s="5" t="inlineStr"/>
      <c r="Z48" s="5" t="inlineStr"/>
      <c r="AA48" s="5" t="inlineStr"/>
      <c r="AB48" s="5">
        <f>IFERROR(IF(VLOOKUP(D48,Revistas!$A$21:$C$400,3,FALSE)=0,"",VLOOKUP(D48,Revistas!$A$21:$C$400,3,FALSE)),"")</f>
        <v/>
      </c>
      <c r="AC48" s="5" t="inlineStr"/>
      <c r="AD48" s="5" t="inlineStr"/>
      <c r="AE48" s="5" t="inlineStr"/>
    </row>
    <row r="49">
      <c r="A49" s="3" t="inlineStr">
        <is>
          <t>EST-028</t>
        </is>
      </c>
      <c r="B49" s="3" t="n">
        <v>64</v>
      </c>
      <c r="C49" s="3" t="inlineStr">
        <is>
          <t>A feasibility study for personalized phage therapy against drug-resistant bacteria in Japan.</t>
        </is>
      </c>
      <c r="D49" s="3" t="inlineStr">
        <is>
          <t>Journal of infection and chemotherapy : official journal of the Japan Society of Chemotherapy</t>
        </is>
      </c>
      <c r="E49" s="3" t="inlineStr">
        <is>
          <t>2025</t>
        </is>
      </c>
      <c r="F49" s="3" t="inlineStr">
        <is>
          <t>articulo</t>
        </is>
      </c>
      <c r="G49" s="3" t="inlineStr">
        <is>
          <t>10.1016/j.jiac.2025.102770</t>
        </is>
      </c>
      <c r="H49" s="4" t="inlineStr">
        <is>
          <t>abrir</t>
        </is>
      </c>
      <c r="I49" s="5" t="inlineStr"/>
      <c r="J49" s="5" t="inlineStr">
        <is>
          <t>A</t>
        </is>
      </c>
      <c r="K49" s="5" t="inlineStr"/>
      <c r="L49" s="5" t="inlineStr"/>
      <c r="M49" s="5" t="inlineStr"/>
      <c r="N49" s="5" t="inlineStr"/>
      <c r="O49" s="5" t="inlineStr"/>
      <c r="P49" s="5" t="inlineStr"/>
      <c r="Q49" s="5" t="inlineStr"/>
      <c r="R49" s="5" t="inlineStr"/>
      <c r="S49" s="5" t="inlineStr"/>
      <c r="T49" s="5" t="inlineStr"/>
      <c r="U49" s="5" t="inlineStr"/>
      <c r="V49" s="5" t="inlineStr"/>
      <c r="W49" s="5" t="inlineStr"/>
      <c r="X49" s="5" t="inlineStr"/>
      <c r="Y49" s="5" t="inlineStr"/>
      <c r="Z49" s="5" t="inlineStr"/>
      <c r="AA49" s="5" t="inlineStr"/>
      <c r="AB49" s="5">
        <f>IFERROR(IF(VLOOKUP(D49,Revistas!$A$21:$C$400,3,FALSE)=0,"",VLOOKUP(D49,Revistas!$A$21:$C$400,3,FALSE)),"")</f>
        <v/>
      </c>
      <c r="AC49" s="5" t="inlineStr"/>
      <c r="AD49" s="5" t="inlineStr"/>
      <c r="AE49" s="5" t="inlineStr"/>
    </row>
    <row r="50">
      <c r="A50" s="3" t="inlineStr">
        <is>
          <t>EST-031</t>
        </is>
      </c>
      <c r="B50" s="3" t="n">
        <v>68</v>
      </c>
      <c r="C50" s="3" t="inlineStr">
        <is>
          <t>Harnessing bacteriophages to combat antibiotic-resistant chronic postoperative infections: A promising case series</t>
        </is>
      </c>
      <c r="D50" s="3" t="inlineStr">
        <is>
          <t>Medicine in Microecology</t>
        </is>
      </c>
      <c r="E50" s="3" t="inlineStr">
        <is>
          <t>2026</t>
        </is>
      </c>
      <c r="F50" s="3" t="inlineStr">
        <is>
          <t>articulo</t>
        </is>
      </c>
      <c r="G50" s="3" t="inlineStr">
        <is>
          <t>10.1016/j.medmic.2026.100178</t>
        </is>
      </c>
      <c r="H50" s="4" t="inlineStr">
        <is>
          <t>abrir</t>
        </is>
      </c>
      <c r="I50" s="5" t="inlineStr"/>
      <c r="J50" s="5" t="inlineStr">
        <is>
          <t>A</t>
        </is>
      </c>
      <c r="K50" s="5" t="inlineStr"/>
      <c r="L50" s="5" t="inlineStr"/>
      <c r="M50" s="5" t="inlineStr"/>
      <c r="N50" s="5" t="inlineStr"/>
      <c r="O50" s="5" t="inlineStr"/>
      <c r="P50" s="5" t="inlineStr"/>
      <c r="Q50" s="5" t="inlineStr"/>
      <c r="R50" s="5" t="inlineStr"/>
      <c r="S50" s="5" t="inlineStr"/>
      <c r="T50" s="5" t="inlineStr"/>
      <c r="U50" s="5" t="inlineStr"/>
      <c r="V50" s="5" t="inlineStr"/>
      <c r="W50" s="5" t="inlineStr"/>
      <c r="X50" s="5" t="inlineStr"/>
      <c r="Y50" s="5" t="inlineStr"/>
      <c r="Z50" s="5" t="inlineStr"/>
      <c r="AA50" s="5" t="inlineStr"/>
      <c r="AB50" s="5">
        <f>IFERROR(IF(VLOOKUP(D50,Revistas!$A$21:$C$400,3,FALSE)=0,"",VLOOKUP(D50,Revistas!$A$21:$C$400,3,FALSE)),"")</f>
        <v/>
      </c>
      <c r="AC50" s="5" t="inlineStr"/>
      <c r="AD50" s="5" t="inlineStr"/>
      <c r="AE50" s="5" t="inlineStr"/>
    </row>
    <row r="51">
      <c r="A51" s="3" t="inlineStr">
        <is>
          <t>EST-034</t>
        </is>
      </c>
      <c r="B51" s="3" t="n">
        <v>75</v>
      </c>
      <c r="C51" s="3" t="inlineStr">
        <is>
          <t>Lessons Learned From the First 10 Consecutive Cases of Intravenous Bacteriophage Therapy to Treat Multidrug-Resistant Bacterial Infections at a Single Center in the United States.</t>
        </is>
      </c>
      <c r="D51" s="3" t="inlineStr">
        <is>
          <t>Open forum infectious diseases</t>
        </is>
      </c>
      <c r="E51" s="3" t="inlineStr">
        <is>
          <t>2020</t>
        </is>
      </c>
      <c r="F51" s="3" t="inlineStr">
        <is>
          <t>articulo</t>
        </is>
      </c>
      <c r="G51" s="3" t="inlineStr">
        <is>
          <t>10.1093/ofid/ofaa389</t>
        </is>
      </c>
      <c r="H51" s="4" t="inlineStr">
        <is>
          <t>abrir</t>
        </is>
      </c>
      <c r="I51" s="5" t="inlineStr"/>
      <c r="J51" s="5" t="inlineStr">
        <is>
          <t>A</t>
        </is>
      </c>
      <c r="K51" s="5" t="inlineStr"/>
      <c r="L51" s="5" t="inlineStr"/>
      <c r="M51" s="5" t="inlineStr"/>
      <c r="N51" s="5" t="inlineStr"/>
      <c r="O51" s="5" t="inlineStr"/>
      <c r="P51" s="5" t="inlineStr"/>
      <c r="Q51" s="5" t="inlineStr"/>
      <c r="R51" s="5" t="inlineStr"/>
      <c r="S51" s="5" t="inlineStr"/>
      <c r="T51" s="5" t="inlineStr"/>
      <c r="U51" s="5" t="inlineStr"/>
      <c r="V51" s="5" t="inlineStr"/>
      <c r="W51" s="5" t="inlineStr"/>
      <c r="X51" s="5" t="inlineStr"/>
      <c r="Y51" s="5" t="inlineStr"/>
      <c r="Z51" s="5" t="inlineStr"/>
      <c r="AA51" s="5" t="inlineStr"/>
      <c r="AB51" s="5">
        <f>IFERROR(IF(VLOOKUP(D51,Revistas!$A$21:$C$400,3,FALSE)=0,"",VLOOKUP(D51,Revistas!$A$21:$C$400,3,FALSE)),"")</f>
        <v/>
      </c>
      <c r="AC51" s="5" t="inlineStr"/>
      <c r="AD51" s="5" t="inlineStr"/>
      <c r="AE51" s="5" t="inlineStr"/>
    </row>
    <row r="52">
      <c r="A52" s="3" t="inlineStr">
        <is>
          <t>EST-038</t>
        </is>
      </c>
      <c r="B52" s="3" t="n">
        <v>95</v>
      </c>
      <c r="C52" s="3" t="inlineStr">
        <is>
          <t>Phage Therapy Experience at the Eliava Phage Therapy Center: Three Cases of Bacterial Persistence.</t>
        </is>
      </c>
      <c r="D52" s="3" t="inlineStr">
        <is>
          <t>Viruses</t>
        </is>
      </c>
      <c r="E52" s="3" t="inlineStr">
        <is>
          <t>2021</t>
        </is>
      </c>
      <c r="F52" s="3" t="inlineStr">
        <is>
          <t>articulo</t>
        </is>
      </c>
      <c r="G52" s="3" t="inlineStr">
        <is>
          <t>10.3390/v13101901</t>
        </is>
      </c>
      <c r="H52" s="4" t="inlineStr">
        <is>
          <t>abrir</t>
        </is>
      </c>
      <c r="I52" s="5" t="inlineStr"/>
      <c r="J52" s="5" t="inlineStr">
        <is>
          <t>A</t>
        </is>
      </c>
      <c r="K52" s="5" t="inlineStr"/>
      <c r="L52" s="5" t="inlineStr"/>
      <c r="M52" s="5" t="inlineStr"/>
      <c r="N52" s="5" t="inlineStr"/>
      <c r="O52" s="5" t="inlineStr"/>
      <c r="P52" s="5" t="inlineStr"/>
      <c r="Q52" s="5" t="inlineStr"/>
      <c r="R52" s="5" t="inlineStr"/>
      <c r="S52" s="5" t="inlineStr"/>
      <c r="T52" s="5" t="inlineStr"/>
      <c r="U52" s="5" t="inlineStr"/>
      <c r="V52" s="5" t="inlineStr"/>
      <c r="W52" s="5" t="inlineStr"/>
      <c r="X52" s="5" t="inlineStr"/>
      <c r="Y52" s="5" t="inlineStr"/>
      <c r="Z52" s="5" t="inlineStr"/>
      <c r="AA52" s="5" t="inlineStr"/>
      <c r="AB52" s="5">
        <f>IFERROR(IF(VLOOKUP(D52,Revistas!$A$21:$C$400,3,FALSE)=0,"",VLOOKUP(D52,Revistas!$A$21:$C$400,3,FALSE)),"")</f>
        <v/>
      </c>
      <c r="AC52" s="5" t="inlineStr"/>
      <c r="AD52" s="5" t="inlineStr"/>
      <c r="AE52" s="5" t="inlineStr"/>
    </row>
    <row r="53">
      <c r="A53" s="3" t="inlineStr">
        <is>
          <t>EST-050</t>
        </is>
      </c>
      <c r="B53" s="3" t="n">
        <v>130</v>
      </c>
      <c r="C53" s="3" t="inlineStr">
        <is>
          <t>Access to phage therapy at Hospices Civils de Lyon in 2022: Implementation of the PHAGEinLYON Clinic programme.</t>
        </is>
      </c>
      <c r="D53" s="3" t="inlineStr">
        <is>
          <t>International journal of antimicrobial agents</t>
        </is>
      </c>
      <c r="E53" s="3" t="inlineStr">
        <is>
          <t>2024</t>
        </is>
      </c>
      <c r="F53" s="3" t="inlineStr">
        <is>
          <t>articulo</t>
        </is>
      </c>
      <c r="G53" s="3" t="inlineStr">
        <is>
          <t>10.1016/j.ijantimicag.2024.107372</t>
        </is>
      </c>
      <c r="H53" s="4" t="inlineStr">
        <is>
          <t>abrir</t>
        </is>
      </c>
      <c r="I53" s="5" t="inlineStr"/>
      <c r="J53" s="5" t="inlineStr">
        <is>
          <t>A</t>
        </is>
      </c>
      <c r="K53" s="5" t="inlineStr"/>
      <c r="L53" s="5" t="inlineStr"/>
      <c r="M53" s="5" t="inlineStr"/>
      <c r="N53" s="5" t="inlineStr"/>
      <c r="O53" s="5" t="inlineStr"/>
      <c r="P53" s="5" t="inlineStr"/>
      <c r="Q53" s="5" t="inlineStr"/>
      <c r="R53" s="5" t="inlineStr"/>
      <c r="S53" s="5" t="inlineStr"/>
      <c r="T53" s="5" t="inlineStr"/>
      <c r="U53" s="5" t="inlineStr"/>
      <c r="V53" s="5" t="inlineStr"/>
      <c r="W53" s="5" t="inlineStr"/>
      <c r="X53" s="5" t="inlineStr"/>
      <c r="Y53" s="5" t="inlineStr"/>
      <c r="Z53" s="5" t="inlineStr"/>
      <c r="AA53" s="5" t="inlineStr"/>
      <c r="AB53" s="5">
        <f>IFERROR(IF(VLOOKUP(D53,Revistas!$A$21:$C$400,3,FALSE)=0,"",VLOOKUP(D53,Revistas!$A$21:$C$400,3,FALSE)),"")</f>
        <v/>
      </c>
      <c r="AC53" s="5" t="inlineStr"/>
      <c r="AD53" s="5" t="inlineStr"/>
      <c r="AE53" s="5" t="inlineStr"/>
    </row>
    <row r="54">
      <c r="A54" s="3" t="inlineStr">
        <is>
          <t>EST-059</t>
        </is>
      </c>
      <c r="B54" s="3" t="n">
        <v>151</v>
      </c>
      <c r="C54" s="3" t="inlineStr">
        <is>
          <t>Anti-phage antibody response in phage therapy against healthcare-associated infections (HAIs)</t>
        </is>
      </c>
      <c r="D54" s="3" t="inlineStr">
        <is>
          <t>Infektsionnye Bolezni</t>
        </is>
      </c>
      <c r="E54" s="3" t="inlineStr">
        <is>
          <t>2017</t>
        </is>
      </c>
      <c r="F54" s="3" t="inlineStr">
        <is>
          <t>articulo</t>
        </is>
      </c>
      <c r="G54" s="3" t="inlineStr">
        <is>
          <t>10.20953/1729-9225-2017-1-35-40</t>
        </is>
      </c>
      <c r="H54" s="4" t="inlineStr">
        <is>
          <t>abrir</t>
        </is>
      </c>
      <c r="I54" s="5" t="inlineStr"/>
      <c r="J54" s="5" t="inlineStr">
        <is>
          <t>A</t>
        </is>
      </c>
      <c r="K54" s="5" t="inlineStr"/>
      <c r="L54" s="5" t="inlineStr"/>
      <c r="M54" s="5" t="inlineStr"/>
      <c r="N54" s="5" t="inlineStr"/>
      <c r="O54" s="5" t="inlineStr"/>
      <c r="P54" s="5" t="inlineStr"/>
      <c r="Q54" s="5" t="inlineStr"/>
      <c r="R54" s="5" t="inlineStr"/>
      <c r="S54" s="5" t="inlineStr"/>
      <c r="T54" s="5" t="inlineStr"/>
      <c r="U54" s="5" t="inlineStr"/>
      <c r="V54" s="5" t="inlineStr"/>
      <c r="W54" s="5" t="inlineStr"/>
      <c r="X54" s="5" t="inlineStr"/>
      <c r="Y54" s="5" t="inlineStr"/>
      <c r="Z54" s="5" t="inlineStr"/>
      <c r="AA54" s="5" t="inlineStr"/>
      <c r="AB54" s="5">
        <f>IFERROR(IF(VLOOKUP(D54,Revistas!$A$21:$C$400,3,FALSE)=0,"",VLOOKUP(D54,Revistas!$A$21:$C$400,3,FALSE)),"")</f>
        <v/>
      </c>
      <c r="AC54" s="5" t="inlineStr"/>
      <c r="AD54" s="5" t="inlineStr"/>
      <c r="AE54" s="5" t="inlineStr"/>
    </row>
    <row r="55">
      <c r="A55" s="3" t="inlineStr">
        <is>
          <t>EST-061</t>
        </is>
      </c>
      <c r="B55" s="3" t="n">
        <v>156</v>
      </c>
      <c r="C55" s="3" t="inlineStr">
        <is>
          <t>Early clinical experience of bacteriophage therapy in 3 lung transplant recipients.</t>
        </is>
      </c>
      <c r="D55" s="3" t="inlineStr">
        <is>
          <t>American journal of transplantation : official journal of the American Society of Transplantation and the American Society of Transplant Surgeons</t>
        </is>
      </c>
      <c r="E55" s="3" t="inlineStr">
        <is>
          <t>2019</t>
        </is>
      </c>
      <c r="F55" s="3" t="inlineStr">
        <is>
          <t>articulo</t>
        </is>
      </c>
      <c r="G55" s="3" t="inlineStr">
        <is>
          <t>10.1111/ajt.15503</t>
        </is>
      </c>
      <c r="H55" s="4" t="inlineStr">
        <is>
          <t>abrir</t>
        </is>
      </c>
      <c r="I55" s="5" t="inlineStr"/>
      <c r="J55" s="5" t="inlineStr">
        <is>
          <t>A</t>
        </is>
      </c>
      <c r="K55" s="5" t="inlineStr"/>
      <c r="L55" s="5" t="inlineStr"/>
      <c r="M55" s="5" t="inlineStr"/>
      <c r="N55" s="5" t="inlineStr"/>
      <c r="O55" s="5" t="inlineStr"/>
      <c r="P55" s="5" t="inlineStr"/>
      <c r="Q55" s="5" t="inlineStr"/>
      <c r="R55" s="5" t="inlineStr"/>
      <c r="S55" s="5" t="inlineStr"/>
      <c r="T55" s="5" t="inlineStr"/>
      <c r="U55" s="5" t="inlineStr"/>
      <c r="V55" s="5" t="inlineStr"/>
      <c r="W55" s="5" t="inlineStr"/>
      <c r="X55" s="5" t="inlineStr"/>
      <c r="Y55" s="5" t="inlineStr"/>
      <c r="Z55" s="5" t="inlineStr"/>
      <c r="AA55" s="5" t="inlineStr"/>
      <c r="AB55" s="5">
        <f>IFERROR(IF(VLOOKUP(D55,Revistas!$A$21:$C$400,3,FALSE)=0,"",VLOOKUP(D55,Revistas!$A$21:$C$400,3,FALSE)),"")</f>
        <v/>
      </c>
      <c r="AC55" s="5" t="inlineStr"/>
      <c r="AD55" s="5" t="inlineStr"/>
      <c r="AE55" s="5" t="inlineStr"/>
    </row>
    <row r="56">
      <c r="A56" s="3" t="inlineStr">
        <is>
          <t>EST-070</t>
        </is>
      </c>
      <c r="B56" s="3" t="n">
        <v>220</v>
      </c>
      <c r="C56" s="3" t="inlineStr">
        <is>
          <t>Compassionate Use of Bacteriophages for Failed Persistent Infections During the First 5 Years of the Israeli Phage Therapy Center</t>
        </is>
      </c>
      <c r="D56" s="3" t="inlineStr">
        <is>
          <t>Open Forum Infectious Diseases</t>
        </is>
      </c>
      <c r="E56" s="3" t="inlineStr">
        <is>
          <t>2023</t>
        </is>
      </c>
      <c r="F56" s="3" t="inlineStr">
        <is>
          <t>articulo</t>
        </is>
      </c>
      <c r="G56" s="3" t="inlineStr">
        <is>
          <t>10.1093/ofid/ofad221</t>
        </is>
      </c>
      <c r="H56" s="4" t="inlineStr">
        <is>
          <t>abrir</t>
        </is>
      </c>
      <c r="I56" s="5" t="inlineStr"/>
      <c r="J56" s="5" t="inlineStr">
        <is>
          <t>A</t>
        </is>
      </c>
      <c r="K56" s="5" t="inlineStr"/>
      <c r="L56" s="5" t="inlineStr"/>
      <c r="M56" s="5" t="inlineStr"/>
      <c r="N56" s="5" t="inlineStr"/>
      <c r="O56" s="5" t="inlineStr"/>
      <c r="P56" s="5" t="inlineStr"/>
      <c r="Q56" s="5" t="inlineStr"/>
      <c r="R56" s="5" t="inlineStr"/>
      <c r="S56" s="5" t="inlineStr"/>
      <c r="T56" s="5" t="inlineStr"/>
      <c r="U56" s="5" t="inlineStr"/>
      <c r="V56" s="5" t="inlineStr"/>
      <c r="W56" s="5" t="inlineStr"/>
      <c r="X56" s="5" t="inlineStr"/>
      <c r="Y56" s="5" t="inlineStr"/>
      <c r="Z56" s="5" t="inlineStr"/>
      <c r="AA56" s="5" t="inlineStr"/>
      <c r="AB56" s="5">
        <f>IFERROR(IF(VLOOKUP(D56,Revistas!$A$21:$C$400,3,FALSE)=0,"",VLOOKUP(D56,Revistas!$A$21:$C$400,3,FALSE)),"")</f>
        <v/>
      </c>
      <c r="AC56" s="5" t="inlineStr"/>
      <c r="AD56" s="5" t="inlineStr"/>
      <c r="AE56" s="5" t="inlineStr"/>
    </row>
    <row r="57">
      <c r="A57" s="3" t="inlineStr">
        <is>
          <t>EST-073</t>
        </is>
      </c>
      <c r="B57" s="3" t="n">
        <v>253</v>
      </c>
      <c r="C57" s="3" t="inlineStr">
        <is>
          <t>Bacteriophage Therapy of Chronic Nonhealing Wound: Clinical Study.</t>
        </is>
      </c>
      <c r="D57" s="3" t="inlineStr">
        <is>
          <t>The international journal of lower extremity wounds</t>
        </is>
      </c>
      <c r="E57" s="3" t="inlineStr">
        <is>
          <t>2019</t>
        </is>
      </c>
      <c r="F57" s="3" t="inlineStr">
        <is>
          <t>articulo</t>
        </is>
      </c>
      <c r="G57" s="3" t="inlineStr">
        <is>
          <t>10.1177/1534734619835115</t>
        </is>
      </c>
      <c r="H57" s="4" t="inlineStr">
        <is>
          <t>abrir</t>
        </is>
      </c>
      <c r="I57" s="5" t="inlineStr"/>
      <c r="J57" s="5" t="inlineStr">
        <is>
          <t>A</t>
        </is>
      </c>
      <c r="K57" s="5" t="inlineStr"/>
      <c r="L57" s="5" t="inlineStr"/>
      <c r="M57" s="5" t="inlineStr"/>
      <c r="N57" s="5" t="inlineStr"/>
      <c r="O57" s="5" t="inlineStr"/>
      <c r="P57" s="5" t="inlineStr"/>
      <c r="Q57" s="5" t="inlineStr"/>
      <c r="R57" s="5" t="inlineStr"/>
      <c r="S57" s="5" t="inlineStr"/>
      <c r="T57" s="5" t="inlineStr"/>
      <c r="U57" s="5" t="inlineStr"/>
      <c r="V57" s="5" t="inlineStr"/>
      <c r="W57" s="5" t="inlineStr"/>
      <c r="X57" s="5" t="inlineStr"/>
      <c r="Y57" s="5" t="inlineStr"/>
      <c r="Z57" s="5" t="inlineStr"/>
      <c r="AA57" s="5" t="inlineStr"/>
      <c r="AB57" s="5">
        <f>IFERROR(IF(VLOOKUP(D57,Revistas!$A$21:$C$400,3,FALSE)=0,"",VLOOKUP(D57,Revistas!$A$21:$C$400,3,FALSE)),"")</f>
        <v/>
      </c>
      <c r="AC57" s="5" t="inlineStr"/>
      <c r="AD57" s="5" t="inlineStr"/>
      <c r="AE57" s="5" t="inlineStr"/>
    </row>
    <row r="58">
      <c r="A58" s="3" t="inlineStr">
        <is>
          <t>EST-076</t>
        </is>
      </c>
      <c r="B58" s="3" t="n">
        <v>274</v>
      </c>
      <c r="C58" s="3" t="inlineStr">
        <is>
          <t>Experience Using Adjuvant Bacteriophage Therapy for the Treatment of 10 Recalcitrant Periprosthetic Joint Infections: A Case Series.</t>
        </is>
      </c>
      <c r="D58" s="3" t="inlineStr">
        <is>
          <t>Clinical infectious diseases : an official publication of the Infectious Diseases Society of America</t>
        </is>
      </c>
      <c r="E58" s="3" t="inlineStr">
        <is>
          <t>2023</t>
        </is>
      </c>
      <c r="F58" s="3" t="inlineStr">
        <is>
          <t>articulo</t>
        </is>
      </c>
      <c r="G58" s="3" t="inlineStr">
        <is>
          <t>10.1093/cid/ciac694</t>
        </is>
      </c>
      <c r="H58" s="4" t="inlineStr">
        <is>
          <t>abrir</t>
        </is>
      </c>
      <c r="I58" s="5" t="inlineStr"/>
      <c r="J58" s="5" t="inlineStr">
        <is>
          <t>A</t>
        </is>
      </c>
      <c r="K58" s="5" t="inlineStr"/>
      <c r="L58" s="5" t="inlineStr"/>
      <c r="M58" s="5" t="inlineStr"/>
      <c r="N58" s="5" t="inlineStr"/>
      <c r="O58" s="5" t="inlineStr"/>
      <c r="P58" s="5" t="inlineStr"/>
      <c r="Q58" s="5" t="inlineStr"/>
      <c r="R58" s="5" t="inlineStr"/>
      <c r="S58" s="5" t="inlineStr"/>
      <c r="T58" s="5" t="inlineStr"/>
      <c r="U58" s="5" t="inlineStr"/>
      <c r="V58" s="5" t="inlineStr"/>
      <c r="W58" s="5" t="inlineStr"/>
      <c r="X58" s="5" t="inlineStr"/>
      <c r="Y58" s="5" t="inlineStr"/>
      <c r="Z58" s="5" t="inlineStr"/>
      <c r="AA58" s="5" t="inlineStr"/>
      <c r="AB58" s="5">
        <f>IFERROR(IF(VLOOKUP(D58,Revistas!$A$21:$C$400,3,FALSE)=0,"",VLOOKUP(D58,Revistas!$A$21:$C$400,3,FALSE)),"")</f>
        <v/>
      </c>
      <c r="AC58" s="5" t="inlineStr"/>
      <c r="AD58" s="5" t="inlineStr"/>
      <c r="AE58" s="5" t="inlineStr"/>
    </row>
    <row r="59">
      <c r="A59" s="3" t="inlineStr">
        <is>
          <t>EST-096</t>
        </is>
      </c>
      <c r="B59" s="3" t="n">
        <v>443</v>
      </c>
      <c r="C59" s="3" t="inlineStr">
        <is>
          <t>Low immunogenicity of intravesical phage therapy for urogenitary tract infections</t>
        </is>
      </c>
      <c r="D59" s="3" t="inlineStr">
        <is>
          <t>Antibiotics</t>
        </is>
      </c>
      <c r="E59" s="3" t="inlineStr">
        <is>
          <t>2021</t>
        </is>
      </c>
      <c r="F59" s="3" t="inlineStr">
        <is>
          <t>articulo</t>
        </is>
      </c>
      <c r="G59" s="3" t="inlineStr">
        <is>
          <t>10.3390/antibiotics10060627</t>
        </is>
      </c>
      <c r="H59" s="4" t="inlineStr">
        <is>
          <t>abrir</t>
        </is>
      </c>
      <c r="I59" s="5" t="inlineStr"/>
      <c r="J59" s="5" t="inlineStr">
        <is>
          <t>A</t>
        </is>
      </c>
      <c r="K59" s="5" t="inlineStr"/>
      <c r="L59" s="5" t="inlineStr"/>
      <c r="M59" s="5" t="inlineStr"/>
      <c r="N59" s="5" t="inlineStr"/>
      <c r="O59" s="5" t="inlineStr"/>
      <c r="P59" s="5" t="inlineStr"/>
      <c r="Q59" s="5" t="inlineStr"/>
      <c r="R59" s="5" t="inlineStr"/>
      <c r="S59" s="5" t="inlineStr"/>
      <c r="T59" s="5" t="inlineStr"/>
      <c r="U59" s="5" t="inlineStr"/>
      <c r="V59" s="5" t="inlineStr"/>
      <c r="W59" s="5" t="inlineStr"/>
      <c r="X59" s="5" t="inlineStr"/>
      <c r="Y59" s="5" t="inlineStr"/>
      <c r="Z59" s="5" t="inlineStr"/>
      <c r="AA59" s="5" t="inlineStr"/>
      <c r="AB59" s="5">
        <f>IFERROR(IF(VLOOKUP(D59,Revistas!$A$21:$C$400,3,FALSE)=0,"",VLOOKUP(D59,Revistas!$A$21:$C$400,3,FALSE)),"")</f>
        <v/>
      </c>
      <c r="AC59" s="5" t="inlineStr"/>
      <c r="AD59" s="5" t="inlineStr"/>
      <c r="AE59" s="5" t="inlineStr"/>
    </row>
    <row r="60">
      <c r="A60" s="3" t="inlineStr">
        <is>
          <t>EST-098</t>
        </is>
      </c>
      <c r="B60" s="3" t="n">
        <v>451</v>
      </c>
      <c r="C60" s="3" t="inlineStr">
        <is>
          <t>Bacteriophage therapy as a treatment option for complex cardiovascular implant infection: The German Heart Center Berlin experience.</t>
        </is>
      </c>
      <c r="D60" s="3" t="inlineStr">
        <is>
          <t>The Journal of heart and lung transplantation : the official publication of the International Society for Heart Transplantation</t>
        </is>
      </c>
      <c r="E60" s="3" t="inlineStr">
        <is>
          <t>2022</t>
        </is>
      </c>
      <c r="F60" s="3" t="inlineStr">
        <is>
          <t>articulo</t>
        </is>
      </c>
      <c r="G60" s="3" t="inlineStr">
        <is>
          <t>10.1016/j.healun.2022.01.018</t>
        </is>
      </c>
      <c r="H60" s="4" t="inlineStr">
        <is>
          <t>abrir</t>
        </is>
      </c>
      <c r="I60" s="5" t="inlineStr"/>
      <c r="J60" s="5" t="inlineStr">
        <is>
          <t>A</t>
        </is>
      </c>
      <c r="K60" s="5" t="inlineStr"/>
      <c r="L60" s="5" t="inlineStr"/>
      <c r="M60" s="5" t="inlineStr"/>
      <c r="N60" s="5" t="inlineStr"/>
      <c r="O60" s="5" t="inlineStr"/>
      <c r="P60" s="5" t="inlineStr"/>
      <c r="Q60" s="5" t="inlineStr"/>
      <c r="R60" s="5" t="inlineStr"/>
      <c r="S60" s="5" t="inlineStr"/>
      <c r="T60" s="5" t="inlineStr"/>
      <c r="U60" s="5" t="inlineStr"/>
      <c r="V60" s="5" t="inlineStr"/>
      <c r="W60" s="5" t="inlineStr"/>
      <c r="X60" s="5" t="inlineStr"/>
      <c r="Y60" s="5" t="inlineStr"/>
      <c r="Z60" s="5" t="inlineStr"/>
      <c r="AA60" s="5" t="inlineStr"/>
      <c r="AB60" s="5">
        <f>IFERROR(IF(VLOOKUP(D60,Revistas!$A$21:$C$400,3,FALSE)=0,"",VLOOKUP(D60,Revistas!$A$21:$C$400,3,FALSE)),"")</f>
        <v/>
      </c>
      <c r="AC60" s="5" t="inlineStr"/>
      <c r="AD60" s="5" t="inlineStr"/>
      <c r="AE60" s="5" t="inlineStr"/>
    </row>
    <row r="61">
      <c r="A61" s="3" t="inlineStr">
        <is>
          <t>EST-115</t>
        </is>
      </c>
      <c r="B61" s="3" t="n">
        <v>666</v>
      </c>
      <c r="C61" s="3" t="inlineStr">
        <is>
          <t>Antiphage activity of sera during phage therapy in relation to its outcome.</t>
        </is>
      </c>
      <c r="D61" s="3" t="inlineStr">
        <is>
          <t>Future microbiology</t>
        </is>
      </c>
      <c r="E61" s="3" t="inlineStr">
        <is>
          <t>2017</t>
        </is>
      </c>
      <c r="F61" s="3" t="inlineStr">
        <is>
          <t>articulo</t>
        </is>
      </c>
      <c r="G61" s="3" t="inlineStr">
        <is>
          <t>10.2217/fmb-2016-0156</t>
        </is>
      </c>
      <c r="H61" s="4" t="inlineStr">
        <is>
          <t>abrir</t>
        </is>
      </c>
      <c r="I61" s="5" t="inlineStr"/>
      <c r="J61" s="5" t="inlineStr">
        <is>
          <t>A</t>
        </is>
      </c>
      <c r="K61" s="5" t="inlineStr"/>
      <c r="L61" s="5" t="inlineStr"/>
      <c r="M61" s="5" t="inlineStr"/>
      <c r="N61" s="5" t="inlineStr"/>
      <c r="O61" s="5" t="inlineStr"/>
      <c r="P61" s="5" t="inlineStr"/>
      <c r="Q61" s="5" t="inlineStr"/>
      <c r="R61" s="5" t="inlineStr"/>
      <c r="S61" s="5" t="inlineStr"/>
      <c r="T61" s="5" t="inlineStr"/>
      <c r="U61" s="5" t="inlineStr"/>
      <c r="V61" s="5" t="inlineStr"/>
      <c r="W61" s="5" t="inlineStr"/>
      <c r="X61" s="5" t="inlineStr"/>
      <c r="Y61" s="5" t="inlineStr"/>
      <c r="Z61" s="5" t="inlineStr"/>
      <c r="AA61" s="5" t="inlineStr"/>
      <c r="AB61" s="5">
        <f>IFERROR(IF(VLOOKUP(D61,Revistas!$A$21:$C$400,3,FALSE)=0,"",VLOOKUP(D61,Revistas!$A$21:$C$400,3,FALSE)),"")</f>
        <v/>
      </c>
      <c r="AC61" s="5" t="inlineStr"/>
      <c r="AD61" s="5" t="inlineStr"/>
      <c r="AE61" s="5" t="inlineStr"/>
    </row>
    <row r="62">
      <c r="A62" s="3" t="inlineStr">
        <is>
          <t>EST-133</t>
        </is>
      </c>
      <c r="B62" s="3" t="n">
        <v>890</v>
      </c>
      <c r="C62" s="3" t="inlineStr">
        <is>
          <t>Phage therapy for the treatment for urinary tract infection: results of in-vitro screenings and in-vivo application using commercially available bacteriophage cocktails</t>
        </is>
      </c>
      <c r="D62" s="3" t="inlineStr">
        <is>
          <t>European urology, supplements</t>
        </is>
      </c>
      <c r="E62" s="3" t="inlineStr">
        <is>
          <t>2016</t>
        </is>
      </c>
      <c r="F62" s="3" t="inlineStr">
        <is>
          <t>resumen de congreso</t>
        </is>
      </c>
      <c r="G62" s="3" t="inlineStr">
        <is>
          <t>cita: Eur Urol Suppl 2016 (informe previo del grupo de Leitner)</t>
        </is>
      </c>
      <c r="H62" s="4" t="inlineStr">
        <is>
          <t>abrir</t>
        </is>
      </c>
      <c r="I62" s="5" t="inlineStr"/>
      <c r="J62" s="5" t="inlineStr">
        <is>
          <t>A</t>
        </is>
      </c>
      <c r="K62" s="5" t="inlineStr"/>
      <c r="L62" s="5" t="inlineStr"/>
      <c r="M62" s="5" t="inlineStr"/>
      <c r="N62" s="5" t="inlineStr"/>
      <c r="O62" s="5" t="inlineStr"/>
      <c r="P62" s="5" t="inlineStr"/>
      <c r="Q62" s="5" t="inlineStr"/>
      <c r="R62" s="5" t="inlineStr"/>
      <c r="S62" s="5" t="inlineStr"/>
      <c r="T62" s="5" t="inlineStr"/>
      <c r="U62" s="5" t="inlineStr"/>
      <c r="V62" s="5" t="inlineStr"/>
      <c r="W62" s="5" t="inlineStr"/>
      <c r="X62" s="5" t="inlineStr"/>
      <c r="Y62" s="5" t="inlineStr"/>
      <c r="Z62" s="5" t="inlineStr"/>
      <c r="AA62" s="5" t="inlineStr"/>
      <c r="AB62" s="5">
        <f>IFERROR(IF(VLOOKUP(D62,Revistas!$A$21:$C$400,3,FALSE)=0,"",VLOOKUP(D62,Revistas!$A$21:$C$400,3,FALSE)),"")</f>
        <v/>
      </c>
      <c r="AC62" s="5" t="inlineStr"/>
      <c r="AD62" s="5" t="inlineStr"/>
      <c r="AE62" s="5" t="inlineStr"/>
    </row>
    <row r="63">
      <c r="A63" s="3" t="inlineStr">
        <is>
          <t>EST-164</t>
        </is>
      </c>
      <c r="B63" s="3" t="n">
        <v>2083</v>
      </c>
      <c r="C63" s="3" t="inlineStr">
        <is>
          <t>Bacteriophage Application for Difficult-to-treat Musculoskeletal Infections: Development of a Standardized Multidisciplinary Treatment Protocol.</t>
        </is>
      </c>
      <c r="D63" s="3" t="inlineStr">
        <is>
          <t>Viruses</t>
        </is>
      </c>
      <c r="E63" s="3" t="inlineStr">
        <is>
          <t>2019</t>
        </is>
      </c>
      <c r="F63" s="3" t="inlineStr">
        <is>
          <t>articulo</t>
        </is>
      </c>
      <c r="G63" s="3" t="inlineStr">
        <is>
          <t>10.3390/v11100891</t>
        </is>
      </c>
      <c r="H63" s="4" t="inlineStr">
        <is>
          <t>abrir</t>
        </is>
      </c>
      <c r="I63" s="5" t="inlineStr"/>
      <c r="J63" s="5" t="inlineStr">
        <is>
          <t>A</t>
        </is>
      </c>
      <c r="K63" s="5" t="inlineStr"/>
      <c r="L63" s="5" t="inlineStr"/>
      <c r="M63" s="5" t="inlineStr"/>
      <c r="N63" s="5" t="inlineStr"/>
      <c r="O63" s="5" t="inlineStr"/>
      <c r="P63" s="5" t="inlineStr"/>
      <c r="Q63" s="5" t="inlineStr"/>
      <c r="R63" s="5" t="inlineStr"/>
      <c r="S63" s="5" t="inlineStr"/>
      <c r="T63" s="5" t="inlineStr"/>
      <c r="U63" s="5" t="inlineStr"/>
      <c r="V63" s="5" t="inlineStr"/>
      <c r="W63" s="5" t="inlineStr"/>
      <c r="X63" s="5" t="inlineStr"/>
      <c r="Y63" s="5" t="inlineStr"/>
      <c r="Z63" s="5" t="inlineStr"/>
      <c r="AA63" s="5" t="inlineStr"/>
      <c r="AB63" s="5">
        <f>IFERROR(IF(VLOOKUP(D63,Revistas!$A$21:$C$400,3,FALSE)=0,"",VLOOKUP(D63,Revistas!$A$21:$C$400,3,FALSE)),"")</f>
        <v/>
      </c>
      <c r="AC63" s="5" t="inlineStr"/>
      <c r="AD63" s="5" t="inlineStr"/>
      <c r="AE63" s="5" t="inlineStr"/>
    </row>
    <row r="64">
      <c r="A64" s="3" t="inlineStr">
        <is>
          <t>EST-165</t>
        </is>
      </c>
      <c r="B64" s="3" t="n">
        <v>2173</v>
      </c>
      <c r="C64" s="3" t="inlineStr">
        <is>
          <t>Use of Customized Bacteriophages in the Treatment of Chronic Nonhealing Wounds: A Prospective Study.</t>
        </is>
      </c>
      <c r="D64" s="3" t="inlineStr">
        <is>
          <t>The international journal of lower extremity wounds</t>
        </is>
      </c>
      <c r="E64" s="3" t="inlineStr">
        <is>
          <t>2021</t>
        </is>
      </c>
      <c r="F64" s="3" t="inlineStr">
        <is>
          <t>articulo</t>
        </is>
      </c>
      <c r="G64" s="3" t="inlineStr">
        <is>
          <t>10.1177/1534734619881076</t>
        </is>
      </c>
      <c r="H64" s="4" t="inlineStr">
        <is>
          <t>abrir</t>
        </is>
      </c>
      <c r="I64" s="5" t="inlineStr"/>
      <c r="J64" s="5" t="inlineStr">
        <is>
          <t>A</t>
        </is>
      </c>
      <c r="K64" s="5" t="inlineStr"/>
      <c r="L64" s="5" t="inlineStr"/>
      <c r="M64" s="5" t="inlineStr"/>
      <c r="N64" s="5" t="inlineStr"/>
      <c r="O64" s="5" t="inlineStr"/>
      <c r="P64" s="5" t="inlineStr"/>
      <c r="Q64" s="5" t="inlineStr"/>
      <c r="R64" s="5" t="inlineStr"/>
      <c r="S64" s="5" t="inlineStr"/>
      <c r="T64" s="5" t="inlineStr"/>
      <c r="U64" s="5" t="inlineStr"/>
      <c r="V64" s="5" t="inlineStr"/>
      <c r="W64" s="5" t="inlineStr"/>
      <c r="X64" s="5" t="inlineStr"/>
      <c r="Y64" s="5" t="inlineStr"/>
      <c r="Z64" s="5" t="inlineStr"/>
      <c r="AA64" s="5" t="inlineStr"/>
      <c r="AB64" s="5">
        <f>IFERROR(IF(VLOOKUP(D64,Revistas!$A$21:$C$400,3,FALSE)=0,"",VLOOKUP(D64,Revistas!$A$21:$C$400,3,FALSE)),"")</f>
        <v/>
      </c>
      <c r="AC64" s="5" t="inlineStr"/>
      <c r="AD64" s="5" t="inlineStr"/>
      <c r="AE64" s="5" t="inlineStr"/>
    </row>
    <row r="65">
      <c r="A65" s="3" t="inlineStr">
        <is>
          <t>EST-185</t>
        </is>
      </c>
      <c r="B65" s="3" t="n">
        <v>3913</v>
      </c>
      <c r="C65" s="3" t="inlineStr">
        <is>
          <t>The management of sternal mediastinitis in heart and lung transplant patients: An 8-year experience and application of reconstructive algorithm</t>
        </is>
      </c>
      <c r="D65" s="3" t="inlineStr">
        <is>
          <t>Journal of Plastic, Reconstructive and Aesthetic Surgery</t>
        </is>
      </c>
      <c r="E65" s="3" t="inlineStr">
        <is>
          <t>2026</t>
        </is>
      </c>
      <c r="F65" s="3" t="inlineStr">
        <is>
          <t>articulo</t>
        </is>
      </c>
      <c r="G65" s="3" t="inlineStr">
        <is>
          <t>10.1016/j.bjps.2026.06.028</t>
        </is>
      </c>
      <c r="H65" s="4" t="inlineStr">
        <is>
          <t>abrir</t>
        </is>
      </c>
      <c r="I65" s="5" t="inlineStr"/>
      <c r="J65" s="5" t="inlineStr">
        <is>
          <t>A</t>
        </is>
      </c>
      <c r="K65" s="5" t="inlineStr"/>
      <c r="L65" s="5" t="inlineStr"/>
      <c r="M65" s="5" t="inlineStr"/>
      <c r="N65" s="5" t="inlineStr"/>
      <c r="O65" s="5" t="inlineStr"/>
      <c r="P65" s="5" t="inlineStr"/>
      <c r="Q65" s="5" t="inlineStr"/>
      <c r="R65" s="5" t="inlineStr"/>
      <c r="S65" s="5" t="inlineStr"/>
      <c r="T65" s="5" t="inlineStr"/>
      <c r="U65" s="5" t="inlineStr"/>
      <c r="V65" s="5" t="inlineStr"/>
      <c r="W65" s="5" t="inlineStr"/>
      <c r="X65" s="5" t="inlineStr"/>
      <c r="Y65" s="5" t="inlineStr"/>
      <c r="Z65" s="5" t="inlineStr"/>
      <c r="AA65" s="5" t="inlineStr"/>
      <c r="AB65" s="5">
        <f>IFERROR(IF(VLOOKUP(D65,Revistas!$A$21:$C$400,3,FALSE)=0,"",VLOOKUP(D65,Revistas!$A$21:$C$400,3,FALSE)),"")</f>
        <v/>
      </c>
      <c r="AC65" s="5" t="inlineStr"/>
      <c r="AD65" s="5" t="inlineStr"/>
      <c r="AE65" s="5" t="inlineStr"/>
    </row>
    <row r="66">
      <c r="A66" s="3" t="inlineStr">
        <is>
          <t>EST-001</t>
        </is>
      </c>
      <c r="B66" s="3" t="n">
        <v>1</v>
      </c>
      <c r="C66" s="3" t="inlineStr">
        <is>
          <t>Case Report: Arthroscopic "Debridement Antibiotics and Implant Retention" With Local Injection of Personalized Phage Therapy to Salvage a Relapsing Pseudomonas Aeruginosa Prostheti</t>
        </is>
      </c>
      <c r="D66" s="3" t="inlineStr">
        <is>
          <t>Frontiers in medicine</t>
        </is>
      </c>
      <c r="E66" s="3" t="inlineStr">
        <is>
          <t>2021</t>
        </is>
      </c>
      <c r="F66" s="3" t="inlineStr">
        <is>
          <t>articulo</t>
        </is>
      </c>
      <c r="G66" s="3" t="inlineStr">
        <is>
          <t>10.3389/fmed.2021.569159</t>
        </is>
      </c>
      <c r="H66" s="4" t="inlineStr">
        <is>
          <t>abrir</t>
        </is>
      </c>
      <c r="I66" s="5" t="inlineStr">
        <is>
          <t>Ferry2021</t>
        </is>
      </c>
      <c r="J66" s="5" t="inlineStr">
        <is>
          <t>A</t>
        </is>
      </c>
      <c r="K66" s="5" t="inlineStr">
        <is>
          <t>solo Pseudomonas</t>
        </is>
      </c>
      <c r="L66" s="5" t="inlineStr">
        <is>
          <t>por debajo del umbral MDR</t>
        </is>
      </c>
      <c r="M66" s="5" t="inlineStr">
        <is>
          <t>declarado por el autor</t>
        </is>
      </c>
      <c r="N66" s="5" t="inlineStr">
        <is>
          <t>no</t>
        </is>
      </c>
      <c r="O66" s="5" t="inlineStr">
        <is>
          <t>intraarticular</t>
        </is>
      </c>
      <c r="P66" s="5" t="inlineStr">
        <is>
          <t>fago + antibiotico</t>
        </is>
      </c>
      <c r="Q66" s="5" t="inlineStr">
        <is>
          <t>caso clinico</t>
        </is>
      </c>
      <c r="R66" s="5" t="inlineStr">
        <is>
          <t>PARCIAL</t>
        </is>
      </c>
      <c r="S66" s="5" t="n">
        <v>1</v>
      </c>
      <c r="T66" s="5" t="n">
        <v>1</v>
      </c>
      <c r="U66" s="5" t="n">
        <v>0</v>
      </c>
      <c r="V66" s="5" t="n">
        <v>1</v>
      </c>
      <c r="W66" s="5" t="n">
        <v>0</v>
      </c>
      <c r="X66" s="5" t="inlineStr">
        <is>
          <t>Na</t>
        </is>
      </c>
      <c r="Y66" s="5" t="inlineStr">
        <is>
          <t>Na</t>
        </is>
      </c>
      <c r="Z66" s="5" t="n">
        <v>2021</v>
      </c>
      <c r="AA66" s="5" t="inlineStr">
        <is>
          <t>Los datos actuales sugieren que el procedimiento PhagoDAIR por artroscopia tiene el potencial de ser utilizado como terapia de rescate para pacientes con P. aeruginosa PJI recidivante, en combinación con terapia antimicrobiana supresora. Un estudio clínico de fase II merece ser realizado para confirmar esta hipótesis.</t>
        </is>
      </c>
      <c r="AB66" s="5">
        <f>IFERROR(IF(VLOOKUP(D66,Revistas!$A$21:$C$400,3,FALSE)=0,"",VLOOKUP(D66,Revistas!$A$21:$C$400,3,FALSE)),"")</f>
        <v/>
      </c>
      <c r="AC66" s="5" t="inlineStr">
        <is>
          <t>Francia</t>
        </is>
      </c>
      <c r="AD66" s="5" t="inlineStr">
        <is>
          <t>Informe del caso</t>
        </is>
      </c>
      <c r="AE66" s="5" t="inlineStr">
        <is>
          <t>Falta el antibiograma</t>
        </is>
      </c>
    </row>
    <row r="67">
      <c r="A67" s="3" t="inlineStr">
        <is>
          <t>EST-002</t>
        </is>
      </c>
      <c r="B67" s="3" t="n">
        <v>2</v>
      </c>
      <c r="C67" s="3" t="inlineStr">
        <is>
          <t>Case report: Analysis of phage therapy failure in a patient with a Pseudomonas aeruginosa prosthetic vascular graft infection.</t>
        </is>
      </c>
      <c r="D67" s="3" t="inlineStr">
        <is>
          <t>Frontiers in medicine</t>
        </is>
      </c>
      <c r="E67" s="3" t="inlineStr">
        <is>
          <t>2023</t>
        </is>
      </c>
      <c r="F67" s="3" t="inlineStr">
        <is>
          <t>articulo</t>
        </is>
      </c>
      <c r="G67" s="3" t="inlineStr">
        <is>
          <t>10.3389/fmed.2023.1199657</t>
        </is>
      </c>
      <c r="H67" s="4" t="inlineStr">
        <is>
          <t>abrir</t>
        </is>
      </c>
      <c r="I67" s="5" t="inlineStr">
        <is>
          <t>Blasco2023</t>
        </is>
      </c>
      <c r="J67" s="5" t="inlineStr">
        <is>
          <t>A</t>
        </is>
      </c>
      <c r="K67" s="5" t="inlineStr">
        <is>
          <t>solo Pseudomonas</t>
        </is>
      </c>
      <c r="L67" s="5" t="inlineStr">
        <is>
          <t>MDR</t>
        </is>
      </c>
      <c r="M67" s="5" t="inlineStr">
        <is>
          <t>declarado por el autor</t>
        </is>
      </c>
      <c r="N67" s="5" t="inlineStr">
        <is>
          <t>no</t>
        </is>
      </c>
      <c r="O67" s="5" t="inlineStr">
        <is>
          <t>otra</t>
        </is>
      </c>
      <c r="P67" s="5" t="inlineStr">
        <is>
          <t>fago + antibiotico</t>
        </is>
      </c>
      <c r="Q67" s="5" t="inlineStr">
        <is>
          <t>caso clinico</t>
        </is>
      </c>
      <c r="R67" s="5" t="inlineStr">
        <is>
          <t>COMPLETA</t>
        </is>
      </c>
      <c r="S67" s="5" t="n">
        <v>1</v>
      </c>
      <c r="T67" s="5" t="n">
        <v>0</v>
      </c>
      <c r="U67" s="5" t="n">
        <v>0</v>
      </c>
      <c r="V67" s="5" t="n">
        <v>0</v>
      </c>
      <c r="W67" s="5" t="n">
        <v>0</v>
      </c>
      <c r="X67" s="5" t="inlineStr">
        <is>
          <t>Na</t>
        </is>
      </c>
      <c r="Y67" s="5" t="inlineStr">
        <is>
          <t>Na</t>
        </is>
      </c>
      <c r="Z67" s="5" t="n">
        <v>2023</v>
      </c>
      <c r="AA67" s="5" t="inlineStr">
        <is>
          <t>En conclusión, en las infecciones complejas por P. aeruginosa, la elección de la terapia antibiótica y su duración son cruciales para minimizar la presión antibiótica y el desarrollo de la resistencia. Aunque no hemos demostrado que el tratamiento con fagos haya sido efectivo en este caso, el estudio de los mecanismos moleculares de resistencia a los fagos y las interacciones bacterias-fágos son clave para mejorar la terapia con fagos en un futuro próximo.</t>
        </is>
      </c>
      <c r="AB67" s="5">
        <f>IFERROR(IF(VLOOKUP(D67,Revistas!$A$21:$C$400,3,FALSE)=0,"",VLOOKUP(D67,Revistas!$A$21:$C$400,3,FALSE)),"")</f>
        <v/>
      </c>
      <c r="AC67" s="5" t="inlineStr">
        <is>
          <t>España</t>
        </is>
      </c>
      <c r="AD67" s="5" t="inlineStr">
        <is>
          <t>Informe del caso</t>
        </is>
      </c>
      <c r="AE67" s="5" t="inlineStr">
        <is>
          <t>Na</t>
        </is>
      </c>
    </row>
    <row r="68">
      <c r="A68" s="3" t="inlineStr">
        <is>
          <t>EST-006</t>
        </is>
      </c>
      <c r="B68" s="3" t="n">
        <v>6</v>
      </c>
      <c r="C68" s="3" t="inlineStr">
        <is>
          <t>Phage Therapy in a Burn Patient Colonized with Extensively Drug-Resistant Pseudomonas aeruginosa Responsible for Relapsing Ventilator-Associated Pneumonia and Bacteriemia.</t>
        </is>
      </c>
      <c r="D68" s="3" t="inlineStr">
        <is>
          <t>Viruses</t>
        </is>
      </c>
      <c r="E68" s="3" t="inlineStr">
        <is>
          <t>2024</t>
        </is>
      </c>
      <c r="F68" s="3" t="inlineStr">
        <is>
          <t>articulo</t>
        </is>
      </c>
      <c r="G68" s="3" t="inlineStr">
        <is>
          <t>10.3390/v16071080</t>
        </is>
      </c>
      <c r="H68" s="4" t="inlineStr">
        <is>
          <t>abrir</t>
        </is>
      </c>
      <c r="I68" s="5" t="inlineStr">
        <is>
          <t>Teney2024</t>
        </is>
      </c>
      <c r="J68" s="5" t="inlineStr">
        <is>
          <t>A</t>
        </is>
      </c>
      <c r="K68" s="5" t="inlineStr">
        <is>
          <t>solo Pseudomonas</t>
        </is>
      </c>
      <c r="L68" s="5" t="inlineStr">
        <is>
          <t>XDR</t>
        </is>
      </c>
      <c r="M68" s="5" t="inlineStr">
        <is>
          <t>declarado por el autor</t>
        </is>
      </c>
      <c r="N68" s="5" t="inlineStr">
        <is>
          <t>si</t>
        </is>
      </c>
      <c r="O68" s="5" t="inlineStr">
        <is>
          <t>IV</t>
        </is>
      </c>
      <c r="P68" s="5" t="inlineStr">
        <is>
          <t>fago + antibiotico</t>
        </is>
      </c>
      <c r="Q68" s="5" t="inlineStr">
        <is>
          <t>caso clinico</t>
        </is>
      </c>
      <c r="R68" s="5" t="inlineStr">
        <is>
          <t>COMPLETA</t>
        </is>
      </c>
      <c r="S68" s="5" t="n">
        <v>1</v>
      </c>
      <c r="T68" s="5" t="n">
        <v>1</v>
      </c>
      <c r="U68" s="5" t="n">
        <v>0</v>
      </c>
      <c r="V68" s="5" t="n">
        <v>1</v>
      </c>
      <c r="W68" s="5" t="n">
        <v>0</v>
      </c>
      <c r="X68" s="5" t="inlineStr">
        <is>
          <t xml:space="preserve">2 meses </t>
        </is>
      </c>
      <c r="Y68" s="5" t="inlineStr">
        <is>
          <t>Na</t>
        </is>
      </c>
      <c r="Z68" s="5" t="n">
        <v>2024</v>
      </c>
      <c r="AA68" s="5" t="inlineStr">
        <is>
          <t>En este caso, el efecto sinérgico de la administración de fagos y las dosis más bajas de antibióticos podrían haber sido la razón del resultado positivo. Los fagos permitieron dosis más bajas de antibióticos y redujeron sus toxicidades, que eran graves y no controlaban la colonización respiratoria. Aunque el PAS no resultó en un éxito microbiano, el resultado clínico fue favorable. La inmunoestimulación también puede influir en el resultado. Facilitar el uso de la terapia con fagos sobre la base del uso compasivo es el primer paso antes de llevar a cabo ensayos terapéuticos para demostrar su valor añadido para esta indicación. Este tratamiento adaptado al paciente fue posible debido a la baja respuesta inmune a la infección y la disponibilidad de los fagos listos para usar, con un fagograma compatible en la cepa de P. aeruginosa del paciente.</t>
        </is>
      </c>
      <c r="AB68" s="5">
        <f>IFERROR(IF(VLOOKUP(D68,Revistas!$A$21:$C$400,3,FALSE)=0,"",VLOOKUP(D68,Revistas!$A$21:$C$400,3,FALSE)),"")</f>
        <v/>
      </c>
      <c r="AC68" s="5" t="inlineStr">
        <is>
          <t xml:space="preserve">Francia </t>
        </is>
      </c>
      <c r="AD68" s="5" t="inlineStr">
        <is>
          <t>Tabla 1 figura 2</t>
        </is>
      </c>
      <c r="AE68" s="5" t="inlineStr">
        <is>
          <t>Na</t>
        </is>
      </c>
    </row>
    <row r="69">
      <c r="A69" s="3" t="inlineStr">
        <is>
          <t>EST-009</t>
        </is>
      </c>
      <c r="B69" s="3" t="n">
        <v>9</v>
      </c>
      <c r="C69" s="3" t="inlineStr">
        <is>
          <t>Case Report: Chronic Bacterial Prostatitis Treated With Phage Therapy After Multiple Failed Antibiotic Treatments.</t>
        </is>
      </c>
      <c r="D69" s="3" t="inlineStr">
        <is>
          <t>Frontiers in pharmacology</t>
        </is>
      </c>
      <c r="E69" s="3" t="inlineStr">
        <is>
          <t>2021</t>
        </is>
      </c>
      <c r="F69" s="3" t="inlineStr">
        <is>
          <t>articulo</t>
        </is>
      </c>
      <c r="G69" s="3" t="inlineStr">
        <is>
          <t>10.3389/fphar.2021.692614</t>
        </is>
      </c>
      <c r="H69" s="4" t="inlineStr">
        <is>
          <t>abrir</t>
        </is>
      </c>
      <c r="I69" s="5" t="inlineStr">
        <is>
          <t>Johri2021</t>
        </is>
      </c>
      <c r="J69" s="5" t="inlineStr">
        <is>
          <t>A</t>
        </is>
      </c>
      <c r="K69" s="5" t="inlineStr"/>
      <c r="L69" s="5" t="inlineStr">
        <is>
          <t>no clasificable</t>
        </is>
      </c>
      <c r="M69" s="5" t="inlineStr">
        <is>
          <t>no clasificable</t>
        </is>
      </c>
      <c r="N69" s="5" t="inlineStr">
        <is>
          <t>no derivable</t>
        </is>
      </c>
      <c r="O69" s="5" t="inlineStr">
        <is>
          <t>NA</t>
        </is>
      </c>
      <c r="P69" s="5" t="inlineStr">
        <is>
          <t>NA</t>
        </is>
      </c>
      <c r="Q69" s="5" t="inlineStr">
        <is>
          <t>caso clinico</t>
        </is>
      </c>
      <c r="R69" s="5" t="inlineStr">
        <is>
          <t>COMPLETA</t>
        </is>
      </c>
      <c r="S69" s="5" t="n">
        <v>1</v>
      </c>
      <c r="T69" s="5" t="n">
        <v>1</v>
      </c>
      <c r="U69" s="5" t="n">
        <v>0</v>
      </c>
      <c r="V69" s="5" t="n">
        <v>1</v>
      </c>
      <c r="W69" s="5" t="n">
        <v>0</v>
      </c>
      <c r="X69" s="5" t="inlineStr">
        <is>
          <t>Na</t>
        </is>
      </c>
      <c r="Y69" s="5" t="inlineStr">
        <is>
          <t>Na</t>
        </is>
      </c>
      <c r="Z69" s="5" t="n">
        <v>2021</v>
      </c>
      <c r="AA69" s="5" t="inlineStr">
        <is>
          <t>El paciente descrito en este estudio de caso se sometió a numerosos ciclos de antibióticos sin mejoría en los síntomas o evaluación adecuada, como análisis bacteriológico y TRUS. Este fracaso de los antibióticos para proporcionar mejora clínica lo llevó a buscar un tratamiento alternativo. La terapia con fagos mostró eficacia tanto en la erradicación de bacterias patógenas como se observó en repetidos análisis microbiológicos y la reducción de la inflamación en la próstata, así como en el volumen sin cargar al paciente con efectos secundarios. La calidad de vida del paciente mejoró drásticamente. Ahora está libre de síntomas y ha restaurado la actividad normal.</t>
        </is>
      </c>
      <c r="AB69" s="5">
        <f>IFERROR(IF(VLOOKUP(D69,Revistas!$A$21:$C$400,3,FALSE)=0,"",VLOOKUP(D69,Revistas!$A$21:$C$400,3,FALSE)),"")</f>
        <v/>
      </c>
      <c r="AC69" s="5" t="inlineStr">
        <is>
          <t>Estados unidos</t>
        </is>
      </c>
      <c r="AD69" s="5" t="inlineStr">
        <is>
          <t>Tabla 1 y tabla 2</t>
        </is>
      </c>
      <c r="AE69" s="5" t="inlineStr">
        <is>
          <t>No es pseudomona</t>
        </is>
      </c>
    </row>
    <row r="70">
      <c r="A70" s="3" t="inlineStr">
        <is>
          <t>EST-010</t>
        </is>
      </c>
      <c r="B70" s="3" t="n">
        <v>10</v>
      </c>
      <c r="C70" s="3" t="inlineStr">
        <is>
          <t>Personalized bacteriophage therapy to treat pandrug-resistant spinal Pseudomonas aeruginosa infection.</t>
        </is>
      </c>
      <c r="D70" s="3" t="inlineStr">
        <is>
          <t xml:space="preserve">Nature Communications </t>
        </is>
      </c>
      <c r="E70" s="3" t="inlineStr">
        <is>
          <t>2022</t>
        </is>
      </c>
      <c r="F70" s="3" t="inlineStr">
        <is>
          <t>articulo</t>
        </is>
      </c>
      <c r="G70" s="3" t="inlineStr">
        <is>
          <t>10.1038/s41467-022-31837-9</t>
        </is>
      </c>
      <c r="H70" s="4" t="inlineStr">
        <is>
          <t>abrir</t>
        </is>
      </c>
      <c r="I70" s="5" t="inlineStr">
        <is>
          <t>Ferry2022</t>
        </is>
      </c>
      <c r="J70" s="5" t="inlineStr">
        <is>
          <t>A</t>
        </is>
      </c>
      <c r="K70" s="5" t="inlineStr">
        <is>
          <t>solo Pseudomonas</t>
        </is>
      </c>
      <c r="L70" s="5" t="inlineStr">
        <is>
          <t>PDR</t>
        </is>
      </c>
      <c r="M70" s="5" t="inlineStr">
        <is>
          <t>declarado por el autor</t>
        </is>
      </c>
      <c r="N70" s="5" t="inlineStr">
        <is>
          <t>no</t>
        </is>
      </c>
      <c r="O70" s="5" t="inlineStr">
        <is>
          <t>intraarticular</t>
        </is>
      </c>
      <c r="P70" s="5" t="inlineStr">
        <is>
          <t>fago + antibiotico</t>
        </is>
      </c>
      <c r="Q70" s="5" t="inlineStr">
        <is>
          <t>caso clinico</t>
        </is>
      </c>
      <c r="R70" s="5" t="inlineStr">
        <is>
          <t>COMPLETA</t>
        </is>
      </c>
      <c r="S70" s="5" t="n">
        <v>1</v>
      </c>
      <c r="T70" s="5" t="n">
        <v>1</v>
      </c>
      <c r="U70" s="5" t="n">
        <v>0</v>
      </c>
      <c r="V70" s="5" t="n">
        <v>1</v>
      </c>
      <c r="W70" s="5" t="n">
        <v>0</v>
      </c>
      <c r="X70" s="5" t="inlineStr">
        <is>
          <t>Na</t>
        </is>
      </c>
      <c r="Y70" s="5" t="inlineStr">
        <is>
          <t>Na</t>
        </is>
      </c>
      <c r="Z70" s="5" t="n">
        <v>2022</v>
      </c>
      <c r="AA70" s="5" t="inlineStr">
        <is>
          <t>En el presente caso, un factor limitante fue el tiempo para examinar, producir y purificar los bacteriófagos (en total 3 meses) antes de que se pudiera administrar al paciente un cóctel de fagos premontado, personalizado y dirigido como adyuvante para la cirugía y los antibióticos. En consecuencia, tener acceso a una colección de fagos purificados, que podrían usarse en un corto retraso, podría ser extremadamente importante para futuros tratamientos de infecciones bacterianas tan graves. Por lo menos, el presente estudio de caso ha demostrado una vez más la seguridad de los fagos purificados, administrados varias veces localmente y por vía intravenosa. En consecuencia, con respecto al enfoque altamente personalizado necesario para la terapia de fagos, las colaboraciones académicas, además de los actores industriales, son muy valiosas para desarrollar el campo. De hecho, como se ha demostrado aquí, una colaboración académica europea única en el contexto de un tratamiento que salva vidas proporcionó nuevamente datos importantes que, con suerte, facilitarán el establecimiento y la realización de ensayos clínicos en una indicación principalmente relevante.</t>
        </is>
      </c>
      <c r="AB70" s="5">
        <f>IFERROR(IF(VLOOKUP(D70,Revistas!$A$21:$C$400,3,FALSE)=0,"",VLOOKUP(D70,Revistas!$A$21:$C$400,3,FALSE)),"")</f>
        <v/>
      </c>
      <c r="AC70" s="5" t="inlineStr">
        <is>
          <t>Francia</t>
        </is>
      </c>
      <c r="AD70" s="5" t="inlineStr">
        <is>
          <t>Resultados</t>
        </is>
      </c>
      <c r="AE70" s="5" t="inlineStr">
        <is>
          <t>Na</t>
        </is>
      </c>
    </row>
    <row r="71">
      <c r="A71" s="3" t="inlineStr">
        <is>
          <t>EST-011</t>
        </is>
      </c>
      <c r="B71" s="3" t="n">
        <v>14</v>
      </c>
      <c r="C71" s="3" t="inlineStr">
        <is>
          <t>A case report of bacteriophage therapy for the treatment of lung infection due to carbapenem-resistant Pseudomonas aeruginosa.</t>
        </is>
      </c>
      <c r="D71" s="3" t="inlineStr">
        <is>
          <t>Scientific reports</t>
        </is>
      </c>
      <c r="E71" s="3" t="inlineStr">
        <is>
          <t>2025</t>
        </is>
      </c>
      <c r="F71" s="3" t="inlineStr">
        <is>
          <t>articulo</t>
        </is>
      </c>
      <c r="G71" s="3" t="inlineStr">
        <is>
          <t>10.1038/s41598-025-17510-3</t>
        </is>
      </c>
      <c r="H71" s="4" t="inlineStr">
        <is>
          <t>abrir</t>
        </is>
      </c>
      <c r="I71" s="5" t="inlineStr">
        <is>
          <t>Yang2025</t>
        </is>
      </c>
      <c r="J71" s="5" t="inlineStr">
        <is>
          <t>A</t>
        </is>
      </c>
      <c r="K71" s="5" t="inlineStr">
        <is>
          <t>solo Pseudomonas</t>
        </is>
      </c>
      <c r="L71" s="5" t="inlineStr">
        <is>
          <t>MDR</t>
        </is>
      </c>
      <c r="M71" s="5" t="inlineStr">
        <is>
          <t>declarado por el autor</t>
        </is>
      </c>
      <c r="N71" s="5" t="inlineStr">
        <is>
          <t>no</t>
        </is>
      </c>
      <c r="O71" s="5" t="inlineStr">
        <is>
          <t>inhalada/nebulizada</t>
        </is>
      </c>
      <c r="P71" s="5" t="inlineStr">
        <is>
          <t>fago + antibiotico</t>
        </is>
      </c>
      <c r="Q71" s="5" t="inlineStr">
        <is>
          <t>caso clinico</t>
        </is>
      </c>
      <c r="R71" s="5" t="inlineStr">
        <is>
          <t>COMPLETA</t>
        </is>
      </c>
      <c r="S71" s="5" t="n">
        <v>1</v>
      </c>
      <c r="T71" s="5" t="n">
        <v>1</v>
      </c>
      <c r="U71" s="5" t="n">
        <v>0</v>
      </c>
      <c r="V71" s="5" t="n">
        <v>1</v>
      </c>
      <c r="W71" s="5" t="n">
        <v>0</v>
      </c>
      <c r="X71" s="5" t="inlineStr">
        <is>
          <t>Na</t>
        </is>
      </c>
      <c r="Y71" s="5" t="inlineStr">
        <is>
          <t>Na</t>
        </is>
      </c>
      <c r="Z71" s="5" t="n">
        <v>2025</v>
      </c>
      <c r="AA71" s="5" t="inlineStr">
        <is>
          <t>En general, el paciente estaba infectado con P. aeruginosa multirresistente, lo que resultó en síntomas potencialmente mortales. Después de la terapia con fagos personalizada, la infección del paciente mejoró significativamente, con la normalización de los marcadores inflamatorios y la mejora de las lesiones pulmonares a pesar del aislamiento de las cepas resistentes a los fagos. Si bien la erradicación completa de P. aeruginosa puede no ser siempre alcanzable, la virulencia reducida de las cepas resistentes a los fagos contribuyó a una marcada mejora en la condición clínica del paciente. Esta investigación enfatiza la importancia de comprender las complejas interacciones entre fagos y bacterias para optimizar las estrategias de terapia de fagos.</t>
        </is>
      </c>
      <c r="AB71" s="5">
        <f>IFERROR(IF(VLOOKUP(D71,Revistas!$A$21:$C$400,3,FALSE)=0,"",VLOOKUP(D71,Revistas!$A$21:$C$400,3,FALSE)),"")</f>
        <v/>
      </c>
      <c r="AC71" s="5" t="inlineStr">
        <is>
          <t>China</t>
        </is>
      </c>
      <c r="AD71" s="5" t="inlineStr">
        <is>
          <t>Resultados</t>
        </is>
      </c>
      <c r="AE71" s="5" t="inlineStr">
        <is>
          <t>Na</t>
        </is>
      </c>
    </row>
    <row r="72">
      <c r="A72" s="3" t="inlineStr">
        <is>
          <t>EST-012</t>
        </is>
      </c>
      <c r="B72" s="3" t="n">
        <v>15</v>
      </c>
      <c r="C72" s="3" t="inlineStr">
        <is>
          <t>Chronic suppression of a multidrug-resistant Pseudomonas aeruginosa in prosthetic joint infection using personalized bacteriophage treatment.</t>
        </is>
      </c>
      <c r="D72" s="3" t="inlineStr">
        <is>
          <t>Nature communications</t>
        </is>
      </c>
      <c r="E72" s="3" t="inlineStr">
        <is>
          <t>2026</t>
        </is>
      </c>
      <c r="F72" s="3" t="inlineStr">
        <is>
          <t>articulo</t>
        </is>
      </c>
      <c r="G72" s="3" t="inlineStr">
        <is>
          <t>10.1038/s41467-026-74326-z</t>
        </is>
      </c>
      <c r="H72" s="4" t="inlineStr">
        <is>
          <t>abrir</t>
        </is>
      </c>
      <c r="I72" s="5" t="inlineStr">
        <is>
          <t>Arya2026</t>
        </is>
      </c>
      <c r="J72" s="5" t="inlineStr">
        <is>
          <t>A</t>
        </is>
      </c>
      <c r="K72" s="5" t="inlineStr">
        <is>
          <t>solo Pseudomonas</t>
        </is>
      </c>
      <c r="L72" s="5" t="inlineStr">
        <is>
          <t>MDR</t>
        </is>
      </c>
      <c r="M72" s="5" t="inlineStr">
        <is>
          <t>declarado por el autor</t>
        </is>
      </c>
      <c r="N72" s="5" t="inlineStr">
        <is>
          <t>no</t>
        </is>
      </c>
      <c r="O72" s="5" t="inlineStr">
        <is>
          <t>NA</t>
        </is>
      </c>
      <c r="P72" s="5" t="inlineStr">
        <is>
          <t>fago en monoterapia</t>
        </is>
      </c>
      <c r="Q72" s="5" t="inlineStr">
        <is>
          <t>caso clinico</t>
        </is>
      </c>
      <c r="R72" s="5" t="inlineStr">
        <is>
          <t>PARCIAL</t>
        </is>
      </c>
      <c r="S72" s="5" t="n">
        <v>1</v>
      </c>
      <c r="T72" s="5" t="n">
        <v>1</v>
      </c>
      <c r="U72" s="5" t="n">
        <v>0</v>
      </c>
      <c r="V72" s="5" t="n">
        <v>0</v>
      </c>
      <c r="W72" s="5" t="n">
        <v>0</v>
      </c>
      <c r="X72" s="5" t="inlineStr">
        <is>
          <t>Na</t>
        </is>
      </c>
      <c r="Y72" s="5" t="inlineStr">
        <is>
          <t>Na</t>
        </is>
      </c>
      <c r="Z72" s="5" t="n">
        <v>2026</v>
      </c>
      <c r="AA72" s="5" t="inlineStr">
        <is>
          <t xml:space="preserve"> El tratamiento con terapia intermitente con bacteriófagos solo sin antibióticos durante un período de 2 años resultó en la resolución clínica de la infección, pero no en la erradicación microbiológica. La terapia con bacteriófagos estableció este control, en parte, alterando la virulencia definida por la gravedad y los síntomas de la enfermedad e interrumpiendo la biopelícula. La secuenciación del genoma completo demostró la presencia continua de bacteriófagos durante el tratamiento. Esto proporciona evidencia preliminar de que la terapia con bacteriófagos se puede utilizar para tratar infecciones MDR en casos de rescate cuando no existen opciones quirúrgicas y de antibióticos.</t>
        </is>
      </c>
      <c r="AB72" s="5">
        <f>IFERROR(IF(VLOOKUP(D72,Revistas!$A$21:$C$400,3,FALSE)=0,"",VLOOKUP(D72,Revistas!$A$21:$C$400,3,FALSE)),"")</f>
        <v/>
      </c>
      <c r="AC72" s="5" t="inlineStr">
        <is>
          <t>Estados Unidos</t>
        </is>
      </c>
      <c r="AD72" s="5" t="inlineStr">
        <is>
          <t>Resumen</t>
        </is>
      </c>
      <c r="AE72" s="5" t="inlineStr">
        <is>
          <t>No open acces</t>
        </is>
      </c>
    </row>
    <row r="73">
      <c r="A73" s="3" t="inlineStr">
        <is>
          <t>EST-014</t>
        </is>
      </c>
      <c r="B73" s="3" t="n">
        <v>23</v>
      </c>
      <c r="C73" s="3" t="inlineStr">
        <is>
          <t>Bacteriophage therapy for empyema caused by carbapenem-resistant Pseudomonas aeruginosa.</t>
        </is>
      </c>
      <c r="D73" s="3" t="inlineStr">
        <is>
          <t>Bioscience trends</t>
        </is>
      </c>
      <c r="E73" s="3" t="inlineStr">
        <is>
          <t>2022</t>
        </is>
      </c>
      <c r="F73" s="3" t="inlineStr">
        <is>
          <t>articulo</t>
        </is>
      </c>
      <c r="G73" s="3" t="inlineStr">
        <is>
          <t>10.5582/bst.2022.01147</t>
        </is>
      </c>
      <c r="H73" s="4" t="inlineStr">
        <is>
          <t>abrir</t>
        </is>
      </c>
      <c r="I73" s="5" t="inlineStr">
        <is>
          <t>Chen2022</t>
        </is>
      </c>
      <c r="J73" s="5" t="inlineStr">
        <is>
          <t>A</t>
        </is>
      </c>
      <c r="K73" s="5" t="inlineStr">
        <is>
          <t>solo Pseudomonas</t>
        </is>
      </c>
      <c r="L73" s="5" t="inlineStr">
        <is>
          <t>MDR</t>
        </is>
      </c>
      <c r="M73" s="5" t="inlineStr">
        <is>
          <t>declarado por el autor</t>
        </is>
      </c>
      <c r="N73" s="5" t="inlineStr">
        <is>
          <t>no</t>
        </is>
      </c>
      <c r="O73" s="5" t="inlineStr">
        <is>
          <t>inhalada/nebulizada</t>
        </is>
      </c>
      <c r="P73" s="5" t="inlineStr"/>
      <c r="Q73" s="5" t="inlineStr"/>
      <c r="R73" s="5" t="inlineStr"/>
      <c r="S73" s="5" t="inlineStr"/>
      <c r="T73" s="5" t="inlineStr"/>
      <c r="U73" s="5" t="inlineStr"/>
      <c r="V73" s="5" t="inlineStr"/>
      <c r="W73" s="5" t="inlineStr"/>
      <c r="X73" s="5" t="inlineStr"/>
      <c r="Y73" s="5" t="inlineStr"/>
      <c r="Z73" s="5" t="inlineStr"/>
      <c r="AA73" s="5" t="inlineStr"/>
      <c r="AB73" s="5">
        <f>IFERROR(IF(VLOOKUP(D73,Revistas!$A$21:$C$400,3,FALSE)=0,"",VLOOKUP(D73,Revistas!$A$21:$C$400,3,FALSE)),"")</f>
        <v/>
      </c>
      <c r="AC73" s="5" t="inlineStr"/>
      <c r="AD73" s="5" t="inlineStr"/>
      <c r="AE73" s="5" t="inlineStr"/>
    </row>
    <row r="74">
      <c r="A74" s="3" t="inlineStr">
        <is>
          <t>EST-016</t>
        </is>
      </c>
      <c r="B74" s="3" t="n">
        <v>25</v>
      </c>
      <c r="C74" s="3" t="inlineStr">
        <is>
          <t>Use of Phage Cocktail BFC 1.10 in Combination With Ceftazidime-Avibactam in the Treatment of Multidrug-Resistant Pseudomonas aeruginosa Femur Osteomyelitis-A Case Report.</t>
        </is>
      </c>
      <c r="D74" s="3" t="inlineStr">
        <is>
          <t>Frontiers in medicine</t>
        </is>
      </c>
      <c r="E74" s="3" t="inlineStr">
        <is>
          <t>2022</t>
        </is>
      </c>
      <c r="F74" s="3" t="inlineStr">
        <is>
          <t>articulo</t>
        </is>
      </c>
      <c r="G74" s="3" t="inlineStr">
        <is>
          <t>10.3389/fmed.2022.851310</t>
        </is>
      </c>
      <c r="H74" s="4" t="inlineStr">
        <is>
          <t>abrir</t>
        </is>
      </c>
      <c r="I74" s="5" t="inlineStr"/>
      <c r="J74" s="5" t="inlineStr">
        <is>
          <t>A</t>
        </is>
      </c>
      <c r="K74" s="5" t="inlineStr"/>
      <c r="L74" s="5" t="inlineStr"/>
      <c r="M74" s="5" t="inlineStr"/>
      <c r="N74" s="5" t="inlineStr"/>
      <c r="O74" s="5" t="inlineStr"/>
      <c r="P74" s="5" t="inlineStr"/>
      <c r="Q74" s="5" t="inlineStr"/>
      <c r="R74" s="5" t="inlineStr"/>
      <c r="S74" s="5" t="inlineStr"/>
      <c r="T74" s="5" t="inlineStr"/>
      <c r="U74" s="5" t="inlineStr"/>
      <c r="V74" s="5" t="inlineStr"/>
      <c r="W74" s="5" t="inlineStr"/>
      <c r="X74" s="5" t="inlineStr"/>
      <c r="Y74" s="5" t="inlineStr"/>
      <c r="Z74" s="5" t="inlineStr"/>
      <c r="AA74" s="5" t="inlineStr"/>
      <c r="AB74" s="5">
        <f>IFERROR(IF(VLOOKUP(D74,Revistas!$A$21:$C$400,3,FALSE)=0,"",VLOOKUP(D74,Revistas!$A$21:$C$400,3,FALSE)),"")</f>
        <v/>
      </c>
      <c r="AC74" s="5" t="inlineStr"/>
      <c r="AD74" s="5" t="inlineStr"/>
      <c r="AE74" s="5" t="inlineStr"/>
    </row>
    <row r="75">
      <c r="A75" s="3" t="inlineStr">
        <is>
          <t>EST-017</t>
        </is>
      </c>
      <c r="B75" s="3" t="n">
        <v>29</v>
      </c>
      <c r="C75" s="3" t="inlineStr">
        <is>
          <t>Successful Treatment of a Patient With Chronic Bronchiectasis Using an Induced Native Phage Cocktail: A Case Report.</t>
        </is>
      </c>
      <c r="D75" s="3" t="inlineStr">
        <is>
          <t>Cureus</t>
        </is>
      </c>
      <c r="E75" s="3" t="inlineStr">
        <is>
          <t>2025</t>
        </is>
      </c>
      <c r="F75" s="3" t="inlineStr">
        <is>
          <t>articulo</t>
        </is>
      </c>
      <c r="G75" s="3" t="inlineStr">
        <is>
          <t>10.7759/cureus.77681</t>
        </is>
      </c>
      <c r="H75" s="4" t="inlineStr">
        <is>
          <t>abrir</t>
        </is>
      </c>
      <c r="I75" s="5" t="inlineStr"/>
      <c r="J75" s="5" t="inlineStr">
        <is>
          <t>A</t>
        </is>
      </c>
      <c r="K75" s="5" t="inlineStr"/>
      <c r="L75" s="5" t="inlineStr"/>
      <c r="M75" s="5" t="inlineStr"/>
      <c r="N75" s="5" t="inlineStr"/>
      <c r="O75" s="5" t="inlineStr"/>
      <c r="P75" s="5" t="inlineStr"/>
      <c r="Q75" s="5" t="inlineStr"/>
      <c r="R75" s="5" t="inlineStr"/>
      <c r="S75" s="5" t="inlineStr"/>
      <c r="T75" s="5" t="inlineStr"/>
      <c r="U75" s="5" t="inlineStr"/>
      <c r="V75" s="5" t="inlineStr"/>
      <c r="W75" s="5" t="inlineStr"/>
      <c r="X75" s="5" t="inlineStr"/>
      <c r="Y75" s="5" t="inlineStr"/>
      <c r="Z75" s="5" t="inlineStr"/>
      <c r="AA75" s="5" t="inlineStr"/>
      <c r="AB75" s="5">
        <f>IFERROR(IF(VLOOKUP(D75,Revistas!$A$21:$C$400,3,FALSE)=0,"",VLOOKUP(D75,Revistas!$A$21:$C$400,3,FALSE)),"")</f>
        <v/>
      </c>
      <c r="AC75" s="5" t="inlineStr"/>
      <c r="AD75" s="5" t="inlineStr"/>
      <c r="AE75" s="5" t="inlineStr"/>
    </row>
    <row r="76">
      <c r="A76" s="3" t="inlineStr">
        <is>
          <t>EST-020</t>
        </is>
      </c>
      <c r="B76" s="3" t="n">
        <v>36</v>
      </c>
      <c r="C76" s="3" t="inlineStr">
        <is>
          <t>Adjunctive phage therapy improves antibiotic treatment of ventilator-associated-pneumonia with Pseudomonas aeruginosa.</t>
        </is>
      </c>
      <c r="D76" s="3" t="inlineStr">
        <is>
          <t xml:space="preserve">Nature Communications </t>
        </is>
      </c>
      <c r="E76" s="3" t="inlineStr">
        <is>
          <t>2025</t>
        </is>
      </c>
      <c r="F76" s="3" t="inlineStr">
        <is>
          <t>articulo</t>
        </is>
      </c>
      <c r="G76" s="3" t="inlineStr">
        <is>
          <t>10.1038/s41467-025-59806-y</t>
        </is>
      </c>
      <c r="H76" s="4" t="inlineStr">
        <is>
          <t>abrir</t>
        </is>
      </c>
      <c r="I76" s="5" t="inlineStr"/>
      <c r="J76" s="5" t="inlineStr">
        <is>
          <t>A</t>
        </is>
      </c>
      <c r="K76" s="5" t="inlineStr"/>
      <c r="L76" s="5" t="inlineStr"/>
      <c r="M76" s="5" t="inlineStr"/>
      <c r="N76" s="5" t="inlineStr"/>
      <c r="O76" s="5" t="inlineStr"/>
      <c r="P76" s="5" t="inlineStr"/>
      <c r="Q76" s="5" t="inlineStr"/>
      <c r="R76" s="5" t="inlineStr"/>
      <c r="S76" s="5" t="inlineStr"/>
      <c r="T76" s="5" t="inlineStr"/>
      <c r="U76" s="5" t="inlineStr"/>
      <c r="V76" s="5" t="inlineStr"/>
      <c r="W76" s="5" t="inlineStr"/>
      <c r="X76" s="5" t="inlineStr"/>
      <c r="Y76" s="5" t="inlineStr"/>
      <c r="Z76" s="5" t="inlineStr"/>
      <c r="AA76" s="5" t="inlineStr"/>
      <c r="AB76" s="5">
        <f>IFERROR(IF(VLOOKUP(D76,Revistas!$A$21:$C$400,3,FALSE)=0,"",VLOOKUP(D76,Revistas!$A$21:$C$400,3,FALSE)),"")</f>
        <v/>
      </c>
      <c r="AC76" s="5" t="inlineStr"/>
      <c r="AD76" s="5" t="inlineStr"/>
      <c r="AE76" s="5" t="inlineStr"/>
    </row>
    <row r="77">
      <c r="A77" s="3" t="inlineStr">
        <is>
          <t>EST-027</t>
        </is>
      </c>
      <c r="B77" s="3" t="n">
        <v>60</v>
      </c>
      <c r="C77" s="3" t="inlineStr">
        <is>
          <t>Personalized aerosolised bacteriophage treatment of a chronic lung infection due to multidrug-resistant Pseudomonas aeruginosa.</t>
        </is>
      </c>
      <c r="D77" s="3" t="inlineStr">
        <is>
          <t>Nature communications</t>
        </is>
      </c>
      <c r="E77" s="3" t="inlineStr">
        <is>
          <t>2023</t>
        </is>
      </c>
      <c r="F77" s="3" t="inlineStr">
        <is>
          <t>articulo</t>
        </is>
      </c>
      <c r="G77" s="3" t="inlineStr">
        <is>
          <t>10.1038/s41467-023-39370-z</t>
        </is>
      </c>
      <c r="H77" s="4" t="inlineStr">
        <is>
          <t>abrir</t>
        </is>
      </c>
      <c r="I77" s="5" t="inlineStr"/>
      <c r="J77" s="5" t="inlineStr">
        <is>
          <t>A</t>
        </is>
      </c>
      <c r="K77" s="5" t="inlineStr"/>
      <c r="L77" s="5" t="inlineStr"/>
      <c r="M77" s="5" t="inlineStr"/>
      <c r="N77" s="5" t="inlineStr"/>
      <c r="O77" s="5" t="inlineStr"/>
      <c r="P77" s="5" t="inlineStr"/>
      <c r="Q77" s="5" t="inlineStr"/>
      <c r="R77" s="5" t="inlineStr"/>
      <c r="S77" s="5" t="inlineStr"/>
      <c r="T77" s="5" t="inlineStr"/>
      <c r="U77" s="5" t="inlineStr"/>
      <c r="V77" s="5" t="inlineStr"/>
      <c r="W77" s="5" t="inlineStr"/>
      <c r="X77" s="5" t="inlineStr"/>
      <c r="Y77" s="5" t="inlineStr"/>
      <c r="Z77" s="5" t="inlineStr"/>
      <c r="AA77" s="5" t="inlineStr"/>
      <c r="AB77" s="5">
        <f>IFERROR(IF(VLOOKUP(D77,Revistas!$A$21:$C$400,3,FALSE)=0,"",VLOOKUP(D77,Revistas!$A$21:$C$400,3,FALSE)),"")</f>
        <v/>
      </c>
      <c r="AC77" s="5" t="inlineStr"/>
      <c r="AD77" s="5" t="inlineStr"/>
      <c r="AE77" s="5" t="inlineStr"/>
    </row>
    <row r="78">
      <c r="A78" s="3" t="inlineStr">
        <is>
          <t>EST-030</t>
        </is>
      </c>
      <c r="B78" s="3" t="n">
        <v>67</v>
      </c>
      <c r="C78" s="3" t="inlineStr">
        <is>
          <t>Clearance of hypermutator XDR Pseudomonas osteomyelitis and hardware infection with adjunctive bacteriophage therapy.</t>
        </is>
      </c>
      <c r="D78" s="3" t="inlineStr">
        <is>
          <t>ASM case reports</t>
        </is>
      </c>
      <c r="E78" s="3" t="inlineStr">
        <is>
          <t>2026</t>
        </is>
      </c>
      <c r="F78" s="3" t="inlineStr">
        <is>
          <t>articulo</t>
        </is>
      </c>
      <c r="G78" s="3" t="inlineStr">
        <is>
          <t>10.1128/asmcr.00108-25</t>
        </is>
      </c>
      <c r="H78" s="4" t="inlineStr">
        <is>
          <t>abrir</t>
        </is>
      </c>
      <c r="I78" s="5" t="inlineStr"/>
      <c r="J78" s="5" t="inlineStr">
        <is>
          <t>A</t>
        </is>
      </c>
      <c r="K78" s="5" t="inlineStr"/>
      <c r="L78" s="5" t="inlineStr"/>
      <c r="M78" s="5" t="inlineStr"/>
      <c r="N78" s="5" t="inlineStr"/>
      <c r="O78" s="5" t="inlineStr"/>
      <c r="P78" s="5" t="inlineStr"/>
      <c r="Q78" s="5" t="inlineStr"/>
      <c r="R78" s="5" t="inlineStr"/>
      <c r="S78" s="5" t="inlineStr"/>
      <c r="T78" s="5" t="inlineStr"/>
      <c r="U78" s="5" t="inlineStr"/>
      <c r="V78" s="5" t="inlineStr"/>
      <c r="W78" s="5" t="inlineStr"/>
      <c r="X78" s="5" t="inlineStr"/>
      <c r="Y78" s="5" t="inlineStr"/>
      <c r="Z78" s="5" t="inlineStr"/>
      <c r="AA78" s="5" t="inlineStr"/>
      <c r="AB78" s="5">
        <f>IFERROR(IF(VLOOKUP(D78,Revistas!$A$21:$C$400,3,FALSE)=0,"",VLOOKUP(D78,Revistas!$A$21:$C$400,3,FALSE)),"")</f>
        <v/>
      </c>
      <c r="AC78" s="5" t="inlineStr"/>
      <c r="AD78" s="5" t="inlineStr"/>
      <c r="AE78" s="5" t="inlineStr"/>
    </row>
    <row r="79">
      <c r="A79" s="3" t="inlineStr">
        <is>
          <t>EST-037</t>
        </is>
      </c>
      <c r="B79" s="3" t="n">
        <v>88</v>
      </c>
      <c r="C79" s="3" t="inlineStr">
        <is>
          <t>Pan-Resistant Pseudomonas aeruginosa Septic Shock in a Critically Ill Patient: A Case Report.</t>
        </is>
      </c>
      <c r="D79" s="3" t="inlineStr">
        <is>
          <t xml:space="preserve">Clinical Medicine Insights: Case Reports </t>
        </is>
      </c>
      <c r="E79" s="3" t="inlineStr">
        <is>
          <t>2026</t>
        </is>
      </c>
      <c r="F79" s="3" t="inlineStr">
        <is>
          <t>articulo</t>
        </is>
      </c>
      <c r="G79" s="3" t="inlineStr">
        <is>
          <t>10.1177/11795476251411094</t>
        </is>
      </c>
      <c r="H79" s="4" t="inlineStr">
        <is>
          <t>abrir</t>
        </is>
      </c>
      <c r="I79" s="5" t="inlineStr"/>
      <c r="J79" s="5" t="inlineStr">
        <is>
          <t>A</t>
        </is>
      </c>
      <c r="K79" s="5" t="inlineStr"/>
      <c r="L79" s="5" t="inlineStr"/>
      <c r="M79" s="5" t="inlineStr"/>
      <c r="N79" s="5" t="inlineStr"/>
      <c r="O79" s="5" t="inlineStr"/>
      <c r="P79" s="5" t="inlineStr"/>
      <c r="Q79" s="5" t="inlineStr"/>
      <c r="R79" s="5" t="inlineStr"/>
      <c r="S79" s="5" t="inlineStr"/>
      <c r="T79" s="5" t="inlineStr"/>
      <c r="U79" s="5" t="inlineStr"/>
      <c r="V79" s="5" t="inlineStr"/>
      <c r="W79" s="5" t="inlineStr"/>
      <c r="X79" s="5" t="inlineStr"/>
      <c r="Y79" s="5" t="inlineStr"/>
      <c r="Z79" s="5" t="inlineStr"/>
      <c r="AA79" s="5" t="inlineStr"/>
      <c r="AB79" s="5">
        <f>IFERROR(IF(VLOOKUP(D79,Revistas!$A$21:$C$400,3,FALSE)=0,"",VLOOKUP(D79,Revistas!$A$21:$C$400,3,FALSE)),"")</f>
        <v/>
      </c>
      <c r="AC79" s="5" t="inlineStr"/>
      <c r="AD79" s="5" t="inlineStr"/>
      <c r="AE79" s="5" t="inlineStr"/>
    </row>
    <row r="80">
      <c r="A80" s="3" t="inlineStr">
        <is>
          <t>EST-040</t>
        </is>
      </c>
      <c r="B80" s="3" t="n">
        <v>99</v>
      </c>
      <c r="C80" s="3" t="inlineStr">
        <is>
          <t>Refractory Pseudomonas aeruginosa Bronchopulmonary Infection After Lung Transplantation for Common Variable Immunodeficiency Despite Maximal Treatment Including IgM/IgA-Enriched Im</t>
        </is>
      </c>
      <c r="D80" s="3" t="inlineStr">
        <is>
          <t>Infection and drug resistance</t>
        </is>
      </c>
      <c r="E80" s="3" t="inlineStr">
        <is>
          <t>2023</t>
        </is>
      </c>
      <c r="F80" s="3" t="inlineStr">
        <is>
          <t>articulo</t>
        </is>
      </c>
      <c r="G80" s="3" t="inlineStr">
        <is>
          <t>10.2147/idr.s413900</t>
        </is>
      </c>
      <c r="H80" s="4" t="inlineStr">
        <is>
          <t>abrir</t>
        </is>
      </c>
      <c r="I80" s="5" t="inlineStr"/>
      <c r="J80" s="5" t="inlineStr">
        <is>
          <t>A</t>
        </is>
      </c>
      <c r="K80" s="5" t="inlineStr"/>
      <c r="L80" s="5" t="inlineStr"/>
      <c r="M80" s="5" t="inlineStr"/>
      <c r="N80" s="5" t="inlineStr"/>
      <c r="O80" s="5" t="inlineStr"/>
      <c r="P80" s="5" t="inlineStr"/>
      <c r="Q80" s="5" t="inlineStr"/>
      <c r="R80" s="5" t="inlineStr"/>
      <c r="S80" s="5" t="inlineStr"/>
      <c r="T80" s="5" t="inlineStr"/>
      <c r="U80" s="5" t="inlineStr"/>
      <c r="V80" s="5" t="inlineStr"/>
      <c r="W80" s="5" t="inlineStr"/>
      <c r="X80" s="5" t="inlineStr"/>
      <c r="Y80" s="5" t="inlineStr"/>
      <c r="Z80" s="5" t="inlineStr"/>
      <c r="AA80" s="5" t="inlineStr"/>
      <c r="AB80" s="5">
        <f>IFERROR(IF(VLOOKUP(D80,Revistas!$A$21:$C$400,3,FALSE)=0,"",VLOOKUP(D80,Revistas!$A$21:$C$400,3,FALSE)),"")</f>
        <v/>
      </c>
      <c r="AC80" s="5" t="inlineStr"/>
      <c r="AD80" s="5" t="inlineStr"/>
      <c r="AE80" s="5" t="inlineStr"/>
    </row>
    <row r="81">
      <c r="A81" s="3" t="inlineStr">
        <is>
          <t>EST-041</t>
        </is>
      </c>
      <c r="B81" s="3" t="n">
        <v>104</v>
      </c>
      <c r="C81" s="3" t="inlineStr">
        <is>
          <t>Optimized preparation pipeline for emergency phage therapy against Pseudomonas aeruginosa at Yale University.</t>
        </is>
      </c>
      <c r="D81" s="3" t="inlineStr">
        <is>
          <t>Scientific reports</t>
        </is>
      </c>
      <c r="E81" s="3" t="inlineStr">
        <is>
          <t>2024</t>
        </is>
      </c>
      <c r="F81" s="3" t="inlineStr">
        <is>
          <t>articulo</t>
        </is>
      </c>
      <c r="G81" s="3" t="inlineStr">
        <is>
          <t>10.1038/s41598-024-52192-3</t>
        </is>
      </c>
      <c r="H81" s="4" t="inlineStr">
        <is>
          <t>abrir</t>
        </is>
      </c>
      <c r="I81" s="5" t="inlineStr"/>
      <c r="J81" s="5" t="inlineStr">
        <is>
          <t>A</t>
        </is>
      </c>
      <c r="K81" s="5" t="inlineStr"/>
      <c r="L81" s="5" t="inlineStr"/>
      <c r="M81" s="5" t="inlineStr"/>
      <c r="N81" s="5" t="inlineStr"/>
      <c r="O81" s="5" t="inlineStr"/>
      <c r="P81" s="5" t="inlineStr"/>
      <c r="Q81" s="5" t="inlineStr"/>
      <c r="R81" s="5" t="inlineStr"/>
      <c r="S81" s="5" t="inlineStr"/>
      <c r="T81" s="5" t="inlineStr"/>
      <c r="U81" s="5" t="inlineStr"/>
      <c r="V81" s="5" t="inlineStr"/>
      <c r="W81" s="5" t="inlineStr"/>
      <c r="X81" s="5" t="inlineStr"/>
      <c r="Y81" s="5" t="inlineStr"/>
      <c r="Z81" s="5" t="inlineStr"/>
      <c r="AA81" s="5" t="inlineStr"/>
      <c r="AB81" s="5">
        <f>IFERROR(IF(VLOOKUP(D81,Revistas!$A$21:$C$400,3,FALSE)=0,"",VLOOKUP(D81,Revistas!$A$21:$C$400,3,FALSE)),"")</f>
        <v/>
      </c>
      <c r="AC81" s="5" t="inlineStr"/>
      <c r="AD81" s="5" t="inlineStr"/>
      <c r="AE81" s="5" t="inlineStr"/>
    </row>
    <row r="82">
      <c r="A82" s="3" t="inlineStr">
        <is>
          <t>EST-046</t>
        </is>
      </c>
      <c r="B82" s="3" t="n">
        <v>121</v>
      </c>
      <c r="C82" s="3" t="inlineStr">
        <is>
          <t>Use of bacteriophages in the treatment of colistin-only-sensitive Pseudomonas aeruginosa septicaemia in a patient with acute kidney injury-a case report.</t>
        </is>
      </c>
      <c r="D82" s="3" t="inlineStr">
        <is>
          <t>Critical care (London, England)</t>
        </is>
      </c>
      <c r="E82" s="3" t="inlineStr">
        <is>
          <t>2017</t>
        </is>
      </c>
      <c r="F82" s="3" t="inlineStr">
        <is>
          <t>articulo</t>
        </is>
      </c>
      <c r="G82" s="3" t="inlineStr">
        <is>
          <t>10.1186/s13054-017-1709-y</t>
        </is>
      </c>
      <c r="H82" s="4" t="inlineStr">
        <is>
          <t>abrir</t>
        </is>
      </c>
      <c r="I82" s="5" t="inlineStr"/>
      <c r="J82" s="5" t="inlineStr">
        <is>
          <t>A</t>
        </is>
      </c>
      <c r="K82" s="5" t="inlineStr"/>
      <c r="L82" s="5" t="inlineStr"/>
      <c r="M82" s="5" t="inlineStr"/>
      <c r="N82" s="5" t="inlineStr"/>
      <c r="O82" s="5" t="inlineStr"/>
      <c r="P82" s="5" t="inlineStr"/>
      <c r="Q82" s="5" t="inlineStr"/>
      <c r="R82" s="5" t="inlineStr"/>
      <c r="S82" s="5" t="inlineStr"/>
      <c r="T82" s="5" t="inlineStr"/>
      <c r="U82" s="5" t="inlineStr"/>
      <c r="V82" s="5" t="inlineStr"/>
      <c r="W82" s="5" t="inlineStr"/>
      <c r="X82" s="5" t="inlineStr"/>
      <c r="Y82" s="5" t="inlineStr"/>
      <c r="Z82" s="5" t="inlineStr"/>
      <c r="AA82" s="5" t="inlineStr"/>
      <c r="AB82" s="5">
        <f>IFERROR(IF(VLOOKUP(D82,Revistas!$A$21:$C$400,3,FALSE)=0,"",VLOOKUP(D82,Revistas!$A$21:$C$400,3,FALSE)),"")</f>
        <v/>
      </c>
      <c r="AC82" s="5" t="inlineStr"/>
      <c r="AD82" s="5" t="inlineStr"/>
      <c r="AE82" s="5" t="inlineStr"/>
    </row>
    <row r="83">
      <c r="A83" s="3" t="inlineStr">
        <is>
          <t>EST-047</t>
        </is>
      </c>
      <c r="B83" s="3" t="n">
        <v>122</v>
      </c>
      <c r="C83" s="3" t="inlineStr">
        <is>
          <t>Bacteriophages as Adjuvant to Antibiotics for the Treatment of Periprosthetic Joint Infection Caused by Multidrug-Resistant Pseudomonas aeruginosa.</t>
        </is>
      </c>
      <c r="D83" s="3" t="inlineStr">
        <is>
          <t>Antimicrobial agents and chemotherapy</t>
        </is>
      </c>
      <c r="E83" s="3" t="inlineStr">
        <is>
          <t>2019</t>
        </is>
      </c>
      <c r="F83" s="3" t="inlineStr">
        <is>
          <t>articulo</t>
        </is>
      </c>
      <c r="G83" s="3" t="inlineStr">
        <is>
          <t>10.1128/aac.00924-19</t>
        </is>
      </c>
      <c r="H83" s="4" t="inlineStr">
        <is>
          <t>abrir</t>
        </is>
      </c>
      <c r="I83" s="5" t="inlineStr"/>
      <c r="J83" s="5" t="inlineStr">
        <is>
          <t>A</t>
        </is>
      </c>
      <c r="K83" s="5" t="inlineStr"/>
      <c r="L83" s="5" t="inlineStr"/>
      <c r="M83" s="5" t="inlineStr"/>
      <c r="N83" s="5" t="inlineStr"/>
      <c r="O83" s="5" t="inlineStr"/>
      <c r="P83" s="5" t="inlineStr"/>
      <c r="Q83" s="5" t="inlineStr"/>
      <c r="R83" s="5" t="inlineStr"/>
      <c r="S83" s="5" t="inlineStr"/>
      <c r="T83" s="5" t="inlineStr"/>
      <c r="U83" s="5" t="inlineStr"/>
      <c r="V83" s="5" t="inlineStr"/>
      <c r="W83" s="5" t="inlineStr"/>
      <c r="X83" s="5" t="inlineStr"/>
      <c r="Y83" s="5" t="inlineStr"/>
      <c r="Z83" s="5" t="inlineStr"/>
      <c r="AA83" s="5" t="inlineStr"/>
      <c r="AB83" s="5">
        <f>IFERROR(IF(VLOOKUP(D83,Revistas!$A$21:$C$400,3,FALSE)=0,"",VLOOKUP(D83,Revistas!$A$21:$C$400,3,FALSE)),"")</f>
        <v/>
      </c>
      <c r="AC83" s="5" t="inlineStr"/>
      <c r="AD83" s="5" t="inlineStr"/>
      <c r="AE83" s="5" t="inlineStr"/>
    </row>
    <row r="84">
      <c r="A84" s="3" t="inlineStr">
        <is>
          <t>EST-048</t>
        </is>
      </c>
      <c r="B84" s="3" t="n">
        <v>125</v>
      </c>
      <c r="C84" s="3" t="inlineStr">
        <is>
          <t>Application of Phage Therapy in a Case of a Chronic Hip-Prosthetic Joint Infection due to Pseudomonas aeruginosa: An Italian Real-Life Experience and In Vitro Analysis.</t>
        </is>
      </c>
      <c r="D84" s="3" t="inlineStr">
        <is>
          <t>Open forum infectious diseases</t>
        </is>
      </c>
      <c r="E84" s="3" t="inlineStr">
        <is>
          <t>2023</t>
        </is>
      </c>
      <c r="F84" s="3" t="inlineStr">
        <is>
          <t>articulo</t>
        </is>
      </c>
      <c r="G84" s="3" t="inlineStr">
        <is>
          <t>10.1093/ofid/ofad051</t>
        </is>
      </c>
      <c r="H84" s="4" t="inlineStr">
        <is>
          <t>abrir</t>
        </is>
      </c>
      <c r="I84" s="5" t="inlineStr"/>
      <c r="J84" s="5" t="inlineStr">
        <is>
          <t>A</t>
        </is>
      </c>
      <c r="K84" s="5" t="inlineStr"/>
      <c r="L84" s="5" t="inlineStr"/>
      <c r="M84" s="5" t="inlineStr"/>
      <c r="N84" s="5" t="inlineStr"/>
      <c r="O84" s="5" t="inlineStr"/>
      <c r="P84" s="5" t="inlineStr"/>
      <c r="Q84" s="5" t="inlineStr"/>
      <c r="R84" s="5" t="inlineStr"/>
      <c r="S84" s="5" t="inlineStr"/>
      <c r="T84" s="5" t="inlineStr"/>
      <c r="U84" s="5" t="inlineStr"/>
      <c r="V84" s="5" t="inlineStr"/>
      <c r="W84" s="5" t="inlineStr"/>
      <c r="X84" s="5" t="inlineStr"/>
      <c r="Y84" s="5" t="inlineStr"/>
      <c r="Z84" s="5" t="inlineStr"/>
      <c r="AA84" s="5" t="inlineStr"/>
      <c r="AB84" s="5">
        <f>IFERROR(IF(VLOOKUP(D84,Revistas!$A$21:$C$400,3,FALSE)=0,"",VLOOKUP(D84,Revistas!$A$21:$C$400,3,FALSE)),"")</f>
        <v/>
      </c>
      <c r="AC84" s="5" t="inlineStr"/>
      <c r="AD84" s="5" t="inlineStr"/>
      <c r="AE84" s="5" t="inlineStr"/>
    </row>
    <row r="85">
      <c r="A85" s="3" t="inlineStr">
        <is>
          <t>EST-051</t>
        </is>
      </c>
      <c r="B85" s="3" t="n">
        <v>131</v>
      </c>
      <c r="C85" s="3" t="inlineStr">
        <is>
          <t>Case report: Local bacteriophage therapy for fracture-related infection with polymicrobial multi-resistant bacteria: hydrogel application and postoperative phage analysis through m</t>
        </is>
      </c>
      <c r="D85" s="3" t="inlineStr">
        <is>
          <t>Frontiers in Medicine</t>
        </is>
      </c>
      <c r="E85" s="3" t="inlineStr">
        <is>
          <t>2024</t>
        </is>
      </c>
      <c r="F85" s="3" t="inlineStr">
        <is>
          <t>articulo</t>
        </is>
      </c>
      <c r="G85" s="3" t="inlineStr">
        <is>
          <t>10.3389/fmed.2024.1428432</t>
        </is>
      </c>
      <c r="H85" s="4" t="inlineStr">
        <is>
          <t>abrir</t>
        </is>
      </c>
      <c r="I85" s="5" t="inlineStr"/>
      <c r="J85" s="5" t="inlineStr">
        <is>
          <t>A</t>
        </is>
      </c>
      <c r="K85" s="5" t="inlineStr"/>
      <c r="L85" s="5" t="inlineStr"/>
      <c r="M85" s="5" t="inlineStr"/>
      <c r="N85" s="5" t="inlineStr"/>
      <c r="O85" s="5" t="inlineStr"/>
      <c r="P85" s="5" t="inlineStr"/>
      <c r="Q85" s="5" t="inlineStr"/>
      <c r="R85" s="5" t="inlineStr"/>
      <c r="S85" s="5" t="inlineStr"/>
      <c r="T85" s="5" t="inlineStr"/>
      <c r="U85" s="5" t="inlineStr"/>
      <c r="V85" s="5" t="inlineStr"/>
      <c r="W85" s="5" t="inlineStr"/>
      <c r="X85" s="5" t="inlineStr"/>
      <c r="Y85" s="5" t="inlineStr"/>
      <c r="Z85" s="5" t="inlineStr"/>
      <c r="AA85" s="5" t="inlineStr"/>
      <c r="AB85" s="5">
        <f>IFERROR(IF(VLOOKUP(D85,Revistas!$A$21:$C$400,3,FALSE)=0,"",VLOOKUP(D85,Revistas!$A$21:$C$400,3,FALSE)),"")</f>
        <v/>
      </c>
      <c r="AC85" s="5" t="inlineStr"/>
      <c r="AD85" s="5" t="inlineStr"/>
      <c r="AE85" s="5" t="inlineStr"/>
    </row>
    <row r="86">
      <c r="A86" s="3" t="inlineStr">
        <is>
          <t>EST-053</t>
        </is>
      </c>
      <c r="B86" s="3" t="n">
        <v>135</v>
      </c>
      <c r="C86" s="3" t="inlineStr">
        <is>
          <t>Phage-Antibiotic Combination Therapy against Recurrent Pseudomonas Septicaemia in a Patient with an Arterial Stent.</t>
        </is>
      </c>
      <c r="D86" s="3" t="inlineStr">
        <is>
          <t>Antibiotics (Basel, Switzerland)</t>
        </is>
      </c>
      <c r="E86" s="3" t="inlineStr">
        <is>
          <t>2024</t>
        </is>
      </c>
      <c r="F86" s="3" t="inlineStr">
        <is>
          <t>articulo</t>
        </is>
      </c>
      <c r="G86" s="3" t="inlineStr">
        <is>
          <t>10.3390/antibiotics13100916</t>
        </is>
      </c>
      <c r="H86" s="4" t="inlineStr">
        <is>
          <t>abrir</t>
        </is>
      </c>
      <c r="I86" s="5" t="inlineStr"/>
      <c r="J86" s="5" t="inlineStr">
        <is>
          <t>A</t>
        </is>
      </c>
      <c r="K86" s="5" t="inlineStr"/>
      <c r="L86" s="5" t="inlineStr"/>
      <c r="M86" s="5" t="inlineStr"/>
      <c r="N86" s="5" t="inlineStr"/>
      <c r="O86" s="5" t="inlineStr"/>
      <c r="P86" s="5" t="inlineStr"/>
      <c r="Q86" s="5" t="inlineStr"/>
      <c r="R86" s="5" t="inlineStr"/>
      <c r="S86" s="5" t="inlineStr"/>
      <c r="T86" s="5" t="inlineStr"/>
      <c r="U86" s="5" t="inlineStr"/>
      <c r="V86" s="5" t="inlineStr"/>
      <c r="W86" s="5" t="inlineStr"/>
      <c r="X86" s="5" t="inlineStr"/>
      <c r="Y86" s="5" t="inlineStr"/>
      <c r="Z86" s="5" t="inlineStr"/>
      <c r="AA86" s="5" t="inlineStr"/>
      <c r="AB86" s="5">
        <f>IFERROR(IF(VLOOKUP(D86,Revistas!$A$21:$C$400,3,FALSE)=0,"",VLOOKUP(D86,Revistas!$A$21:$C$400,3,FALSE)),"")</f>
        <v/>
      </c>
      <c r="AC86" s="5" t="inlineStr"/>
      <c r="AD86" s="5" t="inlineStr"/>
      <c r="AE86" s="5" t="inlineStr"/>
    </row>
    <row r="87">
      <c r="A87" s="3" t="inlineStr">
        <is>
          <t>EST-057</t>
        </is>
      </c>
      <c r="B87" s="3" t="n">
        <v>141</v>
      </c>
      <c r="C87" s="3" t="inlineStr">
        <is>
          <t>Phage Therapy as a Rescue Treatment for Recurrent Pseudomonas aeruginosa Bentall Infection.</t>
        </is>
      </c>
      <c r="D87" s="3" t="inlineStr">
        <is>
          <t>Viruses</t>
        </is>
      </c>
      <c r="E87" s="3" t="inlineStr">
        <is>
          <t>2025</t>
        </is>
      </c>
      <c r="F87" s="3" t="inlineStr">
        <is>
          <t>articulo</t>
        </is>
      </c>
      <c r="G87" s="3" t="inlineStr">
        <is>
          <t>10.3390/v17010123</t>
        </is>
      </c>
      <c r="H87" s="4" t="inlineStr">
        <is>
          <t>abrir</t>
        </is>
      </c>
      <c r="I87" s="5" t="inlineStr"/>
      <c r="J87" s="5" t="inlineStr">
        <is>
          <t>A</t>
        </is>
      </c>
      <c r="K87" s="5" t="inlineStr"/>
      <c r="L87" s="5" t="inlineStr"/>
      <c r="M87" s="5" t="inlineStr"/>
      <c r="N87" s="5" t="inlineStr"/>
      <c r="O87" s="5" t="inlineStr"/>
      <c r="P87" s="5" t="inlineStr"/>
      <c r="Q87" s="5" t="inlineStr"/>
      <c r="R87" s="5" t="inlineStr"/>
      <c r="S87" s="5" t="inlineStr"/>
      <c r="T87" s="5" t="inlineStr"/>
      <c r="U87" s="5" t="inlineStr"/>
      <c r="V87" s="5" t="inlineStr"/>
      <c r="W87" s="5" t="inlineStr"/>
      <c r="X87" s="5" t="inlineStr"/>
      <c r="Y87" s="5" t="inlineStr"/>
      <c r="Z87" s="5" t="inlineStr"/>
      <c r="AA87" s="5" t="inlineStr"/>
      <c r="AB87" s="5">
        <f>IFERROR(IF(VLOOKUP(D87,Revistas!$A$21:$C$400,3,FALSE)=0,"",VLOOKUP(D87,Revistas!$A$21:$C$400,3,FALSE)),"")</f>
        <v/>
      </c>
      <c r="AC87" s="5" t="inlineStr"/>
      <c r="AD87" s="5" t="inlineStr"/>
      <c r="AE87" s="5" t="inlineStr"/>
    </row>
    <row r="88">
      <c r="A88" s="3" t="inlineStr">
        <is>
          <t>EST-058</t>
        </is>
      </c>
      <c r="B88" s="3" t="n">
        <v>142</v>
      </c>
      <c r="C88" s="3" t="inlineStr">
        <is>
          <t>Resolution of acute rejection in a bilateral double-lung transplanted cystic fibrosis patient following phage intervention.</t>
        </is>
      </c>
      <c r="D88" s="3" t="inlineStr">
        <is>
          <t>ASM case reports</t>
        </is>
      </c>
      <c r="E88" s="3" t="inlineStr">
        <is>
          <t>2025</t>
        </is>
      </c>
      <c r="F88" s="3" t="inlineStr">
        <is>
          <t>articulo</t>
        </is>
      </c>
      <c r="G88" s="3" t="inlineStr">
        <is>
          <t>10.1128/asmcr.00058-24</t>
        </is>
      </c>
      <c r="H88" s="4" t="inlineStr">
        <is>
          <t>abrir</t>
        </is>
      </c>
      <c r="I88" s="5" t="inlineStr"/>
      <c r="J88" s="5" t="inlineStr">
        <is>
          <t>A</t>
        </is>
      </c>
      <c r="K88" s="5" t="inlineStr"/>
      <c r="L88" s="5" t="inlineStr"/>
      <c r="M88" s="5" t="inlineStr"/>
      <c r="N88" s="5" t="inlineStr"/>
      <c r="O88" s="5" t="inlineStr"/>
      <c r="P88" s="5" t="inlineStr"/>
      <c r="Q88" s="5" t="inlineStr"/>
      <c r="R88" s="5" t="inlineStr"/>
      <c r="S88" s="5" t="inlineStr"/>
      <c r="T88" s="5" t="inlineStr"/>
      <c r="U88" s="5" t="inlineStr"/>
      <c r="V88" s="5" t="inlineStr"/>
      <c r="W88" s="5" t="inlineStr"/>
      <c r="X88" s="5" t="inlineStr"/>
      <c r="Y88" s="5" t="inlineStr"/>
      <c r="Z88" s="5" t="inlineStr"/>
      <c r="AA88" s="5" t="inlineStr"/>
      <c r="AB88" s="5">
        <f>IFERROR(IF(VLOOKUP(D88,Revistas!$A$21:$C$400,3,FALSE)=0,"",VLOOKUP(D88,Revistas!$A$21:$C$400,3,FALSE)),"")</f>
        <v/>
      </c>
      <c r="AC88" s="5" t="inlineStr"/>
      <c r="AD88" s="5" t="inlineStr"/>
      <c r="AE88" s="5" t="inlineStr"/>
    </row>
    <row r="89">
      <c r="A89" s="3" t="inlineStr">
        <is>
          <t>EST-062</t>
        </is>
      </c>
      <c r="B89" s="3" t="n">
        <v>169</v>
      </c>
      <c r="C89" s="3" t="inlineStr">
        <is>
          <t>Bacteriophage-antibiotic combination therapy against extensively drug-resistant Pseudomonas aeruginosa infection to allow liver transplantation in a toddler.</t>
        </is>
      </c>
      <c r="D89" s="3" t="inlineStr">
        <is>
          <t xml:space="preserve">Nature Communications </t>
        </is>
      </c>
      <c r="E89" s="3" t="inlineStr">
        <is>
          <t>2022</t>
        </is>
      </c>
      <c r="F89" s="3" t="inlineStr">
        <is>
          <t>articulo</t>
        </is>
      </c>
      <c r="G89" s="3" t="inlineStr">
        <is>
          <t>10.1038/s41467-022-33294-w</t>
        </is>
      </c>
      <c r="H89" s="4" t="inlineStr">
        <is>
          <t>abrir</t>
        </is>
      </c>
      <c r="I89" s="5" t="inlineStr"/>
      <c r="J89" s="5" t="inlineStr">
        <is>
          <t>A</t>
        </is>
      </c>
      <c r="K89" s="5" t="inlineStr"/>
      <c r="L89" s="5" t="inlineStr"/>
      <c r="M89" s="5" t="inlineStr"/>
      <c r="N89" s="5" t="inlineStr"/>
      <c r="O89" s="5" t="inlineStr"/>
      <c r="P89" s="5" t="inlineStr"/>
      <c r="Q89" s="5" t="inlineStr"/>
      <c r="R89" s="5" t="inlineStr"/>
      <c r="S89" s="5" t="inlineStr"/>
      <c r="T89" s="5" t="inlineStr"/>
      <c r="U89" s="5" t="inlineStr"/>
      <c r="V89" s="5" t="inlineStr"/>
      <c r="W89" s="5" t="inlineStr"/>
      <c r="X89" s="5" t="inlineStr"/>
      <c r="Y89" s="5" t="inlineStr"/>
      <c r="Z89" s="5" t="inlineStr"/>
      <c r="AA89" s="5" t="inlineStr"/>
      <c r="AB89" s="5">
        <f>IFERROR(IF(VLOOKUP(D89,Revistas!$A$21:$C$400,3,FALSE)=0,"",VLOOKUP(D89,Revistas!$A$21:$C$400,3,FALSE)),"")</f>
        <v/>
      </c>
      <c r="AC89" s="5" t="inlineStr"/>
      <c r="AD89" s="5" t="inlineStr"/>
      <c r="AE89" s="5" t="inlineStr"/>
    </row>
    <row r="90">
      <c r="A90" s="3" t="inlineStr">
        <is>
          <t>EST-085</t>
        </is>
      </c>
      <c r="B90" s="3" t="n">
        <v>359</v>
      </c>
      <c r="C90" s="3" t="inlineStr">
        <is>
          <t>First-in-human application of double-stranded RNA bacteriophage in the treatment of pulmonary Pseudomonas aeruginosa infection.</t>
        </is>
      </c>
      <c r="D90" s="3" t="inlineStr">
        <is>
          <t>Microbial biotechnology</t>
        </is>
      </c>
      <c r="E90" s="3" t="inlineStr">
        <is>
          <t>2023</t>
        </is>
      </c>
      <c r="F90" s="3" t="inlineStr">
        <is>
          <t>articulo</t>
        </is>
      </c>
      <c r="G90" s="3" t="inlineStr">
        <is>
          <t>10.1111/1751-7915.14217</t>
        </is>
      </c>
      <c r="H90" s="4" t="inlineStr">
        <is>
          <t>abrir</t>
        </is>
      </c>
      <c r="I90" s="5" t="inlineStr"/>
      <c r="J90" s="5" t="inlineStr">
        <is>
          <t>A</t>
        </is>
      </c>
      <c r="K90" s="5" t="inlineStr"/>
      <c r="L90" s="5" t="inlineStr"/>
      <c r="M90" s="5" t="inlineStr"/>
      <c r="N90" s="5" t="inlineStr"/>
      <c r="O90" s="5" t="inlineStr"/>
      <c r="P90" s="5" t="inlineStr"/>
      <c r="Q90" s="5" t="inlineStr"/>
      <c r="R90" s="5" t="inlineStr"/>
      <c r="S90" s="5" t="inlineStr"/>
      <c r="T90" s="5" t="inlineStr"/>
      <c r="U90" s="5" t="inlineStr"/>
      <c r="V90" s="5" t="inlineStr"/>
      <c r="W90" s="5" t="inlineStr"/>
      <c r="X90" s="5" t="inlineStr"/>
      <c r="Y90" s="5" t="inlineStr"/>
      <c r="Z90" s="5" t="inlineStr"/>
      <c r="AA90" s="5" t="inlineStr"/>
      <c r="AB90" s="5">
        <f>IFERROR(IF(VLOOKUP(D90,Revistas!$A$21:$C$400,3,FALSE)=0,"",VLOOKUP(D90,Revistas!$A$21:$C$400,3,FALSE)),"")</f>
        <v/>
      </c>
      <c r="AC90" s="5" t="inlineStr"/>
      <c r="AD90" s="5" t="inlineStr"/>
      <c r="AE90" s="5" t="inlineStr"/>
    </row>
    <row r="91">
      <c r="A91" s="3" t="inlineStr">
        <is>
          <t>EST-088</t>
        </is>
      </c>
      <c r="B91" s="3" t="n">
        <v>373</v>
      </c>
      <c r="C91" s="3" t="inlineStr">
        <is>
          <t>Case report: Personalized triple phage-antibiotic combination therapy to rescue necrotizing fasciitis caused by Panton-Valentine leukocidin-producing MRSA in a 12-year-old boy.</t>
        </is>
      </c>
      <c r="D91" s="3" t="inlineStr">
        <is>
          <t>Frontiers in cellular and infection microbiology</t>
        </is>
      </c>
      <c r="E91" s="3" t="inlineStr">
        <is>
          <t>2024</t>
        </is>
      </c>
      <c r="F91" s="3" t="inlineStr">
        <is>
          <t>articulo</t>
        </is>
      </c>
      <c r="G91" s="3" t="inlineStr">
        <is>
          <t>10.3389/fcimb.2024.1354681</t>
        </is>
      </c>
      <c r="H91" s="4" t="inlineStr">
        <is>
          <t>abrir</t>
        </is>
      </c>
      <c r="I91" s="5" t="inlineStr"/>
      <c r="J91" s="5" t="inlineStr">
        <is>
          <t>A</t>
        </is>
      </c>
      <c r="K91" s="5" t="inlineStr"/>
      <c r="L91" s="5" t="inlineStr"/>
      <c r="M91" s="5" t="inlineStr"/>
      <c r="N91" s="5" t="inlineStr"/>
      <c r="O91" s="5" t="inlineStr"/>
      <c r="P91" s="5" t="inlineStr"/>
      <c r="Q91" s="5" t="inlineStr"/>
      <c r="R91" s="5" t="inlineStr"/>
      <c r="S91" s="5" t="inlineStr"/>
      <c r="T91" s="5" t="inlineStr"/>
      <c r="U91" s="5" t="inlineStr"/>
      <c r="V91" s="5" t="inlineStr"/>
      <c r="W91" s="5" t="inlineStr"/>
      <c r="X91" s="5" t="inlineStr"/>
      <c r="Y91" s="5" t="inlineStr"/>
      <c r="Z91" s="5" t="inlineStr"/>
      <c r="AA91" s="5" t="inlineStr"/>
      <c r="AB91" s="5">
        <f>IFERROR(IF(VLOOKUP(D91,Revistas!$A$21:$C$400,3,FALSE)=0,"",VLOOKUP(D91,Revistas!$A$21:$C$400,3,FALSE)),"")</f>
        <v/>
      </c>
      <c r="AC91" s="5" t="inlineStr"/>
      <c r="AD91" s="5" t="inlineStr"/>
      <c r="AE91" s="5" t="inlineStr"/>
    </row>
    <row r="92">
      <c r="A92" s="3" t="inlineStr">
        <is>
          <t>EST-093</t>
        </is>
      </c>
      <c r="B92" s="3" t="n">
        <v>414</v>
      </c>
      <c r="C92" s="3" t="inlineStr">
        <is>
          <t>Pharmacodynamic individualization of phage therapy against a KPC-5-producing Pseudomonas aeruginosa.</t>
        </is>
      </c>
      <c r="D92" s="3" t="inlineStr">
        <is>
          <t>JAC-antimicrobial resistance</t>
        </is>
      </c>
      <c r="E92" s="3" t="inlineStr">
        <is>
          <t>2026</t>
        </is>
      </c>
      <c r="F92" s="3" t="inlineStr">
        <is>
          <t>articulo</t>
        </is>
      </c>
      <c r="G92" s="3" t="inlineStr">
        <is>
          <t>10.1093/jacamr/dlaf257</t>
        </is>
      </c>
      <c r="H92" s="4" t="inlineStr">
        <is>
          <t>abrir</t>
        </is>
      </c>
      <c r="I92" s="5" t="inlineStr"/>
      <c r="J92" s="5" t="inlineStr">
        <is>
          <t>A</t>
        </is>
      </c>
      <c r="K92" s="5" t="inlineStr"/>
      <c r="L92" s="5" t="inlineStr"/>
      <c r="M92" s="5" t="inlineStr"/>
      <c r="N92" s="5" t="inlineStr"/>
      <c r="O92" s="5" t="inlineStr"/>
      <c r="P92" s="5" t="inlineStr"/>
      <c r="Q92" s="5" t="inlineStr"/>
      <c r="R92" s="5" t="inlineStr"/>
      <c r="S92" s="5" t="inlineStr"/>
      <c r="T92" s="5" t="inlineStr"/>
      <c r="U92" s="5" t="inlineStr"/>
      <c r="V92" s="5" t="inlineStr"/>
      <c r="W92" s="5" t="inlineStr"/>
      <c r="X92" s="5" t="inlineStr"/>
      <c r="Y92" s="5" t="inlineStr"/>
      <c r="Z92" s="5" t="inlineStr"/>
      <c r="AA92" s="5" t="inlineStr"/>
      <c r="AB92" s="5">
        <f>IFERROR(IF(VLOOKUP(D92,Revistas!$A$21:$C$400,3,FALSE)=0,"",VLOOKUP(D92,Revistas!$A$21:$C$400,3,FALSE)),"")</f>
        <v/>
      </c>
      <c r="AC92" s="5" t="inlineStr"/>
      <c r="AD92" s="5" t="inlineStr"/>
      <c r="AE92" s="5" t="inlineStr"/>
    </row>
    <row r="93">
      <c r="A93" s="3" t="inlineStr">
        <is>
          <t>EST-094</t>
        </is>
      </c>
      <c r="B93" s="3" t="n">
        <v>418</v>
      </c>
      <c r="C93" s="3" t="inlineStr">
        <is>
          <t>Timely bespoke phage-antibiotic combination to treat refractory Pseudomonas aeruginosa mediastinitis and vascular graft infection.</t>
        </is>
      </c>
      <c r="D93" s="3" t="inlineStr">
        <is>
          <t xml:space="preserve">Nature Communications </t>
        </is>
      </c>
      <c r="E93" s="3" t="inlineStr">
        <is>
          <t>2026</t>
        </is>
      </c>
      <c r="F93" s="3" t="inlineStr">
        <is>
          <t>articulo</t>
        </is>
      </c>
      <c r="G93" s="3" t="inlineStr">
        <is>
          <t>10.1038/s41467-025-68136-y</t>
        </is>
      </c>
      <c r="H93" s="4" t="inlineStr">
        <is>
          <t>abrir</t>
        </is>
      </c>
      <c r="I93" s="5" t="inlineStr"/>
      <c r="J93" s="5" t="inlineStr">
        <is>
          <t>A</t>
        </is>
      </c>
      <c r="K93" s="5" t="inlineStr"/>
      <c r="L93" s="5" t="inlineStr"/>
      <c r="M93" s="5" t="inlineStr"/>
      <c r="N93" s="5" t="inlineStr"/>
      <c r="O93" s="5" t="inlineStr"/>
      <c r="P93" s="5" t="inlineStr"/>
      <c r="Q93" s="5" t="inlineStr"/>
      <c r="R93" s="5" t="inlineStr"/>
      <c r="S93" s="5" t="inlineStr"/>
      <c r="T93" s="5" t="inlineStr"/>
      <c r="U93" s="5" t="inlineStr"/>
      <c r="V93" s="5" t="inlineStr"/>
      <c r="W93" s="5" t="inlineStr"/>
      <c r="X93" s="5" t="inlineStr"/>
      <c r="Y93" s="5" t="inlineStr"/>
      <c r="Z93" s="5" t="inlineStr"/>
      <c r="AA93" s="5" t="inlineStr"/>
      <c r="AB93" s="5">
        <f>IFERROR(IF(VLOOKUP(D93,Revistas!$A$21:$C$400,3,FALSE)=0,"",VLOOKUP(D93,Revistas!$A$21:$C$400,3,FALSE)),"")</f>
        <v/>
      </c>
      <c r="AC93" s="5" t="inlineStr"/>
      <c r="AD93" s="5" t="inlineStr"/>
      <c r="AE93" s="5" t="inlineStr"/>
    </row>
    <row r="94">
      <c r="A94" s="3" t="inlineStr">
        <is>
          <t>EST-095</t>
        </is>
      </c>
      <c r="B94" s="3" t="n">
        <v>436</v>
      </c>
      <c r="C94" s="3" t="inlineStr">
        <is>
          <t>Bacterial lysis, autophagy and innate immune responses during adjunctive phage therapy in a child.</t>
        </is>
      </c>
      <c r="D94" s="3" t="inlineStr">
        <is>
          <t>EMBO molecular medicine</t>
        </is>
      </c>
      <c r="E94" s="3" t="inlineStr">
        <is>
          <t>2021</t>
        </is>
      </c>
      <c r="F94" s="3" t="inlineStr">
        <is>
          <t>articulo</t>
        </is>
      </c>
      <c r="G94" s="3" t="inlineStr">
        <is>
          <t>10.15252/emmm.202113936</t>
        </is>
      </c>
      <c r="H94" s="4" t="inlineStr">
        <is>
          <t>abrir</t>
        </is>
      </c>
      <c r="I94" s="5" t="inlineStr"/>
      <c r="J94" s="5" t="inlineStr">
        <is>
          <t>A</t>
        </is>
      </c>
      <c r="K94" s="5" t="inlineStr"/>
      <c r="L94" s="5" t="inlineStr"/>
      <c r="M94" s="5" t="inlineStr"/>
      <c r="N94" s="5" t="inlineStr"/>
      <c r="O94" s="5" t="inlineStr"/>
      <c r="P94" s="5" t="inlineStr"/>
      <c r="Q94" s="5" t="inlineStr"/>
      <c r="R94" s="5" t="inlineStr"/>
      <c r="S94" s="5" t="inlineStr"/>
      <c r="T94" s="5" t="inlineStr"/>
      <c r="U94" s="5" t="inlineStr"/>
      <c r="V94" s="5" t="inlineStr"/>
      <c r="W94" s="5" t="inlineStr"/>
      <c r="X94" s="5" t="inlineStr"/>
      <c r="Y94" s="5" t="inlineStr"/>
      <c r="Z94" s="5" t="inlineStr"/>
      <c r="AA94" s="5" t="inlineStr"/>
      <c r="AB94" s="5">
        <f>IFERROR(IF(VLOOKUP(D94,Revistas!$A$21:$C$400,3,FALSE)=0,"",VLOOKUP(D94,Revistas!$A$21:$C$400,3,FALSE)),"")</f>
        <v/>
      </c>
      <c r="AC94" s="5" t="inlineStr"/>
      <c r="AD94" s="5" t="inlineStr"/>
      <c r="AE94" s="5" t="inlineStr"/>
    </row>
    <row r="95">
      <c r="A95" s="3" t="inlineStr">
        <is>
          <t>EST-106</t>
        </is>
      </c>
      <c r="B95" s="3" t="n">
        <v>529</v>
      </c>
      <c r="C95" s="3" t="inlineStr">
        <is>
          <t>Phage treatment of an aortic graft infected with Pseudomonas aeruginosa.</t>
        </is>
      </c>
      <c r="D95" s="3" t="inlineStr">
        <is>
          <t>Evolution, medicine, and public health</t>
        </is>
      </c>
      <c r="E95" s="3" t="inlineStr">
        <is>
          <t>2018</t>
        </is>
      </c>
      <c r="F95" s="3" t="inlineStr">
        <is>
          <t>articulo</t>
        </is>
      </c>
      <c r="G95" s="3" t="inlineStr">
        <is>
          <t>10.1093/emph/eoy005</t>
        </is>
      </c>
      <c r="H95" s="4" t="inlineStr">
        <is>
          <t>abrir</t>
        </is>
      </c>
      <c r="I95" s="5" t="inlineStr"/>
      <c r="J95" s="5" t="inlineStr">
        <is>
          <t>A</t>
        </is>
      </c>
      <c r="K95" s="5" t="inlineStr"/>
      <c r="L95" s="5" t="inlineStr"/>
      <c r="M95" s="5" t="inlineStr"/>
      <c r="N95" s="5" t="inlineStr"/>
      <c r="O95" s="5" t="inlineStr"/>
      <c r="P95" s="5" t="inlineStr"/>
      <c r="Q95" s="5" t="inlineStr"/>
      <c r="R95" s="5" t="inlineStr"/>
      <c r="S95" s="5" t="inlineStr"/>
      <c r="T95" s="5" t="inlineStr"/>
      <c r="U95" s="5" t="inlineStr"/>
      <c r="V95" s="5" t="inlineStr"/>
      <c r="W95" s="5" t="inlineStr"/>
      <c r="X95" s="5" t="inlineStr"/>
      <c r="Y95" s="5" t="inlineStr"/>
      <c r="Z95" s="5" t="inlineStr"/>
      <c r="AA95" s="5" t="inlineStr"/>
      <c r="AB95" s="5">
        <f>IFERROR(IF(VLOOKUP(D95,Revistas!$A$21:$C$400,3,FALSE)=0,"",VLOOKUP(D95,Revistas!$A$21:$C$400,3,FALSE)),"")</f>
        <v/>
      </c>
      <c r="AC95" s="5" t="inlineStr"/>
      <c r="AD95" s="5" t="inlineStr"/>
      <c r="AE95" s="5" t="inlineStr"/>
    </row>
    <row r="96">
      <c r="A96" s="3" t="inlineStr">
        <is>
          <t>EST-121</t>
        </is>
      </c>
      <c r="B96" s="3" t="n">
        <v>743</v>
      </c>
      <c r="C96" s="3" t="inlineStr">
        <is>
          <t>Do Anti-Phage Antibodies Persist after Phage Therapy? A Preliminary Report</t>
        </is>
      </c>
      <c r="D96" s="3" t="inlineStr">
        <is>
          <t>Antibiotics</t>
        </is>
      </c>
      <c r="E96" s="3" t="inlineStr">
        <is>
          <t>2022</t>
        </is>
      </c>
      <c r="F96" s="3" t="inlineStr">
        <is>
          <t>articulo</t>
        </is>
      </c>
      <c r="G96" s="3" t="inlineStr">
        <is>
          <t>10.3390/antibiotics11101358</t>
        </is>
      </c>
      <c r="H96" s="4" t="inlineStr">
        <is>
          <t>abrir</t>
        </is>
      </c>
      <c r="I96" s="5" t="inlineStr"/>
      <c r="J96" s="5" t="inlineStr">
        <is>
          <t>A</t>
        </is>
      </c>
      <c r="K96" s="5" t="inlineStr"/>
      <c r="L96" s="5" t="inlineStr"/>
      <c r="M96" s="5" t="inlineStr"/>
      <c r="N96" s="5" t="inlineStr"/>
      <c r="O96" s="5" t="inlineStr"/>
      <c r="P96" s="5" t="inlineStr"/>
      <c r="Q96" s="5" t="inlineStr"/>
      <c r="R96" s="5" t="inlineStr"/>
      <c r="S96" s="5" t="inlineStr"/>
      <c r="T96" s="5" t="inlineStr"/>
      <c r="U96" s="5" t="inlineStr"/>
      <c r="V96" s="5" t="inlineStr"/>
      <c r="W96" s="5" t="inlineStr"/>
      <c r="X96" s="5" t="inlineStr"/>
      <c r="Y96" s="5" t="inlineStr"/>
      <c r="Z96" s="5" t="inlineStr"/>
      <c r="AA96" s="5" t="inlineStr"/>
      <c r="AB96" s="5">
        <f>IFERROR(IF(VLOOKUP(D96,Revistas!$A$21:$C$400,3,FALSE)=0,"",VLOOKUP(D96,Revistas!$A$21:$C$400,3,FALSE)),"")</f>
        <v/>
      </c>
      <c r="AC96" s="5" t="inlineStr"/>
      <c r="AD96" s="5" t="inlineStr"/>
      <c r="AE96" s="5" t="inlineStr"/>
    </row>
    <row r="97">
      <c r="A97" s="3" t="inlineStr">
        <is>
          <t>EST-124</t>
        </is>
      </c>
      <c r="B97" s="3" t="n">
        <v>774</v>
      </c>
      <c r="C97" s="3" t="inlineStr">
        <is>
          <t>Successful Bacteriophage-Antibiotic Combination Therapy against Multidrug-Resistant Pseudomonas aeruginosa Left Ventricular Assist Device Driveline Infection.</t>
        </is>
      </c>
      <c r="D97" s="3" t="inlineStr">
        <is>
          <t>Viruses</t>
        </is>
      </c>
      <c r="E97" s="3" t="inlineStr">
        <is>
          <t>2023</t>
        </is>
      </c>
      <c r="F97" s="3" t="inlineStr">
        <is>
          <t>articulo</t>
        </is>
      </c>
      <c r="G97" s="3" t="inlineStr">
        <is>
          <t>10.3390/v15051210</t>
        </is>
      </c>
      <c r="H97" s="4" t="inlineStr">
        <is>
          <t>abrir</t>
        </is>
      </c>
      <c r="I97" s="5" t="inlineStr"/>
      <c r="J97" s="5" t="inlineStr">
        <is>
          <t>A</t>
        </is>
      </c>
      <c r="K97" s="5" t="inlineStr"/>
      <c r="L97" s="5" t="inlineStr"/>
      <c r="M97" s="5" t="inlineStr"/>
      <c r="N97" s="5" t="inlineStr"/>
      <c r="O97" s="5" t="inlineStr"/>
      <c r="P97" s="5" t="inlineStr"/>
      <c r="Q97" s="5" t="inlineStr"/>
      <c r="R97" s="5" t="inlineStr"/>
      <c r="S97" s="5" t="inlineStr"/>
      <c r="T97" s="5" t="inlineStr"/>
      <c r="U97" s="5" t="inlineStr"/>
      <c r="V97" s="5" t="inlineStr"/>
      <c r="W97" s="5" t="inlineStr"/>
      <c r="X97" s="5" t="inlineStr"/>
      <c r="Y97" s="5" t="inlineStr"/>
      <c r="Z97" s="5" t="inlineStr"/>
      <c r="AA97" s="5" t="inlineStr"/>
      <c r="AB97" s="5">
        <f>IFERROR(IF(VLOOKUP(D97,Revistas!$A$21:$C$400,3,FALSE)=0,"",VLOOKUP(D97,Revistas!$A$21:$C$400,3,FALSE)),"")</f>
        <v/>
      </c>
      <c r="AC97" s="5" t="inlineStr"/>
      <c r="AD97" s="5" t="inlineStr"/>
      <c r="AE97" s="5" t="inlineStr"/>
    </row>
    <row r="98">
      <c r="A98" s="3" t="inlineStr">
        <is>
          <t>EST-129</t>
        </is>
      </c>
      <c r="B98" s="3" t="n">
        <v>845</v>
      </c>
      <c r="C98" s="3" t="inlineStr">
        <is>
          <t>Phage Therapy for Orthopaedic Infections: The First Three Cases from the United Kingdom</t>
        </is>
      </c>
      <c r="D98" s="3" t="inlineStr">
        <is>
          <t>Antibiotics</t>
        </is>
      </c>
      <c r="E98" s="3" t="inlineStr">
        <is>
          <t>2025</t>
        </is>
      </c>
      <c r="F98" s="3" t="inlineStr">
        <is>
          <t>articulo</t>
        </is>
      </c>
      <c r="G98" s="3" t="inlineStr">
        <is>
          <t>10.3390/antibiotics14020114</t>
        </is>
      </c>
      <c r="H98" s="4" t="inlineStr">
        <is>
          <t>abrir</t>
        </is>
      </c>
      <c r="I98" s="5" t="inlineStr"/>
      <c r="J98" s="5" t="inlineStr">
        <is>
          <t>A</t>
        </is>
      </c>
      <c r="K98" s="5" t="inlineStr"/>
      <c r="L98" s="5" t="inlineStr"/>
      <c r="M98" s="5" t="inlineStr"/>
      <c r="N98" s="5" t="inlineStr"/>
      <c r="O98" s="5" t="inlineStr"/>
      <c r="P98" s="5" t="inlineStr"/>
      <c r="Q98" s="5" t="inlineStr"/>
      <c r="R98" s="5" t="inlineStr"/>
      <c r="S98" s="5" t="inlineStr"/>
      <c r="T98" s="5" t="inlineStr"/>
      <c r="U98" s="5" t="inlineStr"/>
      <c r="V98" s="5" t="inlineStr"/>
      <c r="W98" s="5" t="inlineStr"/>
      <c r="X98" s="5" t="inlineStr"/>
      <c r="Y98" s="5" t="inlineStr"/>
      <c r="Z98" s="5" t="inlineStr"/>
      <c r="AA98" s="5" t="inlineStr"/>
      <c r="AB98" s="5">
        <f>IFERROR(IF(VLOOKUP(D98,Revistas!$A$21:$C$400,3,FALSE)=0,"",VLOOKUP(D98,Revistas!$A$21:$C$400,3,FALSE)),"")</f>
        <v/>
      </c>
      <c r="AC98" s="5" t="inlineStr"/>
      <c r="AD98" s="5" t="inlineStr"/>
      <c r="AE98" s="5" t="inlineStr"/>
    </row>
    <row r="99">
      <c r="A99" s="3" t="inlineStr">
        <is>
          <t>EST-130</t>
        </is>
      </c>
      <c r="B99" s="3" t="n">
        <v>855</v>
      </c>
      <c r="C99" s="3" t="inlineStr">
        <is>
          <t>Prolonged disease remission of the chronic immunological skin disorder hidradenitis suppurativa with adjunctive bacteriophage therapy.</t>
        </is>
      </c>
      <c r="D99" s="3" t="inlineStr">
        <is>
          <t>Nature communications</t>
        </is>
      </c>
      <c r="E99" s="3" t="inlineStr">
        <is>
          <t>2025</t>
        </is>
      </c>
      <c r="F99" s="3" t="inlineStr">
        <is>
          <t>articulo</t>
        </is>
      </c>
      <c r="G99" s="3" t="inlineStr">
        <is>
          <t>10.1038/s41467-025-65939-x</t>
        </is>
      </c>
      <c r="H99" s="4" t="inlineStr">
        <is>
          <t>abrir</t>
        </is>
      </c>
      <c r="I99" s="5" t="inlineStr"/>
      <c r="J99" s="5" t="inlineStr">
        <is>
          <t>A</t>
        </is>
      </c>
      <c r="K99" s="5" t="inlineStr"/>
      <c r="L99" s="5" t="inlineStr"/>
      <c r="M99" s="5" t="inlineStr"/>
      <c r="N99" s="5" t="inlineStr"/>
      <c r="O99" s="5" t="inlineStr"/>
      <c r="P99" s="5" t="inlineStr"/>
      <c r="Q99" s="5" t="inlineStr"/>
      <c r="R99" s="5" t="inlineStr"/>
      <c r="S99" s="5" t="inlineStr"/>
      <c r="T99" s="5" t="inlineStr"/>
      <c r="U99" s="5" t="inlineStr"/>
      <c r="V99" s="5" t="inlineStr"/>
      <c r="W99" s="5" t="inlineStr"/>
      <c r="X99" s="5" t="inlineStr"/>
      <c r="Y99" s="5" t="inlineStr"/>
      <c r="Z99" s="5" t="inlineStr"/>
      <c r="AA99" s="5" t="inlineStr"/>
      <c r="AB99" s="5">
        <f>IFERROR(IF(VLOOKUP(D99,Revistas!$A$21:$C$400,3,FALSE)=0,"",VLOOKUP(D99,Revistas!$A$21:$C$400,3,FALSE)),"")</f>
        <v/>
      </c>
      <c r="AC99" s="5" t="inlineStr"/>
      <c r="AD99" s="5" t="inlineStr"/>
      <c r="AE99" s="5" t="inlineStr"/>
    </row>
    <row r="100">
      <c r="A100" s="3" t="inlineStr">
        <is>
          <t>EST-135</t>
        </is>
      </c>
      <c r="B100" s="3" t="n">
        <v>913</v>
      </c>
      <c r="C100" s="3" t="inlineStr">
        <is>
          <t>The Potential Innovative Use of Bacteriophages Within the DAC® Hydrogel to Treat Patients With Knee Megaprosthesis Infection Requiring “Debridement Antibiotics and Implant Retentio</t>
        </is>
      </c>
      <c r="D100" s="3" t="inlineStr">
        <is>
          <t>Frontiers in Medicine</t>
        </is>
      </c>
      <c r="E100" s="3" t="inlineStr">
        <is>
          <t>2020</t>
        </is>
      </c>
      <c r="F100" s="3" t="inlineStr">
        <is>
          <t>articulo</t>
        </is>
      </c>
      <c r="G100" s="3" t="inlineStr">
        <is>
          <t>10.3389/fmed.2020.00342</t>
        </is>
      </c>
      <c r="H100" s="4" t="inlineStr">
        <is>
          <t>abrir</t>
        </is>
      </c>
      <c r="I100" s="5" t="inlineStr"/>
      <c r="J100" s="5" t="inlineStr">
        <is>
          <t>A</t>
        </is>
      </c>
      <c r="K100" s="5" t="inlineStr"/>
      <c r="L100" s="5" t="inlineStr"/>
      <c r="M100" s="5" t="inlineStr"/>
      <c r="N100" s="5" t="inlineStr"/>
      <c r="O100" s="5" t="inlineStr"/>
      <c r="P100" s="5" t="inlineStr"/>
      <c r="Q100" s="5" t="inlineStr"/>
      <c r="R100" s="5" t="inlineStr"/>
      <c r="S100" s="5" t="inlineStr"/>
      <c r="T100" s="5" t="inlineStr"/>
      <c r="U100" s="5" t="inlineStr"/>
      <c r="V100" s="5" t="inlineStr"/>
      <c r="W100" s="5" t="inlineStr"/>
      <c r="X100" s="5" t="inlineStr"/>
      <c r="Y100" s="5" t="inlineStr"/>
      <c r="Z100" s="5" t="inlineStr"/>
      <c r="AA100" s="5" t="inlineStr"/>
      <c r="AB100" s="5">
        <f>IFERROR(IF(VLOOKUP(D100,Revistas!$A$21:$C$400,3,FALSE)=0,"",VLOOKUP(D100,Revistas!$A$21:$C$400,3,FALSE)),"")</f>
        <v/>
      </c>
      <c r="AC100" s="5" t="inlineStr"/>
      <c r="AD100" s="5" t="inlineStr"/>
      <c r="AE100" s="5" t="inlineStr"/>
    </row>
    <row r="101">
      <c r="A101" s="3" t="inlineStr">
        <is>
          <t>EST-159</t>
        </is>
      </c>
      <c r="B101" s="3" t="n">
        <v>1852</v>
      </c>
      <c r="C101" s="3" t="inlineStr">
        <is>
          <t>Bacteriophage-Enriched Galenic for Intrapericardial Ventricular Assist Device Infection</t>
        </is>
      </c>
      <c r="D101" s="3" t="inlineStr">
        <is>
          <t>Antibiotics</t>
        </is>
      </c>
      <c r="E101" s="3" t="inlineStr">
        <is>
          <t>2022</t>
        </is>
      </c>
      <c r="F101" s="3" t="inlineStr">
        <is>
          <t>articulo</t>
        </is>
      </c>
      <c r="G101" s="3" t="inlineStr">
        <is>
          <t>10.3390/antibiotics11050602</t>
        </is>
      </c>
      <c r="H101" s="4" t="inlineStr">
        <is>
          <t>abrir</t>
        </is>
      </c>
      <c r="I101" s="5" t="inlineStr"/>
      <c r="J101" s="5" t="inlineStr">
        <is>
          <t>A</t>
        </is>
      </c>
      <c r="K101" s="5" t="inlineStr"/>
      <c r="L101" s="5" t="inlineStr"/>
      <c r="M101" s="5" t="inlineStr"/>
      <c r="N101" s="5" t="inlineStr"/>
      <c r="O101" s="5" t="inlineStr"/>
      <c r="P101" s="5" t="inlineStr"/>
      <c r="Q101" s="5" t="inlineStr"/>
      <c r="R101" s="5" t="inlineStr"/>
      <c r="S101" s="5" t="inlineStr"/>
      <c r="T101" s="5" t="inlineStr"/>
      <c r="U101" s="5" t="inlineStr"/>
      <c r="V101" s="5" t="inlineStr"/>
      <c r="W101" s="5" t="inlineStr"/>
      <c r="X101" s="5" t="inlineStr"/>
      <c r="Y101" s="5" t="inlineStr"/>
      <c r="Z101" s="5" t="inlineStr"/>
      <c r="AA101" s="5" t="inlineStr"/>
      <c r="AB101" s="5">
        <f>IFERROR(IF(VLOOKUP(D101,Revistas!$A$21:$C$400,3,FALSE)=0,"",VLOOKUP(D101,Revistas!$A$21:$C$400,3,FALSE)),"")</f>
        <v/>
      </c>
      <c r="AC101" s="5" t="inlineStr"/>
      <c r="AD101" s="5" t="inlineStr"/>
      <c r="AE101" s="5" t="inlineStr"/>
    </row>
    <row r="102">
      <c r="A102" s="3" t="inlineStr">
        <is>
          <t>EST-199</t>
        </is>
      </c>
      <c r="B102" s="3" t="n">
        <v>5729</v>
      </c>
      <c r="C102" s="3" t="inlineStr">
        <is>
          <t>Successful use of a phage endolysin for treatment of chronic pelvic pain syndrome/chronic bacterial prostatitis</t>
        </is>
      </c>
      <c r="D102" s="3" t="inlineStr">
        <is>
          <t>Frontiers in Medicine</t>
        </is>
      </c>
      <c r="E102" s="3" t="inlineStr">
        <is>
          <t>2023</t>
        </is>
      </c>
      <c r="F102" s="3" t="inlineStr">
        <is>
          <t>articulo</t>
        </is>
      </c>
      <c r="G102" s="3" t="inlineStr">
        <is>
          <t>10.3389/fmed.2023.1238147</t>
        </is>
      </c>
      <c r="H102" s="4" t="inlineStr">
        <is>
          <t>abrir</t>
        </is>
      </c>
      <c r="I102" s="5" t="inlineStr"/>
      <c r="J102" s="5" t="inlineStr">
        <is>
          <t>A</t>
        </is>
      </c>
      <c r="K102" s="5" t="inlineStr"/>
      <c r="L102" s="5" t="inlineStr"/>
      <c r="M102" s="5" t="inlineStr"/>
      <c r="N102" s="5" t="inlineStr"/>
      <c r="O102" s="5" t="inlineStr"/>
      <c r="P102" s="5" t="inlineStr"/>
      <c r="Q102" s="5" t="inlineStr"/>
      <c r="R102" s="5" t="inlineStr"/>
      <c r="S102" s="5" t="inlineStr"/>
      <c r="T102" s="5" t="inlineStr"/>
      <c r="U102" s="5" t="inlineStr"/>
      <c r="V102" s="5" t="inlineStr"/>
      <c r="W102" s="5" t="inlineStr"/>
      <c r="X102" s="5" t="inlineStr"/>
      <c r="Y102" s="5" t="inlineStr"/>
      <c r="Z102" s="5" t="inlineStr"/>
      <c r="AA102" s="5" t="inlineStr"/>
      <c r="AB102" s="5">
        <f>IFERROR(IF(VLOOKUP(D102,Revistas!$A$21:$C$400,3,FALSE)=0,"",VLOOKUP(D102,Revistas!$A$21:$C$400,3,FALSE)),"")</f>
        <v/>
      </c>
      <c r="AC102" s="5" t="inlineStr"/>
      <c r="AD102" s="5" t="inlineStr"/>
      <c r="AE102" s="5" t="inlineStr"/>
    </row>
    <row r="103">
      <c r="A103" s="3" t="inlineStr">
        <is>
          <t>EST-212</t>
        </is>
      </c>
      <c r="B103" s="3" t="n">
        <v>9024</v>
      </c>
      <c r="C103" s="3" t="inlineStr">
        <is>
          <t>Local Treatment of Driveline Infection with Bacteriophages</t>
        </is>
      </c>
      <c r="D103" s="3" t="inlineStr">
        <is>
          <t>Antibiotics</t>
        </is>
      </c>
      <c r="E103" s="3" t="inlineStr">
        <is>
          <t>2022</t>
        </is>
      </c>
      <c r="F103" s="3" t="inlineStr">
        <is>
          <t>articulo</t>
        </is>
      </c>
      <c r="G103" s="3" t="inlineStr">
        <is>
          <t>10.3390/antibiotics11101310</t>
        </is>
      </c>
      <c r="H103" s="4" t="inlineStr">
        <is>
          <t>abrir</t>
        </is>
      </c>
      <c r="I103" s="5" t="inlineStr"/>
      <c r="J103" s="5" t="inlineStr">
        <is>
          <t>A</t>
        </is>
      </c>
      <c r="K103" s="5" t="inlineStr"/>
      <c r="L103" s="5" t="inlineStr"/>
      <c r="M103" s="5" t="inlineStr"/>
      <c r="N103" s="5" t="inlineStr"/>
      <c r="O103" s="5" t="inlineStr"/>
      <c r="P103" s="5" t="inlineStr"/>
      <c r="Q103" s="5" t="inlineStr"/>
      <c r="R103" s="5" t="inlineStr"/>
      <c r="S103" s="5" t="inlineStr"/>
      <c r="T103" s="5" t="inlineStr"/>
      <c r="U103" s="5" t="inlineStr"/>
      <c r="V103" s="5" t="inlineStr"/>
      <c r="W103" s="5" t="inlineStr"/>
      <c r="X103" s="5" t="inlineStr"/>
      <c r="Y103" s="5" t="inlineStr"/>
      <c r="Z103" s="5" t="inlineStr"/>
      <c r="AA103" s="5" t="inlineStr"/>
      <c r="AB103" s="5">
        <f>IFERROR(IF(VLOOKUP(D103,Revistas!$A$21:$C$400,3,FALSE)=0,"",VLOOKUP(D103,Revistas!$A$21:$C$400,3,FALSE)),"")</f>
        <v/>
      </c>
      <c r="AC103" s="5" t="inlineStr"/>
      <c r="AD103" s="5" t="inlineStr"/>
      <c r="AE103" s="5" t="inlineStr"/>
    </row>
    <row r="104">
      <c r="A104" s="3" t="inlineStr">
        <is>
          <t>EST-005</t>
        </is>
      </c>
      <c r="B104" s="3" t="n">
        <v>5</v>
      </c>
      <c r="C104" s="3" t="inlineStr">
        <is>
          <t>Successful adjunctive use of bacteriophage therapy for treatment of multidrug-resistant Pseudomonas aeruginosa infection in a cystic fibrosis patient.</t>
        </is>
      </c>
      <c r="D104" s="3" t="inlineStr">
        <is>
          <t>Infection</t>
        </is>
      </c>
      <c r="E104" s="3" t="inlineStr">
        <is>
          <t>2019</t>
        </is>
      </c>
      <c r="F104" s="3" t="inlineStr">
        <is>
          <t>articulo</t>
        </is>
      </c>
      <c r="G104" s="3" t="inlineStr">
        <is>
          <t>10.1007/s15010-019-01319-0</t>
        </is>
      </c>
      <c r="H104" s="4" t="inlineStr">
        <is>
          <t>abrir</t>
        </is>
      </c>
      <c r="I104" s="5" t="inlineStr">
        <is>
          <t>Law2019</t>
        </is>
      </c>
      <c r="J104" s="5" t="inlineStr">
        <is>
          <t>A</t>
        </is>
      </c>
      <c r="K104" s="5" t="inlineStr">
        <is>
          <t>solo Pseudomonas</t>
        </is>
      </c>
      <c r="L104" s="5" t="inlineStr">
        <is>
          <t>MDR</t>
        </is>
      </c>
      <c r="M104" s="5" t="inlineStr">
        <is>
          <t>declarado por el autor</t>
        </is>
      </c>
      <c r="N104" s="5" t="inlineStr">
        <is>
          <t>no</t>
        </is>
      </c>
      <c r="O104" s="5" t="inlineStr">
        <is>
          <t>inhalada/nebulizada</t>
        </is>
      </c>
      <c r="P104" s="5" t="inlineStr">
        <is>
          <t>fago + antibiotico</t>
        </is>
      </c>
      <c r="Q104" s="5" t="inlineStr">
        <is>
          <t>caso clinico</t>
        </is>
      </c>
      <c r="R104" s="5" t="inlineStr">
        <is>
          <t>COMPLETA</t>
        </is>
      </c>
      <c r="S104" s="5" t="n">
        <v>1</v>
      </c>
      <c r="T104" s="5" t="n">
        <v>1</v>
      </c>
      <c r="U104" s="5" t="n">
        <v>0</v>
      </c>
      <c r="V104" s="5" t="n">
        <v>1</v>
      </c>
      <c r="W104" s="5" t="n">
        <v>0</v>
      </c>
      <c r="X104" s="5" t="inlineStr">
        <is>
          <t>Na</t>
        </is>
      </c>
      <c r="Y104" s="5" t="inlineStr">
        <is>
          <t>Na</t>
        </is>
      </c>
      <c r="Z104" s="5" t="n">
        <v>2019</v>
      </c>
      <c r="AA104" s="5" t="inlineStr">
        <is>
          <t>Dada la preocupación por las infecciones por MDR P. aeruginosa en pacientes con FQ, BT puede ofrecer un complemento antiinfeccioso viable a la terapia antibiótica tradicional.</t>
        </is>
      </c>
      <c r="AB104" s="5">
        <f>IFERROR(IF(VLOOKUP(D104,Revistas!$A$21:$C$400,3,FALSE)=0,"",VLOOKUP(D104,Revistas!$A$21:$C$400,3,FALSE)),"")</f>
        <v/>
      </c>
      <c r="AC104" s="5" t="inlineStr">
        <is>
          <t>Estados unidos</t>
        </is>
      </c>
      <c r="AD104" s="5" t="inlineStr">
        <is>
          <t>Hospital Course</t>
        </is>
      </c>
      <c r="AE104" s="5" t="inlineStr">
        <is>
          <t>Sin acceso completo</t>
        </is>
      </c>
    </row>
    <row r="105">
      <c r="A105" s="3" t="inlineStr">
        <is>
          <t>EST-007</t>
        </is>
      </c>
      <c r="B105" s="3" t="n">
        <v>7</v>
      </c>
      <c r="C105" s="3" t="inlineStr">
        <is>
          <t>Adjuvant multisite bacteriophage cocktail administration as salvage treatment in a patient with a multidrug-resistant Pseudomonas aeruginosa frontal relapsing complex osteitis.</t>
        </is>
      </c>
      <c r="D105" s="3" t="inlineStr">
        <is>
          <t>International journal of infectious diseases : IJID : official publication of the International Society for Infectious Diseases</t>
        </is>
      </c>
      <c r="E105" s="3" t="inlineStr">
        <is>
          <t>2026</t>
        </is>
      </c>
      <c r="F105" s="3" t="inlineStr">
        <is>
          <t>articulo</t>
        </is>
      </c>
      <c r="G105" s="3" t="inlineStr">
        <is>
          <t>10.1016/j.ijid.2026.108756</t>
        </is>
      </c>
      <c r="H105" s="4" t="inlineStr">
        <is>
          <t>abrir</t>
        </is>
      </c>
      <c r="I105" s="5" t="inlineStr">
        <is>
          <t>Aurore2026</t>
        </is>
      </c>
      <c r="J105" s="5" t="inlineStr">
        <is>
          <t>A</t>
        </is>
      </c>
      <c r="K105" s="5" t="inlineStr">
        <is>
          <t>solo Pseudomonas</t>
        </is>
      </c>
      <c r="L105" s="5" t="inlineStr">
        <is>
          <t>MDR</t>
        </is>
      </c>
      <c r="M105" s="5" t="inlineStr">
        <is>
          <t>declarado por el autor</t>
        </is>
      </c>
      <c r="N105" s="5" t="inlineStr">
        <is>
          <t>no</t>
        </is>
      </c>
      <c r="O105" s="5" t="inlineStr">
        <is>
          <t>IV</t>
        </is>
      </c>
      <c r="P105" s="5" t="inlineStr">
        <is>
          <t>fago + antibiotico</t>
        </is>
      </c>
      <c r="Q105" s="5" t="inlineStr">
        <is>
          <t>caso clinico</t>
        </is>
      </c>
      <c r="R105" s="5" t="inlineStr">
        <is>
          <t>COMPLETA</t>
        </is>
      </c>
      <c r="S105" s="5" t="n">
        <v>1</v>
      </c>
      <c r="T105" s="5" t="n">
        <v>1</v>
      </c>
      <c r="U105" s="5" t="n">
        <v>0</v>
      </c>
      <c r="V105" s="5" t="n">
        <v>1</v>
      </c>
      <c r="W105" s="5" t="n">
        <v>0</v>
      </c>
      <c r="X105" s="5" t="inlineStr">
        <is>
          <t>Na</t>
        </is>
      </c>
      <c r="Y105" s="5" t="inlineStr">
        <is>
          <t>Na</t>
        </is>
      </c>
      <c r="Z105" s="5" t="n">
        <v>2026</v>
      </c>
      <c r="AA105" s="5" t="inlineStr">
        <is>
          <t>La experiencia con la terapia con fagos está creciendo, y la mayoría de los casos no han reportado efectos secundarios adversos graves, como en el caso presentado aquí [14]. La personalización de la terapia con fagos, que combina múltiples vías de administración, es necesaria para lograr una exposición suficiente de fagos en el sitio de la infección para obtener un efecto clínico. Para ese propósito, la estructuración a nivel nacional con reuniones multidisciplinarias dedicadas es útil y facilitará el desempeño de los ensayos clínicos de terapia con fagos.</t>
        </is>
      </c>
      <c r="AB105" s="5">
        <f>IFERROR(IF(VLOOKUP(D105,Revistas!$A$21:$C$400,3,FALSE)=0,"",VLOOKUP(D105,Revistas!$A$21:$C$400,3,FALSE)),"")</f>
        <v/>
      </c>
      <c r="AC105" s="5" t="inlineStr">
        <is>
          <t xml:space="preserve">Francia </t>
        </is>
      </c>
      <c r="AD105" s="5" t="inlineStr">
        <is>
          <t>Presentación del caso</t>
        </is>
      </c>
      <c r="AE105" s="5" t="inlineStr">
        <is>
          <t>Sin acceso completo</t>
        </is>
      </c>
    </row>
    <row r="106">
      <c r="A106" s="3" t="inlineStr">
        <is>
          <t>EST-013</t>
        </is>
      </c>
      <c r="B106" s="3" t="n">
        <v>22</v>
      </c>
      <c r="C106" s="3" t="inlineStr">
        <is>
          <t>Personalized bacteriophage therapy for chronic biliary tract Pseudomonas aeruginosa infections</t>
        </is>
      </c>
      <c r="D106" s="3" t="inlineStr">
        <is>
          <t>hLife</t>
        </is>
      </c>
      <c r="E106" s="3" t="inlineStr">
        <is>
          <t>2025</t>
        </is>
      </c>
      <c r="F106" s="3" t="inlineStr">
        <is>
          <t>articulo</t>
        </is>
      </c>
      <c r="G106" s="3" t="inlineStr">
        <is>
          <t>10.1016/j.hlife.2025.03.004</t>
        </is>
      </c>
      <c r="H106" s="4" t="inlineStr">
        <is>
          <t>abrir</t>
        </is>
      </c>
      <c r="I106" s="5" t="inlineStr">
        <is>
          <t>Li2026</t>
        </is>
      </c>
      <c r="J106" s="5" t="inlineStr">
        <is>
          <t>A</t>
        </is>
      </c>
      <c r="K106" s="5" t="inlineStr">
        <is>
          <t>solo Pseudomonas</t>
        </is>
      </c>
      <c r="L106" s="5" t="inlineStr">
        <is>
          <t>MDR</t>
        </is>
      </c>
      <c r="M106" s="5" t="inlineStr">
        <is>
          <t>declarado por el autor</t>
        </is>
      </c>
      <c r="N106" s="5" t="inlineStr">
        <is>
          <t>no</t>
        </is>
      </c>
      <c r="O106" s="5" t="inlineStr">
        <is>
          <t>intravesical</t>
        </is>
      </c>
      <c r="P106" s="5" t="inlineStr">
        <is>
          <t>fago en monoterapia</t>
        </is>
      </c>
      <c r="Q106" s="5" t="inlineStr">
        <is>
          <t>caso clinico</t>
        </is>
      </c>
      <c r="R106" s="5" t="inlineStr">
        <is>
          <t>COMPLETA</t>
        </is>
      </c>
      <c r="S106" s="5" t="n">
        <v>1</v>
      </c>
      <c r="T106" s="5" t="n">
        <v>0</v>
      </c>
      <c r="U106" s="5" t="n">
        <v>0</v>
      </c>
      <c r="V106" s="5" t="n">
        <v>0</v>
      </c>
      <c r="W106" s="5" t="n">
        <v>0</v>
      </c>
      <c r="X106" s="5" t="inlineStr">
        <is>
          <t>Na</t>
        </is>
      </c>
      <c r="Y106" s="5" t="n">
        <v>1</v>
      </c>
      <c r="Z106" s="5" t="n">
        <v>2025</v>
      </c>
      <c r="AA106" s="5" t="inlineStr">
        <is>
          <t>Después de que el paciente se sometiera al curso inicial de la terapia con cóctel de fagos dsDNA, se observó la aparición de mutantes de P.aeruginosa totalmente resistentes a los fagos. Estos mutantes se caracterizaron por varias mutaciones que resultan en mutaciones de antígeno O, que pueden contribuir a infecciones persistentes y complicar el manejo. Por ejemplo, se encontró una eliminación de fragmento genómico de 24.836 pb en W221205R, incluyendo galU y hmgA. Esta deleción conduce a la pérdida de antígeno O y a la acumulación de ácido homogentisico, respectivamente [20]. Además, una mutación en el gen biosintético dnpA de la región central de LPS en W221205 podría causar resistencia a los fagos durante la primera terapia con fagos. Esto indica que la terapia con fagos fue muy efectiva ya que se eliminó la cepa dominante original, se seleccionaron clones resistentes a los fagos y los síntomas del paciente se aliviaron significativamente</t>
        </is>
      </c>
      <c r="AB106" s="5">
        <f>IFERROR(IF(VLOOKUP(D106,Revistas!$A$21:$C$400,3,FALSE)=0,"",VLOOKUP(D106,Revistas!$A$21:$C$400,3,FALSE)),"")</f>
        <v/>
      </c>
      <c r="AC106" s="5" t="inlineStr">
        <is>
          <t>China</t>
        </is>
      </c>
      <c r="AD106" s="5" t="inlineStr">
        <is>
          <t>Resultados</t>
        </is>
      </c>
      <c r="AE106" s="5" t="inlineStr">
        <is>
          <t>Na</t>
        </is>
      </c>
    </row>
    <row r="107">
      <c r="A107" s="3" t="inlineStr">
        <is>
          <t>EST-015</t>
        </is>
      </c>
      <c r="B107" s="3" t="n">
        <v>24</v>
      </c>
      <c r="C107" s="3" t="inlineStr">
        <is>
          <t>Combination of phage therapy and cefiderocol to successfully treat Pseudomonas aeruginosa cranial osteomyelitis.</t>
        </is>
      </c>
      <c r="D107" s="3" t="inlineStr">
        <is>
          <t>JAC-antimicrobial resistance</t>
        </is>
      </c>
      <c r="E107" s="3" t="inlineStr">
        <is>
          <t>2022</t>
        </is>
      </c>
      <c r="F107" s="3" t="inlineStr">
        <is>
          <t>articulo</t>
        </is>
      </c>
      <c r="G107" s="3" t="inlineStr">
        <is>
          <t>10.1093/jacamr/dlac046</t>
        </is>
      </c>
      <c r="H107" s="4" t="inlineStr">
        <is>
          <t>abrir</t>
        </is>
      </c>
      <c r="I107" s="5" t="inlineStr"/>
      <c r="J107" s="5" t="inlineStr">
        <is>
          <t>A</t>
        </is>
      </c>
      <c r="K107" s="5" t="inlineStr"/>
      <c r="L107" s="5" t="inlineStr"/>
      <c r="M107" s="5" t="inlineStr"/>
      <c r="N107" s="5" t="inlineStr"/>
      <c r="O107" s="5" t="inlineStr"/>
      <c r="P107" s="5" t="inlineStr"/>
      <c r="Q107" s="5" t="inlineStr"/>
      <c r="R107" s="5" t="inlineStr"/>
      <c r="S107" s="5" t="inlineStr"/>
      <c r="T107" s="5" t="inlineStr"/>
      <c r="U107" s="5" t="inlineStr"/>
      <c r="V107" s="5" t="inlineStr"/>
      <c r="W107" s="5" t="inlineStr"/>
      <c r="X107" s="5" t="inlineStr"/>
      <c r="Y107" s="5" t="inlineStr"/>
      <c r="Z107" s="5" t="inlineStr"/>
      <c r="AA107" s="5" t="inlineStr"/>
      <c r="AB107" s="5">
        <f>IFERROR(IF(VLOOKUP(D107,Revistas!$A$21:$C$400,3,FALSE)=0,"",VLOOKUP(D107,Revistas!$A$21:$C$400,3,FALSE)),"")</f>
        <v/>
      </c>
      <c r="AC107" s="5" t="inlineStr"/>
      <c r="AD107" s="5" t="inlineStr"/>
      <c r="AE107" s="5" t="inlineStr"/>
    </row>
    <row r="108">
      <c r="A108" s="3" t="inlineStr">
        <is>
          <t>EST-018</t>
        </is>
      </c>
      <c r="B108" s="3" t="n">
        <v>30</v>
      </c>
      <c r="C108" s="3" t="inlineStr">
        <is>
          <t>Bacteriophage therapy in clinical practice: case studies of Pseudomonas aeruginosa infections.</t>
        </is>
      </c>
      <c r="D108" s="3" t="inlineStr">
        <is>
          <t>Journal of chemotherapy (Florence, Italy)</t>
        </is>
      </c>
      <c r="E108" s="3" t="inlineStr">
        <is>
          <t>2026</t>
        </is>
      </c>
      <c r="F108" s="3" t="inlineStr">
        <is>
          <t>articulo</t>
        </is>
      </c>
      <c r="G108" s="3" t="inlineStr">
        <is>
          <t>10.1080/1120009x.2025.2547147</t>
        </is>
      </c>
      <c r="H108" s="4" t="inlineStr">
        <is>
          <t>abrir</t>
        </is>
      </c>
      <c r="I108" s="5" t="inlineStr"/>
      <c r="J108" s="5" t="inlineStr">
        <is>
          <t>A</t>
        </is>
      </c>
      <c r="K108" s="5" t="inlineStr"/>
      <c r="L108" s="5" t="inlineStr"/>
      <c r="M108" s="5" t="inlineStr"/>
      <c r="N108" s="5" t="inlineStr"/>
      <c r="O108" s="5" t="inlineStr"/>
      <c r="P108" s="5" t="inlineStr"/>
      <c r="Q108" s="5" t="inlineStr"/>
      <c r="R108" s="5" t="inlineStr"/>
      <c r="S108" s="5" t="inlineStr"/>
      <c r="T108" s="5" t="inlineStr"/>
      <c r="U108" s="5" t="inlineStr"/>
      <c r="V108" s="5" t="inlineStr"/>
      <c r="W108" s="5" t="inlineStr"/>
      <c r="X108" s="5" t="inlineStr"/>
      <c r="Y108" s="5" t="inlineStr"/>
      <c r="Z108" s="5" t="inlineStr"/>
      <c r="AA108" s="5" t="inlineStr"/>
      <c r="AB108" s="5">
        <f>IFERROR(IF(VLOOKUP(D108,Revistas!$A$21:$C$400,3,FALSE)=0,"",VLOOKUP(D108,Revistas!$A$21:$C$400,3,FALSE)),"")</f>
        <v/>
      </c>
      <c r="AC108" s="5" t="inlineStr"/>
      <c r="AD108" s="5" t="inlineStr"/>
      <c r="AE108" s="5" t="inlineStr"/>
    </row>
    <row r="109">
      <c r="A109" s="3" t="inlineStr">
        <is>
          <t>EST-032</t>
        </is>
      </c>
      <c r="B109" s="3" t="n">
        <v>72</v>
      </c>
      <c r="C109" s="3" t="inlineStr">
        <is>
          <t>Refractory Pseudomonas Bacteremia in a 2-Year-Old Sterilized by Bacteriophage Therapy.</t>
        </is>
      </c>
      <c r="D109" s="3" t="inlineStr">
        <is>
          <t>Journal of the Pediatric Infectious Diseases Society</t>
        </is>
      </c>
      <c r="E109" s="3" t="inlineStr">
        <is>
          <t>2018</t>
        </is>
      </c>
      <c r="F109" s="3" t="inlineStr">
        <is>
          <t>articulo</t>
        </is>
      </c>
      <c r="G109" s="3" t="inlineStr">
        <is>
          <t>10.1093/jpids/pix056</t>
        </is>
      </c>
      <c r="H109" s="4" t="inlineStr">
        <is>
          <t>abrir</t>
        </is>
      </c>
      <c r="I109" s="5" t="inlineStr"/>
      <c r="J109" s="5" t="inlineStr">
        <is>
          <t>A</t>
        </is>
      </c>
      <c r="K109" s="5" t="inlineStr"/>
      <c r="L109" s="5" t="inlineStr"/>
      <c r="M109" s="5" t="inlineStr"/>
      <c r="N109" s="5" t="inlineStr"/>
      <c r="O109" s="5" t="inlineStr"/>
      <c r="P109" s="5" t="inlineStr"/>
      <c r="Q109" s="5" t="inlineStr"/>
      <c r="R109" s="5" t="inlineStr"/>
      <c r="S109" s="5" t="inlineStr"/>
      <c r="T109" s="5" t="inlineStr"/>
      <c r="U109" s="5" t="inlineStr"/>
      <c r="V109" s="5" t="inlineStr"/>
      <c r="W109" s="5" t="inlineStr"/>
      <c r="X109" s="5" t="inlineStr"/>
      <c r="Y109" s="5" t="inlineStr"/>
      <c r="Z109" s="5" t="inlineStr"/>
      <c r="AA109" s="5" t="inlineStr"/>
      <c r="AB109" s="5">
        <f>IFERROR(IF(VLOOKUP(D109,Revistas!$A$21:$C$400,3,FALSE)=0,"",VLOOKUP(D109,Revistas!$A$21:$C$400,3,FALSE)),"")</f>
        <v/>
      </c>
      <c r="AC109" s="5" t="inlineStr"/>
      <c r="AD109" s="5" t="inlineStr"/>
      <c r="AE109" s="5" t="inlineStr"/>
    </row>
    <row r="110">
      <c r="A110" s="3" t="inlineStr">
        <is>
          <t>EST-033</t>
        </is>
      </c>
      <c r="B110" s="3" t="n">
        <v>74</v>
      </c>
      <c r="C110" s="3" t="inlineStr">
        <is>
          <t>Bacteriophage Therapy of Ventilator-associated Pneumonia and Empyema Caused by Pseudomonas aeruginosa.</t>
        </is>
      </c>
      <c r="D110" s="3" t="inlineStr">
        <is>
          <t>American journal of respiratory and critical care medicine</t>
        </is>
      </c>
      <c r="E110" s="3" t="inlineStr">
        <is>
          <t>2019</t>
        </is>
      </c>
      <c r="F110" s="3" t="inlineStr">
        <is>
          <t>articulo</t>
        </is>
      </c>
      <c r="G110" s="3" t="inlineStr">
        <is>
          <t>10.1164/rccm.201904-0839le</t>
        </is>
      </c>
      <c r="H110" s="4" t="inlineStr">
        <is>
          <t>abrir</t>
        </is>
      </c>
      <c r="I110" s="5" t="inlineStr"/>
      <c r="J110" s="5" t="inlineStr">
        <is>
          <t>A</t>
        </is>
      </c>
      <c r="K110" s="5" t="inlineStr"/>
      <c r="L110" s="5" t="inlineStr"/>
      <c r="M110" s="5" t="inlineStr"/>
      <c r="N110" s="5" t="inlineStr"/>
      <c r="O110" s="5" t="inlineStr"/>
      <c r="P110" s="5" t="inlineStr"/>
      <c r="Q110" s="5" t="inlineStr"/>
      <c r="R110" s="5" t="inlineStr"/>
      <c r="S110" s="5" t="inlineStr"/>
      <c r="T110" s="5" t="inlineStr"/>
      <c r="U110" s="5" t="inlineStr"/>
      <c r="V110" s="5" t="inlineStr"/>
      <c r="W110" s="5" t="inlineStr"/>
      <c r="X110" s="5" t="inlineStr"/>
      <c r="Y110" s="5" t="inlineStr"/>
      <c r="Z110" s="5" t="inlineStr"/>
      <c r="AA110" s="5" t="inlineStr"/>
      <c r="AB110" s="5">
        <f>IFERROR(IF(VLOOKUP(D110,Revistas!$A$21:$C$400,3,FALSE)=0,"",VLOOKUP(D110,Revistas!$A$21:$C$400,3,FALSE)),"")</f>
        <v/>
      </c>
      <c r="AC110" s="5" t="inlineStr"/>
      <c r="AD110" s="5" t="inlineStr"/>
      <c r="AE110" s="5" t="inlineStr"/>
    </row>
    <row r="111">
      <c r="A111" s="3" t="inlineStr">
        <is>
          <t>EST-043</t>
        </is>
      </c>
      <c r="B111" s="3" t="n">
        <v>111</v>
      </c>
      <c r="C111" s="3" t="inlineStr">
        <is>
          <t>Calciphylaxis complicated by NDM-1-producing Pseudomonas aeruginosa: first experience with cefepime-zidebactam alongside phage therapy in the USA.</t>
        </is>
      </c>
      <c r="D111" s="3" t="inlineStr">
        <is>
          <t>The Lancet. Infectious diseases</t>
        </is>
      </c>
      <c r="E111" s="3" t="inlineStr">
        <is>
          <t>2026</t>
        </is>
      </c>
      <c r="F111" s="3" t="inlineStr">
        <is>
          <t>articulo</t>
        </is>
      </c>
      <c r="G111" s="3" t="inlineStr">
        <is>
          <t>10.1016/s1473-3099(26)00176-3</t>
        </is>
      </c>
      <c r="H111" s="4" t="inlineStr">
        <is>
          <t>abrir</t>
        </is>
      </c>
      <c r="I111" s="5" t="inlineStr"/>
      <c r="J111" s="5" t="inlineStr">
        <is>
          <t>A</t>
        </is>
      </c>
      <c r="K111" s="5" t="inlineStr"/>
      <c r="L111" s="5" t="inlineStr"/>
      <c r="M111" s="5" t="inlineStr"/>
      <c r="N111" s="5" t="inlineStr"/>
      <c r="O111" s="5" t="inlineStr"/>
      <c r="P111" s="5" t="inlineStr"/>
      <c r="Q111" s="5" t="inlineStr"/>
      <c r="R111" s="5" t="inlineStr"/>
      <c r="S111" s="5" t="inlineStr"/>
      <c r="T111" s="5" t="inlineStr"/>
      <c r="U111" s="5" t="inlineStr"/>
      <c r="V111" s="5" t="inlineStr"/>
      <c r="W111" s="5" t="inlineStr"/>
      <c r="X111" s="5" t="inlineStr"/>
      <c r="Y111" s="5" t="inlineStr"/>
      <c r="Z111" s="5" t="inlineStr"/>
      <c r="AA111" s="5" t="inlineStr"/>
      <c r="AB111" s="5">
        <f>IFERROR(IF(VLOOKUP(D111,Revistas!$A$21:$C$400,3,FALSE)=0,"",VLOOKUP(D111,Revistas!$A$21:$C$400,3,FALSE)),"")</f>
        <v/>
      </c>
      <c r="AC111" s="5" t="inlineStr"/>
      <c r="AD111" s="5" t="inlineStr"/>
      <c r="AE111" s="5" t="inlineStr"/>
    </row>
    <row r="112">
      <c r="A112" s="3" t="inlineStr">
        <is>
          <t>EST-044</t>
        </is>
      </c>
      <c r="B112" s="3" t="n">
        <v>116</v>
      </c>
      <c r="C112" s="3" t="inlineStr">
        <is>
          <t>Successful Bacteriophage Treatment of a Recalcitrant Intra-Abdominal Infection Caused by Multidrug-Resistant Pseudomonas aeruginosa in a 2-Year-Old Child.</t>
        </is>
      </c>
      <c r="D112" s="3" t="inlineStr">
        <is>
          <t>The Journal of pediatrics</t>
        </is>
      </c>
      <c r="E112" s="3" t="inlineStr">
        <is>
          <t>2026</t>
        </is>
      </c>
      <c r="F112" s="3" t="inlineStr">
        <is>
          <t>articulo</t>
        </is>
      </c>
      <c r="G112" s="3" t="inlineStr">
        <is>
          <t>10.1016/j.jpeds.2026.115005</t>
        </is>
      </c>
      <c r="H112" s="4" t="inlineStr">
        <is>
          <t>abrir</t>
        </is>
      </c>
      <c r="I112" s="5" t="inlineStr"/>
      <c r="J112" s="5" t="inlineStr">
        <is>
          <t>A</t>
        </is>
      </c>
      <c r="K112" s="5" t="inlineStr"/>
      <c r="L112" s="5" t="inlineStr"/>
      <c r="M112" s="5" t="inlineStr"/>
      <c r="N112" s="5" t="inlineStr"/>
      <c r="O112" s="5" t="inlineStr"/>
      <c r="P112" s="5" t="inlineStr"/>
      <c r="Q112" s="5" t="inlineStr"/>
      <c r="R112" s="5" t="inlineStr"/>
      <c r="S112" s="5" t="inlineStr"/>
      <c r="T112" s="5" t="inlineStr"/>
      <c r="U112" s="5" t="inlineStr"/>
      <c r="V112" s="5" t="inlineStr"/>
      <c r="W112" s="5" t="inlineStr"/>
      <c r="X112" s="5" t="inlineStr"/>
      <c r="Y112" s="5" t="inlineStr"/>
      <c r="Z112" s="5" t="inlineStr"/>
      <c r="AA112" s="5" t="inlineStr"/>
      <c r="AB112" s="5">
        <f>IFERROR(IF(VLOOKUP(D112,Revistas!$A$21:$C$400,3,FALSE)=0,"",VLOOKUP(D112,Revistas!$A$21:$C$400,3,FALSE)),"")</f>
        <v/>
      </c>
      <c r="AC112" s="5" t="inlineStr"/>
      <c r="AD112" s="5" t="inlineStr"/>
      <c r="AE112" s="5" t="inlineStr"/>
    </row>
    <row r="113">
      <c r="A113" s="3" t="inlineStr">
        <is>
          <t>EST-045</t>
        </is>
      </c>
      <c r="B113" s="3" t="n">
        <v>120</v>
      </c>
      <c r="C113" s="3" t="inlineStr">
        <is>
          <t>Concept of individualized medicine based on personalized phage therapy for intensive care unit patients suffering from healthcare-associated infections</t>
        </is>
      </c>
      <c r="D113" s="3" t="inlineStr">
        <is>
          <t>Infektsionnye Bolezni</t>
        </is>
      </c>
      <c r="E113" s="3" t="inlineStr">
        <is>
          <t>2017</t>
        </is>
      </c>
      <c r="F113" s="3" t="inlineStr">
        <is>
          <t>articulo</t>
        </is>
      </c>
      <c r="G113" s="3" t="inlineStr">
        <is>
          <t>10.20953/1729-9225-2017-4-49-54</t>
        </is>
      </c>
      <c r="H113" s="4" t="inlineStr">
        <is>
          <t>abrir</t>
        </is>
      </c>
      <c r="I113" s="5" t="inlineStr"/>
      <c r="J113" s="5" t="inlineStr">
        <is>
          <t>A</t>
        </is>
      </c>
      <c r="K113" s="5" t="inlineStr"/>
      <c r="L113" s="5" t="inlineStr"/>
      <c r="M113" s="5" t="inlineStr"/>
      <c r="N113" s="5" t="inlineStr"/>
      <c r="O113" s="5" t="inlineStr"/>
      <c r="P113" s="5" t="inlineStr"/>
      <c r="Q113" s="5" t="inlineStr"/>
      <c r="R113" s="5" t="inlineStr"/>
      <c r="S113" s="5" t="inlineStr"/>
      <c r="T113" s="5" t="inlineStr"/>
      <c r="U113" s="5" t="inlineStr"/>
      <c r="V113" s="5" t="inlineStr"/>
      <c r="W113" s="5" t="inlineStr"/>
      <c r="X113" s="5" t="inlineStr"/>
      <c r="Y113" s="5" t="inlineStr"/>
      <c r="Z113" s="5" t="inlineStr"/>
      <c r="AA113" s="5" t="inlineStr"/>
      <c r="AB113" s="5">
        <f>IFERROR(IF(VLOOKUP(D113,Revistas!$A$21:$C$400,3,FALSE)=0,"",VLOOKUP(D113,Revistas!$A$21:$C$400,3,FALSE)),"")</f>
        <v/>
      </c>
      <c r="AC113" s="5" t="inlineStr"/>
      <c r="AD113" s="5" t="inlineStr"/>
      <c r="AE113" s="5" t="inlineStr"/>
    </row>
    <row r="114">
      <c r="A114" s="3" t="inlineStr">
        <is>
          <t>EST-049</t>
        </is>
      </c>
      <c r="B114" s="3" t="n">
        <v>128</v>
      </c>
      <c r="C114" s="3" t="inlineStr">
        <is>
          <t>Development of Host Immune Response to Bacteriophage in a Lung Transplant Recipient on Adjunctive Phage Therapy for a Multidrug-Resistant Pneumonia.</t>
        </is>
      </c>
      <c r="D114" s="3" t="inlineStr">
        <is>
          <t>The Journal of infectious diseases</t>
        </is>
      </c>
      <c r="E114" s="3" t="inlineStr">
        <is>
          <t>2023</t>
        </is>
      </c>
      <c r="F114" s="3" t="inlineStr">
        <is>
          <t>articulo</t>
        </is>
      </c>
      <c r="G114" s="3" t="inlineStr">
        <is>
          <t>10.1093/infdis/jiac368</t>
        </is>
      </c>
      <c r="H114" s="4" t="inlineStr">
        <is>
          <t>abrir</t>
        </is>
      </c>
      <c r="I114" s="5" t="inlineStr"/>
      <c r="J114" s="5" t="inlineStr">
        <is>
          <t>A</t>
        </is>
      </c>
      <c r="K114" s="5" t="inlineStr"/>
      <c r="L114" s="5" t="inlineStr"/>
      <c r="M114" s="5" t="inlineStr"/>
      <c r="N114" s="5" t="inlineStr"/>
      <c r="O114" s="5" t="inlineStr"/>
      <c r="P114" s="5" t="inlineStr"/>
      <c r="Q114" s="5" t="inlineStr"/>
      <c r="R114" s="5" t="inlineStr"/>
      <c r="S114" s="5" t="inlineStr"/>
      <c r="T114" s="5" t="inlineStr"/>
      <c r="U114" s="5" t="inlineStr"/>
      <c r="V114" s="5" t="inlineStr"/>
      <c r="W114" s="5" t="inlineStr"/>
      <c r="X114" s="5" t="inlineStr"/>
      <c r="Y114" s="5" t="inlineStr"/>
      <c r="Z114" s="5" t="inlineStr"/>
      <c r="AA114" s="5" t="inlineStr"/>
      <c r="AB114" s="5">
        <f>IFERROR(IF(VLOOKUP(D114,Revistas!$A$21:$C$400,3,FALSE)=0,"",VLOOKUP(D114,Revistas!$A$21:$C$400,3,FALSE)),"")</f>
        <v/>
      </c>
      <c r="AC114" s="5" t="inlineStr"/>
      <c r="AD114" s="5" t="inlineStr"/>
      <c r="AE114" s="5" t="inlineStr"/>
    </row>
    <row r="115">
      <c r="A115" s="3" t="inlineStr">
        <is>
          <t>EST-054</t>
        </is>
      </c>
      <c r="B115" s="3" t="n">
        <v>137</v>
      </c>
      <c r="C115" s="3" t="inlineStr">
        <is>
          <t>Bacteriophage Therapy for Chronic Mastoiditis.</t>
        </is>
      </c>
      <c r="D115" s="3" t="inlineStr">
        <is>
          <t>Otology &amp; neurotology : official publication of the American Otological Society, American Neurotology Society [and] European Academy of Otology and Neurotology</t>
        </is>
      </c>
      <c r="E115" s="3" t="inlineStr">
        <is>
          <t>2025</t>
        </is>
      </c>
      <c r="F115" s="3" t="inlineStr">
        <is>
          <t>articulo</t>
        </is>
      </c>
      <c r="G115" s="3" t="inlineStr">
        <is>
          <t>10.1097/mao.0000000000004417</t>
        </is>
      </c>
      <c r="H115" s="4" t="inlineStr">
        <is>
          <t>abrir</t>
        </is>
      </c>
      <c r="I115" s="5" t="inlineStr"/>
      <c r="J115" s="5" t="inlineStr">
        <is>
          <t>A</t>
        </is>
      </c>
      <c r="K115" s="5" t="inlineStr"/>
      <c r="L115" s="5" t="inlineStr"/>
      <c r="M115" s="5" t="inlineStr"/>
      <c r="N115" s="5" t="inlineStr"/>
      <c r="O115" s="5" t="inlineStr"/>
      <c r="P115" s="5" t="inlineStr"/>
      <c r="Q115" s="5" t="inlineStr"/>
      <c r="R115" s="5" t="inlineStr"/>
      <c r="S115" s="5" t="inlineStr"/>
      <c r="T115" s="5" t="inlineStr"/>
      <c r="U115" s="5" t="inlineStr"/>
      <c r="V115" s="5" t="inlineStr"/>
      <c r="W115" s="5" t="inlineStr"/>
      <c r="X115" s="5" t="inlineStr"/>
      <c r="Y115" s="5" t="inlineStr"/>
      <c r="Z115" s="5" t="inlineStr"/>
      <c r="AA115" s="5" t="inlineStr"/>
      <c r="AB115" s="5">
        <f>IFERROR(IF(VLOOKUP(D115,Revistas!$A$21:$C$400,3,FALSE)=0,"",VLOOKUP(D115,Revistas!$A$21:$C$400,3,FALSE)),"")</f>
        <v/>
      </c>
      <c r="AC115" s="5" t="inlineStr"/>
      <c r="AD115" s="5" t="inlineStr"/>
      <c r="AE115" s="5" t="inlineStr"/>
    </row>
    <row r="116">
      <c r="A116" s="3" t="inlineStr">
        <is>
          <t>EST-060</t>
        </is>
      </c>
      <c r="B116" s="3" t="n">
        <v>154</v>
      </c>
      <c r="C116" s="3" t="inlineStr">
        <is>
          <t>Clinical Indications and Compassionate Use of Phage Therapy: Personal Experience and Literature Review with a Focus on Osteoarticular Infections.</t>
        </is>
      </c>
      <c r="D116" s="3" t="inlineStr">
        <is>
          <t>Viruses</t>
        </is>
      </c>
      <c r="E116" s="3" t="inlineStr">
        <is>
          <t>2018</t>
        </is>
      </c>
      <c r="F116" s="3" t="inlineStr">
        <is>
          <t>articulo</t>
        </is>
      </c>
      <c r="G116" s="3" t="inlineStr">
        <is>
          <t>10.3390/v11010018</t>
        </is>
      </c>
      <c r="H116" s="4" t="inlineStr">
        <is>
          <t>abrir</t>
        </is>
      </c>
      <c r="I116" s="5" t="inlineStr"/>
      <c r="J116" s="5" t="inlineStr">
        <is>
          <t>A</t>
        </is>
      </c>
      <c r="K116" s="5" t="inlineStr"/>
      <c r="L116" s="5" t="inlineStr"/>
      <c r="M116" s="5" t="inlineStr"/>
      <c r="N116" s="5" t="inlineStr"/>
      <c r="O116" s="5" t="inlineStr"/>
      <c r="P116" s="5" t="inlineStr"/>
      <c r="Q116" s="5" t="inlineStr"/>
      <c r="R116" s="5" t="inlineStr"/>
      <c r="S116" s="5" t="inlineStr"/>
      <c r="T116" s="5" t="inlineStr"/>
      <c r="U116" s="5" t="inlineStr"/>
      <c r="V116" s="5" t="inlineStr"/>
      <c r="W116" s="5" t="inlineStr"/>
      <c r="X116" s="5" t="inlineStr"/>
      <c r="Y116" s="5" t="inlineStr"/>
      <c r="Z116" s="5" t="inlineStr"/>
      <c r="AA116" s="5" t="inlineStr"/>
      <c r="AB116" s="5">
        <f>IFERROR(IF(VLOOKUP(D116,Revistas!$A$21:$C$400,3,FALSE)=0,"",VLOOKUP(D116,Revistas!$A$21:$C$400,3,FALSE)),"")</f>
        <v/>
      </c>
      <c r="AC116" s="5" t="inlineStr"/>
      <c r="AD116" s="5" t="inlineStr"/>
      <c r="AE116" s="5" t="inlineStr"/>
    </row>
    <row r="117">
      <c r="A117" s="3" t="inlineStr">
        <is>
          <t>EST-064</t>
        </is>
      </c>
      <c r="B117" s="3" t="n">
        <v>185</v>
      </c>
      <c r="C117" s="3" t="inlineStr">
        <is>
          <t>Adjunctive bacteriophage therapy for refractory/resistant Pseudomonas aeruginosa infections: Bottlenecks and proposed solutions.</t>
        </is>
      </c>
      <c r="D117" s="3" t="inlineStr">
        <is>
          <t>International journal of antimicrobial agents</t>
        </is>
      </c>
      <c r="E117" s="3" t="inlineStr">
        <is>
          <t>2025</t>
        </is>
      </c>
      <c r="F117" s="3" t="inlineStr">
        <is>
          <t>articulo</t>
        </is>
      </c>
      <c r="G117" s="3" t="inlineStr">
        <is>
          <t>10.1016/j.ijantimicag.2025.107629</t>
        </is>
      </c>
      <c r="H117" s="4" t="inlineStr">
        <is>
          <t>abrir</t>
        </is>
      </c>
      <c r="I117" s="5" t="inlineStr"/>
      <c r="J117" s="5" t="inlineStr">
        <is>
          <t>A</t>
        </is>
      </c>
      <c r="K117" s="5" t="inlineStr"/>
      <c r="L117" s="5" t="inlineStr"/>
      <c r="M117" s="5" t="inlineStr"/>
      <c r="N117" s="5" t="inlineStr"/>
      <c r="O117" s="5" t="inlineStr"/>
      <c r="P117" s="5" t="inlineStr"/>
      <c r="Q117" s="5" t="inlineStr"/>
      <c r="R117" s="5" t="inlineStr"/>
      <c r="S117" s="5" t="inlineStr"/>
      <c r="T117" s="5" t="inlineStr"/>
      <c r="U117" s="5" t="inlineStr"/>
      <c r="V117" s="5" t="inlineStr"/>
      <c r="W117" s="5" t="inlineStr"/>
      <c r="X117" s="5" t="inlineStr"/>
      <c r="Y117" s="5" t="inlineStr"/>
      <c r="Z117" s="5" t="inlineStr"/>
      <c r="AA117" s="5" t="inlineStr"/>
      <c r="AB117" s="5">
        <f>IFERROR(IF(VLOOKUP(D117,Revistas!$A$21:$C$400,3,FALSE)=0,"",VLOOKUP(D117,Revistas!$A$21:$C$400,3,FALSE)),"")</f>
        <v/>
      </c>
      <c r="AC117" s="5" t="inlineStr"/>
      <c r="AD117" s="5" t="inlineStr"/>
      <c r="AE117" s="5" t="inlineStr"/>
    </row>
    <row r="118">
      <c r="A118" s="3" t="inlineStr">
        <is>
          <t>EST-065</t>
        </is>
      </c>
      <c r="B118" s="3" t="n">
        <v>193</v>
      </c>
      <c r="C118" s="3" t="inlineStr">
        <is>
          <t>Successful phage therapy in a patient with prosthetic joint infection; [Tratamiento exitoso con fagoterapia en una paciente con infección periprotésica]</t>
        </is>
      </c>
      <c r="D118" s="3" t="inlineStr">
        <is>
          <t>Enfermedades Infecciosas y Microbiologia Clinica</t>
        </is>
      </c>
      <c r="E118" s="3" t="inlineStr">
        <is>
          <t>2025</t>
        </is>
      </c>
      <c r="F118" s="3" t="inlineStr">
        <is>
          <t>articulo</t>
        </is>
      </c>
      <c r="G118" s="3" t="inlineStr">
        <is>
          <t>10.1016/j.eimc.2025.05.008</t>
        </is>
      </c>
      <c r="H118" s="4" t="inlineStr">
        <is>
          <t>abrir</t>
        </is>
      </c>
      <c r="I118" s="5" t="inlineStr"/>
      <c r="J118" s="5" t="inlineStr">
        <is>
          <t>A</t>
        </is>
      </c>
      <c r="K118" s="5" t="inlineStr"/>
      <c r="L118" s="5" t="inlineStr"/>
      <c r="M118" s="5" t="inlineStr"/>
      <c r="N118" s="5" t="inlineStr"/>
      <c r="O118" s="5" t="inlineStr"/>
      <c r="P118" s="5" t="inlineStr"/>
      <c r="Q118" s="5" t="inlineStr"/>
      <c r="R118" s="5" t="inlineStr"/>
      <c r="S118" s="5" t="inlineStr"/>
      <c r="T118" s="5" t="inlineStr"/>
      <c r="U118" s="5" t="inlineStr"/>
      <c r="V118" s="5" t="inlineStr"/>
      <c r="W118" s="5" t="inlineStr"/>
      <c r="X118" s="5" t="inlineStr"/>
      <c r="Y118" s="5" t="inlineStr"/>
      <c r="Z118" s="5" t="inlineStr"/>
      <c r="AA118" s="5" t="inlineStr"/>
      <c r="AB118" s="5">
        <f>IFERROR(IF(VLOOKUP(D118,Revistas!$A$21:$C$400,3,FALSE)=0,"",VLOOKUP(D118,Revistas!$A$21:$C$400,3,FALSE)),"")</f>
        <v/>
      </c>
      <c r="AC118" s="5" t="inlineStr"/>
      <c r="AD118" s="5" t="inlineStr"/>
      <c r="AE118" s="5" t="inlineStr"/>
    </row>
    <row r="119">
      <c r="A119" s="3" t="inlineStr">
        <is>
          <t>EST-081</t>
        </is>
      </c>
      <c r="B119" s="3" t="n">
        <v>324</v>
      </c>
      <c r="C119" s="3" t="inlineStr">
        <is>
          <t>Bacteriophage therapy as a treatment option for transplant infections.</t>
        </is>
      </c>
      <c r="D119" s="3" t="inlineStr">
        <is>
          <t>Current opinion in infectious diseases</t>
        </is>
      </c>
      <c r="E119" s="3" t="inlineStr">
        <is>
          <t>2020</t>
        </is>
      </c>
      <c r="F119" s="3" t="inlineStr">
        <is>
          <t>articulo</t>
        </is>
      </c>
      <c r="G119" s="3" t="inlineStr">
        <is>
          <t>10.1097/qco.0000000000000658</t>
        </is>
      </c>
      <c r="H119" s="4" t="inlineStr">
        <is>
          <t>abrir</t>
        </is>
      </c>
      <c r="I119" s="5" t="inlineStr"/>
      <c r="J119" s="5" t="inlineStr">
        <is>
          <t>A</t>
        </is>
      </c>
      <c r="K119" s="5" t="inlineStr"/>
      <c r="L119" s="5" t="inlineStr"/>
      <c r="M119" s="5" t="inlineStr"/>
      <c r="N119" s="5" t="inlineStr"/>
      <c r="O119" s="5" t="inlineStr"/>
      <c r="P119" s="5" t="inlineStr"/>
      <c r="Q119" s="5" t="inlineStr"/>
      <c r="R119" s="5" t="inlineStr"/>
      <c r="S119" s="5" t="inlineStr"/>
      <c r="T119" s="5" t="inlineStr"/>
      <c r="U119" s="5" t="inlineStr"/>
      <c r="V119" s="5" t="inlineStr"/>
      <c r="W119" s="5" t="inlineStr"/>
      <c r="X119" s="5" t="inlineStr"/>
      <c r="Y119" s="5" t="inlineStr"/>
      <c r="Z119" s="5" t="inlineStr"/>
      <c r="AA119" s="5" t="inlineStr"/>
      <c r="AB119" s="5">
        <f>IFERROR(IF(VLOOKUP(D119,Revistas!$A$21:$C$400,3,FALSE)=0,"",VLOOKUP(D119,Revistas!$A$21:$C$400,3,FALSE)),"")</f>
        <v/>
      </c>
      <c r="AC119" s="5" t="inlineStr"/>
      <c r="AD119" s="5" t="inlineStr"/>
      <c r="AE119" s="5" t="inlineStr"/>
    </row>
    <row r="120">
      <c r="A120" s="3" t="inlineStr">
        <is>
          <t>EST-083</t>
        </is>
      </c>
      <c r="B120" s="3" t="n">
        <v>336</v>
      </c>
      <c r="C120" s="3" t="inlineStr">
        <is>
          <t>Bacteriophage Therapy for Difficult-to-Treat Infections: The Implementation of a Multidisciplinary Phage Task Force (The PHAGEFORCE Study Protocol).</t>
        </is>
      </c>
      <c r="D120" s="3" t="inlineStr">
        <is>
          <t>Viruses</t>
        </is>
      </c>
      <c r="E120" s="3" t="inlineStr">
        <is>
          <t>2021</t>
        </is>
      </c>
      <c r="F120" s="3" t="inlineStr">
        <is>
          <t>articulo</t>
        </is>
      </c>
      <c r="G120" s="3" t="inlineStr">
        <is>
          <t>10.3390/v13081543</t>
        </is>
      </c>
      <c r="H120" s="4" t="inlineStr">
        <is>
          <t>abrir</t>
        </is>
      </c>
      <c r="I120" s="5" t="inlineStr"/>
      <c r="J120" s="5" t="inlineStr">
        <is>
          <t>A</t>
        </is>
      </c>
      <c r="K120" s="5" t="inlineStr"/>
      <c r="L120" s="5" t="inlineStr"/>
      <c r="M120" s="5" t="inlineStr"/>
      <c r="N120" s="5" t="inlineStr"/>
      <c r="O120" s="5" t="inlineStr"/>
      <c r="P120" s="5" t="inlineStr"/>
      <c r="Q120" s="5" t="inlineStr"/>
      <c r="R120" s="5" t="inlineStr"/>
      <c r="S120" s="5" t="inlineStr"/>
      <c r="T120" s="5" t="inlineStr"/>
      <c r="U120" s="5" t="inlineStr"/>
      <c r="V120" s="5" t="inlineStr"/>
      <c r="W120" s="5" t="inlineStr"/>
      <c r="X120" s="5" t="inlineStr"/>
      <c r="Y120" s="5" t="inlineStr"/>
      <c r="Z120" s="5" t="inlineStr"/>
      <c r="AA120" s="5" t="inlineStr"/>
      <c r="AB120" s="5">
        <f>IFERROR(IF(VLOOKUP(D120,Revistas!$A$21:$C$400,3,FALSE)=0,"",VLOOKUP(D120,Revistas!$A$21:$C$400,3,FALSE)),"")</f>
        <v/>
      </c>
      <c r="AC120" s="5" t="inlineStr"/>
      <c r="AD120" s="5" t="inlineStr"/>
      <c r="AE120" s="5" t="inlineStr"/>
    </row>
    <row r="121">
      <c r="A121" s="3" t="inlineStr">
        <is>
          <t>EST-105</t>
        </is>
      </c>
      <c r="B121" s="3" t="n">
        <v>525</v>
      </c>
      <c r="C121" s="3" t="inlineStr">
        <is>
          <t>Innovations for the treatment of a complex bone and joint infection due to XDR Pseudomonas aeruginosa including local application of a selected cocktail of bacteriophages.</t>
        </is>
      </c>
      <c r="D121" s="3" t="inlineStr">
        <is>
          <t>The Journal of antimicrobial chemotherapy</t>
        </is>
      </c>
      <c r="E121" s="3" t="inlineStr">
        <is>
          <t>2018</t>
        </is>
      </c>
      <c r="F121" s="3" t="inlineStr">
        <is>
          <t>articulo</t>
        </is>
      </c>
      <c r="G121" s="3" t="inlineStr">
        <is>
          <t>10.1093/jac/dky263</t>
        </is>
      </c>
      <c r="H121" s="4" t="inlineStr">
        <is>
          <t>abrir</t>
        </is>
      </c>
      <c r="I121" s="5" t="inlineStr"/>
      <c r="J121" s="5" t="inlineStr">
        <is>
          <t>A</t>
        </is>
      </c>
      <c r="K121" s="5" t="inlineStr"/>
      <c r="L121" s="5" t="inlineStr"/>
      <c r="M121" s="5" t="inlineStr"/>
      <c r="N121" s="5" t="inlineStr"/>
      <c r="O121" s="5" t="inlineStr"/>
      <c r="P121" s="5" t="inlineStr"/>
      <c r="Q121" s="5" t="inlineStr"/>
      <c r="R121" s="5" t="inlineStr"/>
      <c r="S121" s="5" t="inlineStr"/>
      <c r="T121" s="5" t="inlineStr"/>
      <c r="U121" s="5" t="inlineStr"/>
      <c r="V121" s="5" t="inlineStr"/>
      <c r="W121" s="5" t="inlineStr"/>
      <c r="X121" s="5" t="inlineStr"/>
      <c r="Y121" s="5" t="inlineStr"/>
      <c r="Z121" s="5" t="inlineStr"/>
      <c r="AA121" s="5" t="inlineStr"/>
      <c r="AB121" s="5">
        <f>IFERROR(IF(VLOOKUP(D121,Revistas!$A$21:$C$400,3,FALSE)=0,"",VLOOKUP(D121,Revistas!$A$21:$C$400,3,FALSE)),"")</f>
        <v/>
      </c>
      <c r="AC121" s="5" t="inlineStr"/>
      <c r="AD121" s="5" t="inlineStr"/>
      <c r="AE121" s="5" t="inlineStr"/>
    </row>
    <row r="122">
      <c r="A122" s="3" t="inlineStr">
        <is>
          <t>EST-110</t>
        </is>
      </c>
      <c r="B122" s="3" t="n">
        <v>613</v>
      </c>
      <c r="C122" s="3" t="inlineStr">
        <is>
          <t>Successful Use of Phage and Antibiotics Therapy for the Eradication of Two Bacterial Pathogens from the Respiratory Tract of an Infant.</t>
        </is>
      </c>
      <c r="D122" s="3" t="inlineStr">
        <is>
          <t>Methods in molecular biology (Clifton, N.J.)</t>
        </is>
      </c>
      <c r="E122" s="3" t="inlineStr">
        <is>
          <t>2024</t>
        </is>
      </c>
      <c r="F122" s="3" t="inlineStr">
        <is>
          <t>articulo</t>
        </is>
      </c>
      <c r="G122" s="3" t="inlineStr">
        <is>
          <t>10.1007/978-1-0716-3523-0_15</t>
        </is>
      </c>
      <c r="H122" s="4" t="inlineStr">
        <is>
          <t>abrir</t>
        </is>
      </c>
      <c r="I122" s="5" t="inlineStr"/>
      <c r="J122" s="5" t="inlineStr">
        <is>
          <t>A</t>
        </is>
      </c>
      <c r="K122" s="5" t="inlineStr"/>
      <c r="L122" s="5" t="inlineStr"/>
      <c r="M122" s="5" t="inlineStr"/>
      <c r="N122" s="5" t="inlineStr"/>
      <c r="O122" s="5" t="inlineStr"/>
      <c r="P122" s="5" t="inlineStr"/>
      <c r="Q122" s="5" t="inlineStr"/>
      <c r="R122" s="5" t="inlineStr"/>
      <c r="S122" s="5" t="inlineStr"/>
      <c r="T122" s="5" t="inlineStr"/>
      <c r="U122" s="5" t="inlineStr"/>
      <c r="V122" s="5" t="inlineStr"/>
      <c r="W122" s="5" t="inlineStr"/>
      <c r="X122" s="5" t="inlineStr"/>
      <c r="Y122" s="5" t="inlineStr"/>
      <c r="Z122" s="5" t="inlineStr"/>
      <c r="AA122" s="5" t="inlineStr"/>
      <c r="AB122" s="5">
        <f>IFERROR(IF(VLOOKUP(D122,Revistas!$A$21:$C$400,3,FALSE)=0,"",VLOOKUP(D122,Revistas!$A$21:$C$400,3,FALSE)),"")</f>
        <v/>
      </c>
      <c r="AC122" s="5" t="inlineStr"/>
      <c r="AD122" s="5" t="inlineStr"/>
      <c r="AE122" s="5" t="inlineStr"/>
    </row>
    <row r="123">
      <c r="A123" s="3" t="inlineStr">
        <is>
          <t>EST-131</t>
        </is>
      </c>
      <c r="B123" s="3" t="n">
        <v>858</v>
      </c>
      <c r="C123" s="3" t="inlineStr">
        <is>
          <t>Results of TOR001: An open-label single patient study using targeted bacteriophage therapy for the treatment of a chronic urinary tract infection</t>
        </is>
      </c>
      <c r="D123" s="3" t="inlineStr">
        <is>
          <t>International journal of antimicrobial agents</t>
        </is>
      </c>
      <c r="E123" s="3" t="inlineStr">
        <is>
          <t>2025</t>
        </is>
      </c>
      <c r="F123" s="3" t="inlineStr">
        <is>
          <t>articulo</t>
        </is>
      </c>
      <c r="G123" s="3" t="inlineStr">
        <is>
          <t>10.1016/j.ijantimicag.2025.107613</t>
        </is>
      </c>
      <c r="H123" s="4" t="inlineStr">
        <is>
          <t>abrir</t>
        </is>
      </c>
      <c r="I123" s="5" t="inlineStr"/>
      <c r="J123" s="5" t="inlineStr">
        <is>
          <t>A</t>
        </is>
      </c>
      <c r="K123" s="5" t="inlineStr"/>
      <c r="L123" s="5" t="inlineStr"/>
      <c r="M123" s="5" t="inlineStr"/>
      <c r="N123" s="5" t="inlineStr"/>
      <c r="O123" s="5" t="inlineStr"/>
      <c r="P123" s="5" t="inlineStr"/>
      <c r="Q123" s="5" t="inlineStr"/>
      <c r="R123" s="5" t="inlineStr"/>
      <c r="S123" s="5" t="inlineStr"/>
      <c r="T123" s="5" t="inlineStr"/>
      <c r="U123" s="5" t="inlineStr"/>
      <c r="V123" s="5" t="inlineStr"/>
      <c r="W123" s="5" t="inlineStr"/>
      <c r="X123" s="5" t="inlineStr"/>
      <c r="Y123" s="5" t="inlineStr"/>
      <c r="Z123" s="5" t="inlineStr"/>
      <c r="AA123" s="5" t="inlineStr"/>
      <c r="AB123" s="5">
        <f>IFERROR(IF(VLOOKUP(D123,Revistas!$A$21:$C$400,3,FALSE)=0,"",VLOOKUP(D123,Revistas!$A$21:$C$400,3,FALSE)),"")</f>
        <v/>
      </c>
      <c r="AC123" s="5" t="inlineStr"/>
      <c r="AD123" s="5" t="inlineStr"/>
      <c r="AE123" s="5" t="inlineStr"/>
    </row>
    <row r="124">
      <c r="A124" s="3" t="inlineStr">
        <is>
          <t>EST-140</t>
        </is>
      </c>
      <c r="B124" s="3" t="n">
        <v>1085</v>
      </c>
      <c r="C124" s="3" t="inlineStr">
        <is>
          <t>Novel bacteriophage therapy for treatment of left ventricular assist device infection.</t>
        </is>
      </c>
      <c r="D124" s="3" t="inlineStr">
        <is>
          <t>The Journal of heart and lung transplantation : the official publication of the International Society for Heart Transplantation</t>
        </is>
      </c>
      <c r="E124" s="3" t="inlineStr">
        <is>
          <t>2019</t>
        </is>
      </c>
      <c r="F124" s="3" t="inlineStr">
        <is>
          <t>articulo</t>
        </is>
      </c>
      <c r="G124" s="3" t="inlineStr">
        <is>
          <t>10.1016/j.healun.2019.01.001</t>
        </is>
      </c>
      <c r="H124" s="4" t="inlineStr">
        <is>
          <t>abrir</t>
        </is>
      </c>
      <c r="I124" s="5" t="inlineStr"/>
      <c r="J124" s="5" t="inlineStr">
        <is>
          <t>A</t>
        </is>
      </c>
      <c r="K124" s="5" t="inlineStr"/>
      <c r="L124" s="5" t="inlineStr"/>
      <c r="M124" s="5" t="inlineStr"/>
      <c r="N124" s="5" t="inlineStr"/>
      <c r="O124" s="5" t="inlineStr"/>
      <c r="P124" s="5" t="inlineStr"/>
      <c r="Q124" s="5" t="inlineStr"/>
      <c r="R124" s="5" t="inlineStr"/>
      <c r="S124" s="5" t="inlineStr"/>
      <c r="T124" s="5" t="inlineStr"/>
      <c r="U124" s="5" t="inlineStr"/>
      <c r="V124" s="5" t="inlineStr"/>
      <c r="W124" s="5" t="inlineStr"/>
      <c r="X124" s="5" t="inlineStr"/>
      <c r="Y124" s="5" t="inlineStr"/>
      <c r="Z124" s="5" t="inlineStr"/>
      <c r="AA124" s="5" t="inlineStr"/>
      <c r="AB124" s="5">
        <f>IFERROR(IF(VLOOKUP(D124,Revistas!$A$21:$C$400,3,FALSE)=0,"",VLOOKUP(D124,Revistas!$A$21:$C$400,3,FALSE)),"")</f>
        <v/>
      </c>
      <c r="AC124" s="5" t="inlineStr"/>
      <c r="AD124" s="5" t="inlineStr"/>
      <c r="AE124" s="5" t="inlineStr"/>
    </row>
    <row r="125">
      <c r="A125" s="3" t="inlineStr">
        <is>
          <t>EST-147</t>
        </is>
      </c>
      <c r="B125" s="3" t="n">
        <v>1251</v>
      </c>
      <c r="C125" s="3" t="inlineStr">
        <is>
          <t>Complex surgical treatment of recurrent post-injection abscess in a patient with systemic autoimmune disease; [Комплексное хирургическое лечение рецидивирующего постинъекционного а</t>
        </is>
      </c>
      <c r="D125" s="3" t="inlineStr">
        <is>
          <t>Pirogov Russian Journal of Surgery</t>
        </is>
      </c>
      <c r="E125" s="3" t="inlineStr">
        <is>
          <t>2023</t>
        </is>
      </c>
      <c r="F125" s="3" t="inlineStr">
        <is>
          <t>articulo</t>
        </is>
      </c>
      <c r="G125" s="3" t="inlineStr">
        <is>
          <t>10.17116/hirurgia2023121123</t>
        </is>
      </c>
      <c r="H125" s="4" t="inlineStr">
        <is>
          <t>abrir</t>
        </is>
      </c>
      <c r="I125" s="5" t="inlineStr"/>
      <c r="J125" s="5" t="inlineStr">
        <is>
          <t>A</t>
        </is>
      </c>
      <c r="K125" s="5" t="inlineStr"/>
      <c r="L125" s="5" t="inlineStr"/>
      <c r="M125" s="5" t="inlineStr"/>
      <c r="N125" s="5" t="inlineStr"/>
      <c r="O125" s="5" t="inlineStr"/>
      <c r="P125" s="5" t="inlineStr"/>
      <c r="Q125" s="5" t="inlineStr"/>
      <c r="R125" s="5" t="inlineStr"/>
      <c r="S125" s="5" t="inlineStr"/>
      <c r="T125" s="5" t="inlineStr"/>
      <c r="U125" s="5" t="inlineStr"/>
      <c r="V125" s="5" t="inlineStr"/>
      <c r="W125" s="5" t="inlineStr"/>
      <c r="X125" s="5" t="inlineStr"/>
      <c r="Y125" s="5" t="inlineStr"/>
      <c r="Z125" s="5" t="inlineStr"/>
      <c r="AA125" s="5" t="inlineStr"/>
      <c r="AB125" s="5">
        <f>IFERROR(IF(VLOOKUP(D125,Revistas!$A$21:$C$400,3,FALSE)=0,"",VLOOKUP(D125,Revistas!$A$21:$C$400,3,FALSE)),"")</f>
        <v/>
      </c>
      <c r="AC125" s="5" t="inlineStr"/>
      <c r="AD125" s="5" t="inlineStr"/>
      <c r="AE125" s="5" t="inlineStr"/>
    </row>
    <row r="126">
      <c r="A126" s="3" t="inlineStr">
        <is>
          <t>EST-170</t>
        </is>
      </c>
      <c r="B126" s="3" t="n">
        <v>2324</v>
      </c>
      <c r="C126" s="3" t="inlineStr">
        <is>
          <t>Thoracic endovascular aneurysm repair of a ruptured zone 0 mycotic thoracic aortic aneurysm</t>
        </is>
      </c>
      <c r="D126" s="3" t="inlineStr">
        <is>
          <t>Annals of Vascular Surgery - Brief Reports and Innovations</t>
        </is>
      </c>
      <c r="E126" s="3" t="inlineStr">
        <is>
          <t>2024</t>
        </is>
      </c>
      <c r="F126" s="3" t="inlineStr">
        <is>
          <t>articulo</t>
        </is>
      </c>
      <c r="G126" s="3" t="inlineStr">
        <is>
          <t>10.1016/j.avsurg.2024.100302</t>
        </is>
      </c>
      <c r="H126" s="4" t="inlineStr">
        <is>
          <t>abrir</t>
        </is>
      </c>
      <c r="I126" s="5" t="inlineStr"/>
      <c r="J126" s="5" t="inlineStr">
        <is>
          <t>A</t>
        </is>
      </c>
      <c r="K126" s="5" t="inlineStr"/>
      <c r="L126" s="5" t="inlineStr"/>
      <c r="M126" s="5" t="inlineStr"/>
      <c r="N126" s="5" t="inlineStr"/>
      <c r="O126" s="5" t="inlineStr"/>
      <c r="P126" s="5" t="inlineStr"/>
      <c r="Q126" s="5" t="inlineStr"/>
      <c r="R126" s="5" t="inlineStr"/>
      <c r="S126" s="5" t="inlineStr"/>
      <c r="T126" s="5" t="inlineStr"/>
      <c r="U126" s="5" t="inlineStr"/>
      <c r="V126" s="5" t="inlineStr"/>
      <c r="W126" s="5" t="inlineStr"/>
      <c r="X126" s="5" t="inlineStr"/>
      <c r="Y126" s="5" t="inlineStr"/>
      <c r="Z126" s="5" t="inlineStr"/>
      <c r="AA126" s="5" t="inlineStr"/>
      <c r="AB126" s="5">
        <f>IFERROR(IF(VLOOKUP(D126,Revistas!$A$21:$C$400,3,FALSE)=0,"",VLOOKUP(D126,Revistas!$A$21:$C$400,3,FALSE)),"")</f>
        <v/>
      </c>
      <c r="AC126" s="5" t="inlineStr"/>
      <c r="AD126" s="5" t="inlineStr"/>
      <c r="AE126" s="5" t="inlineStr"/>
    </row>
    <row r="127">
      <c r="A127" s="3" t="inlineStr">
        <is>
          <t>EST-184</t>
        </is>
      </c>
      <c r="B127" s="3" t="n">
        <v>3892</v>
      </c>
      <c r="C127" s="3" t="inlineStr">
        <is>
          <t>Severe Darier disease complicated by recurrent multidrug-resistant cutaneous infection</t>
        </is>
      </c>
      <c r="D127" s="3" t="inlineStr">
        <is>
          <t>JAAD Case Reports</t>
        </is>
      </c>
      <c r="E127" s="3" t="inlineStr">
        <is>
          <t>2026</t>
        </is>
      </c>
      <c r="F127" s="3" t="inlineStr">
        <is>
          <t>articulo</t>
        </is>
      </c>
      <c r="G127" s="3" t="inlineStr">
        <is>
          <t>10.1016/j.jdcr.2026.06.010</t>
        </is>
      </c>
      <c r="H127" s="4" t="inlineStr">
        <is>
          <t>abrir</t>
        </is>
      </c>
      <c r="I127" s="5" t="inlineStr"/>
      <c r="J127" s="5" t="inlineStr">
        <is>
          <t>A</t>
        </is>
      </c>
      <c r="K127" s="5" t="inlineStr"/>
      <c r="L127" s="5" t="inlineStr"/>
      <c r="M127" s="5" t="inlineStr"/>
      <c r="N127" s="5" t="inlineStr"/>
      <c r="O127" s="5" t="inlineStr"/>
      <c r="P127" s="5" t="inlineStr"/>
      <c r="Q127" s="5" t="inlineStr"/>
      <c r="R127" s="5" t="inlineStr"/>
      <c r="S127" s="5" t="inlineStr"/>
      <c r="T127" s="5" t="inlineStr"/>
      <c r="U127" s="5" t="inlineStr"/>
      <c r="V127" s="5" t="inlineStr"/>
      <c r="W127" s="5" t="inlineStr"/>
      <c r="X127" s="5" t="inlineStr"/>
      <c r="Y127" s="5" t="inlineStr"/>
      <c r="Z127" s="5" t="inlineStr"/>
      <c r="AA127" s="5" t="inlineStr"/>
      <c r="AB127" s="5">
        <f>IFERROR(IF(VLOOKUP(D127,Revistas!$A$21:$C$400,3,FALSE)=0,"",VLOOKUP(D127,Revistas!$A$21:$C$400,3,FALSE)),"")</f>
        <v/>
      </c>
      <c r="AC127" s="5" t="inlineStr"/>
      <c r="AD127" s="5" t="inlineStr"/>
      <c r="AE127" s="5" t="inlineStr"/>
    </row>
    <row r="128">
      <c r="A128" s="3" t="inlineStr">
        <is>
          <t>EST-205</t>
        </is>
      </c>
      <c r="B128" s="3" t="n">
        <v>4902</v>
      </c>
      <c r="C128" s="3" t="inlineStr">
        <is>
          <t>Beneficios obtenidos con el empleo de bacteriófagos en el tratamiento de infecciones crónicas</t>
        </is>
      </c>
      <c r="D128" s="3" t="inlineStr">
        <is>
          <t>Revista Cubana de Angiología y Cirugía Vascular</t>
        </is>
      </c>
      <c r="E128" s="3" t="inlineStr">
        <is>
          <t>2017</t>
        </is>
      </c>
      <c r="F128" s="3" t="inlineStr">
        <is>
          <t>articulo</t>
        </is>
      </c>
      <c r="G128" s="3" t="inlineStr">
        <is>
          <t>cita: Rev Cubana Angiol Cir Vasc 2017</t>
        </is>
      </c>
      <c r="H128" s="4" t="inlineStr">
        <is>
          <t>abrir</t>
        </is>
      </c>
      <c r="I128" s="5" t="inlineStr"/>
      <c r="J128" s="5" t="inlineStr">
        <is>
          <t>A</t>
        </is>
      </c>
      <c r="K128" s="5" t="inlineStr"/>
      <c r="L128" s="5" t="inlineStr"/>
      <c r="M128" s="5" t="inlineStr"/>
      <c r="N128" s="5" t="inlineStr"/>
      <c r="O128" s="5" t="inlineStr"/>
      <c r="P128" s="5" t="inlineStr"/>
      <c r="Q128" s="5" t="inlineStr"/>
      <c r="R128" s="5" t="inlineStr"/>
      <c r="S128" s="5" t="inlineStr"/>
      <c r="T128" s="5" t="inlineStr"/>
      <c r="U128" s="5" t="inlineStr"/>
      <c r="V128" s="5" t="inlineStr"/>
      <c r="W128" s="5" t="inlineStr"/>
      <c r="X128" s="5" t="inlineStr"/>
      <c r="Y128" s="5" t="inlineStr"/>
      <c r="Z128" s="5" t="inlineStr"/>
      <c r="AA128" s="5" t="inlineStr"/>
      <c r="AB128" s="5">
        <f>IFERROR(IF(VLOOKUP(D128,Revistas!$A$21:$C$400,3,FALSE)=0,"",VLOOKUP(D128,Revistas!$A$21:$C$400,3,FALSE)),"")</f>
        <v/>
      </c>
      <c r="AC128" s="5" t="inlineStr"/>
      <c r="AD128" s="5" t="inlineStr"/>
      <c r="AE128" s="5" t="inlineStr"/>
    </row>
    <row r="129">
      <c r="A129" s="3" t="inlineStr">
        <is>
          <t>EST-207</t>
        </is>
      </c>
      <c r="B129" s="3" t="n">
        <v>8217</v>
      </c>
      <c r="C129" s="3" t="inlineStr">
        <is>
          <t>Successful bacteriophage treatment of infection involving cardiac implantable electronic device and aortic graft: a Trojan horse concept.</t>
        </is>
      </c>
      <c r="D129" s="3" t="inlineStr">
        <is>
          <t>Europace : European pacing, arrhythmias, and cardiac electrophysiology : journal of the working groups on cardiac pacing, arrhythmias, and cardiac cellular electrophysiology of the European Society of Cardiology</t>
        </is>
      </c>
      <c r="E129" s="3" t="inlineStr">
        <is>
          <t>2020</t>
        </is>
      </c>
      <c r="F129" s="3" t="inlineStr">
        <is>
          <t>articulo</t>
        </is>
      </c>
      <c r="G129" s="3" t="inlineStr">
        <is>
          <t>10.1093/europace/euz319</t>
        </is>
      </c>
      <c r="H129" s="4" t="inlineStr">
        <is>
          <t>abrir</t>
        </is>
      </c>
      <c r="I129" s="5" t="inlineStr"/>
      <c r="J129" s="5" t="inlineStr">
        <is>
          <t>A</t>
        </is>
      </c>
      <c r="K129" s="5" t="inlineStr"/>
      <c r="L129" s="5" t="inlineStr"/>
      <c r="M129" s="5" t="inlineStr"/>
      <c r="N129" s="5" t="inlineStr"/>
      <c r="O129" s="5" t="inlineStr"/>
      <c r="P129" s="5" t="inlineStr"/>
      <c r="Q129" s="5" t="inlineStr"/>
      <c r="R129" s="5" t="inlineStr"/>
      <c r="S129" s="5" t="inlineStr"/>
      <c r="T129" s="5" t="inlineStr"/>
      <c r="U129" s="5" t="inlineStr"/>
      <c r="V129" s="5" t="inlineStr"/>
      <c r="W129" s="5" t="inlineStr"/>
      <c r="X129" s="5" t="inlineStr"/>
      <c r="Y129" s="5" t="inlineStr"/>
      <c r="Z129" s="5" t="inlineStr"/>
      <c r="AA129" s="5" t="inlineStr"/>
      <c r="AB129" s="5">
        <f>IFERROR(IF(VLOOKUP(D129,Revistas!$A$21:$C$400,3,FALSE)=0,"",VLOOKUP(D129,Revistas!$A$21:$C$400,3,FALSE)),"")</f>
        <v/>
      </c>
      <c r="AC129" s="5" t="inlineStr"/>
      <c r="AD129" s="5" t="inlineStr"/>
      <c r="AE129" s="5" t="inlineStr"/>
    </row>
    <row r="130">
      <c r="A130" s="3" t="inlineStr">
        <is>
          <t>EST-208</t>
        </is>
      </c>
      <c r="B130" s="3" t="n">
        <v>8256</v>
      </c>
      <c r="C130" s="3" t="inlineStr">
        <is>
          <t>Treatment of chronic left ventricular assist device infection with local application of bacteriophages.</t>
        </is>
      </c>
      <c r="D130" s="3" t="inlineStr">
        <is>
          <t>European journal of cardio-thoracic surgery : official journal of the European Association for Cardio-thoracic Surgery</t>
        </is>
      </c>
      <c r="E130" s="3" t="inlineStr">
        <is>
          <t>2020</t>
        </is>
      </c>
      <c r="F130" s="3" t="inlineStr">
        <is>
          <t>articulo</t>
        </is>
      </c>
      <c r="G130" s="3" t="inlineStr">
        <is>
          <t>10.1093/ejcts/ezz295</t>
        </is>
      </c>
      <c r="H130" s="4" t="inlineStr">
        <is>
          <t>abrir</t>
        </is>
      </c>
      <c r="I130" s="5" t="inlineStr"/>
      <c r="J130" s="5" t="inlineStr">
        <is>
          <t>A</t>
        </is>
      </c>
      <c r="K130" s="5" t="inlineStr"/>
      <c r="L130" s="5" t="inlineStr"/>
      <c r="M130" s="5" t="inlineStr"/>
      <c r="N130" s="5" t="inlineStr"/>
      <c r="O130" s="5" t="inlineStr"/>
      <c r="P130" s="5" t="inlineStr"/>
      <c r="Q130" s="5" t="inlineStr"/>
      <c r="R130" s="5" t="inlineStr"/>
      <c r="S130" s="5" t="inlineStr"/>
      <c r="T130" s="5" t="inlineStr"/>
      <c r="U130" s="5" t="inlineStr"/>
      <c r="V130" s="5" t="inlineStr"/>
      <c r="W130" s="5" t="inlineStr"/>
      <c r="X130" s="5" t="inlineStr"/>
      <c r="Y130" s="5" t="inlineStr"/>
      <c r="Z130" s="5" t="inlineStr"/>
      <c r="AA130" s="5" t="inlineStr"/>
      <c r="AB130" s="5">
        <f>IFERROR(IF(VLOOKUP(D130,Revistas!$A$21:$C$400,3,FALSE)=0,"",VLOOKUP(D130,Revistas!$A$21:$C$400,3,FALSE)),"")</f>
        <v/>
      </c>
      <c r="AC130" s="5" t="inlineStr"/>
      <c r="AD130" s="5" t="inlineStr"/>
      <c r="AE130" s="5" t="inlineStr"/>
    </row>
  </sheetData>
  <dataValidations count="18">
    <dataValidation sqref="K2:K210" showDropDown="0" showInputMessage="0" showErrorMessage="0" allowBlank="1" type="list">
      <formula1>"solo Pseudomonas,mixto con subgrupo de Pseudomonas"</formula1>
    </dataValidation>
    <dataValidation sqref="L2:L210" showDropDown="0" showInputMessage="0" showErrorMessage="0" allowBlank="1" type="list">
      <formula1>"MDR,XDR,PDR,por debajo del umbral MDR,no clasificable"</formula1>
    </dataValidation>
    <dataValidation sqref="M2:M210" showDropDown="0" showInputMessage="0" showErrorMessage="0" allowBlank="1" type="list">
      <formula1>"declarado por el autor,verificado de forma independiente,no clasificable"</formula1>
    </dataValidation>
    <dataValidation sqref="N2:N210" showDropDown="0" showInputMessage="0" showErrorMessage="0" allowBlank="1" type="list">
      <formula1>"si,no,no derivable"</formula1>
    </dataValidation>
    <dataValidation sqref="O2:O210" showDropDown="0" showInputMessage="0" showErrorMessage="0" allowBlank="1" type="list">
      <formula1>"IV,inhalada/nebulizada,topica/local,oral,intravesical,intraarticular,otra,NA"</formula1>
    </dataValidation>
    <dataValidation sqref="P2:P210" showDropDown="0" showInputMessage="0" showErrorMessage="0" allowBlank="1" type="list">
      <formula1>"fago en monoterapia,fago + antibiotico,fago + otro,NA"</formula1>
    </dataValidation>
    <dataValidation sqref="Q2:Q210" showDropDown="0" showInputMessage="0" showErrorMessage="0" allowBlank="1" type="list">
      <formula1>"ECA,caso clinico,serie de casos,cohorte retrospectiva,cohorte prospectiva,ensayo no aleatorizado,otra"</formula1>
    </dataValidation>
    <dataValidation sqref="R2:R210" showDropDown="0" showInputMessage="0" showErrorMessage="0" allowBlank="1" type="list">
      <formula1>"COMPLETA,PARCIAL,INCOMPLETA"</formula1>
    </dataValidation>
    <dataValidation sqref="T2:T210" showDropDown="0" showInputMessage="0" showErrorMessage="1" allowBlank="1" errorTitle="Revise la cifra" error="Debe ser un entero entre 0 y el nº de pacientes del brazo, o NA si el artículo no lo reporta." type="custom">
      <formula1>=OR(T2="NA",AND(ISNUMBER(T2),T2&gt;=0,T2&lt;=$S2))</formula1>
    </dataValidation>
    <dataValidation sqref="U2:U210" showDropDown="0" showInputMessage="0" showErrorMessage="1" allowBlank="1" errorTitle="Revise la cifra" error="Debe ser un entero entre 0 y el nº de pacientes del brazo, o NA si el artículo no lo reporta." type="custom">
      <formula1>=OR(U2="NA",AND(ISNUMBER(U2),U2&gt;=0,U2&lt;=$S2))</formula1>
    </dataValidation>
    <dataValidation sqref="V2:V210" showDropDown="0" showInputMessage="0" showErrorMessage="1" allowBlank="1" errorTitle="Revise la cifra" error="Debe ser un entero entre 0 y el nº de pacientes del brazo, o NA si el artículo no lo reporta." type="custom">
      <formula1>=OR(V2="NA",AND(ISNUMBER(V2),V2&gt;=0,V2&lt;=$S2))</formula1>
    </dataValidation>
    <dataValidation sqref="W2:W210" showDropDown="0" showInputMessage="0" showErrorMessage="1" allowBlank="1" errorTitle="Revise la cifra" error="Debe ser un entero entre 0 y el nº de pacientes del brazo, o NA si el artículo no lo reporta." type="custom">
      <formula1>=OR(W2="NA",AND(ISNUMBER(W2),W2&gt;=0,W2&lt;=$S2))</formula1>
    </dataValidation>
    <dataValidation sqref="Y2:Y210" showDropDown="0" showInputMessage="0" showErrorMessage="1" allowBlank="1" errorTitle="Revise la cifra" error="Debe ser un entero entre 0 y el nº de pacientes del brazo, o NA si el artículo no lo reporta." type="custom">
      <formula1>=OR(Y2="NA",AND(ISNUMBER(Y2),Y2&gt;=0,Y2&lt;=$S2))</formula1>
    </dataValidation>
    <dataValidation sqref="S2:S210" showDropDown="0" showInputMessage="0" showErrorMessage="1" allowBlank="1" errorTitle="Revise la cifra" error="Un número (mínimo 1) o NA si el artículo no lo reporta." type="custom">
      <formula1>=OR(S2="NA",AND(ISNUMBER(S2),S2&gt;=1))</formula1>
    </dataValidation>
    <dataValidation sqref="X2:X210" showDropDown="0" showInputMessage="0" showErrorMessage="1" allowBlank="1" errorTitle="Revise la cifra" error="Un número (mínimo 0) o NA si el artículo no lo reporta." type="custom">
      <formula1>=OR(X2="NA",AND(ISNUMBER(X2),X2&gt;=0))</formula1>
    </dataValidation>
    <dataValidation sqref="Z2:Z210" showDropDown="0" showInputMessage="0" showErrorMessage="0" allowBlank="1" type="list">
      <formula1>"2006,2007,2008,2009,2010,2011,2012,2013,2014,2015,2016,2017,2018,2019,2020,2021,2022,2023,2024,2025,2026"</formula1>
    </dataValidation>
    <dataValidation sqref="AC2:AC210" showDropDown="0" showInputMessage="0" showErrorMessage="0" allowBlank="1" type="list">
      <formula1>=Listas!$A$2:$A$29</formula1>
    </dataValidation>
    <dataValidation sqref="AE2:AE210" showDropDown="0" showInputMessage="0" showErrorMessage="0" allowBlank="1" type="list">
      <formula1>=Listas!$C$2:$C$9</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94"/>
  <sheetViews>
    <sheetView workbookViewId="0">
      <pane ySplit="20" topLeftCell="A21" activePane="bottomLeft" state="frozen"/>
      <selection pane="bottomLeft" activeCell="A1" sqref="A1"/>
    </sheetView>
  </sheetViews>
  <sheetFormatPr baseColWidth="8" defaultRowHeight="15"/>
  <cols>
    <col width="56" customWidth="1" min="1" max="1"/>
    <col width="10" customWidth="1" min="2" max="2"/>
    <col width="16" customWidth="1" min="3" max="3"/>
    <col width="22" customWidth="1" min="4" max="4"/>
    <col width="26" customWidth="1" min="5" max="5"/>
  </cols>
  <sheetData>
    <row r="1">
      <c r="A1" s="1" t="inlineStr">
        <is>
          <t>Nivel de cada revista — se decide UNA vez por revista, no por estudio</t>
        </is>
      </c>
    </row>
    <row r="2">
      <c r="A2" t="inlineStr"/>
    </row>
    <row r="3">
      <c r="A3" t="inlineStr">
        <is>
          <t>Criterio de esta revisión (memo de estrategia, comprobación de falsación nº2):</t>
        </is>
      </c>
    </row>
    <row r="4">
      <c r="A4" t="inlineStr">
        <is>
          <t>el nivel es un indicador grueso, solo sirve para comprobar que la revista no</t>
        </is>
      </c>
    </row>
    <row r="5">
      <c r="A5" t="inlineStr">
        <is>
          <t>predice el resultado agrupado. No hace falta afinar: basta alto / medio / bajo.</t>
        </is>
      </c>
    </row>
    <row r="6">
      <c r="A6" t="inlineStr"/>
    </row>
    <row r="7">
      <c r="A7" t="inlineStr">
        <is>
          <t>alto   revista general o de infecciosas de primera línea (Nature Microbiology,</t>
        </is>
      </c>
    </row>
    <row r="8">
      <c r="A8" t="inlineStr">
        <is>
          <t xml:space="preserve">       Lancet Infect Dis, Clinical Infectious Diseases, Nature Communications…)</t>
        </is>
      </c>
    </row>
    <row r="9">
      <c r="A9" t="inlineStr">
        <is>
          <t>medio  revista especializada con revisión por pares (Viruses, Antibiotics,</t>
        </is>
      </c>
    </row>
    <row r="10">
      <c r="A10" t="inlineStr">
        <is>
          <t xml:space="preserve">       Antimicrob Agents Chemother, Frontiers…)</t>
        </is>
      </c>
    </row>
    <row r="11">
      <c r="A11" t="inlineStr">
        <is>
          <t>bajo   revista local, sin indexación reconocible o sin revisión por pares clara</t>
        </is>
      </c>
    </row>
    <row r="12">
      <c r="A12" t="inlineStr">
        <is>
          <t>solo registro   no es una revista: es una ficha de ensayo</t>
        </is>
      </c>
    </row>
    <row r="13">
      <c r="A13" t="inlineStr"/>
    </row>
    <row r="14">
      <c r="A14" t="inlineStr">
        <is>
          <t>Si duda, búsquela en scimagojr.com: Q1 y Q2 -&gt; alto o medio; Q3, Q4 o sin</t>
        </is>
      </c>
    </row>
    <row r="15">
      <c r="A15" t="inlineStr">
        <is>
          <t>cuartil -&gt; bajo. Anote la fuente en la última columna.</t>
        </is>
      </c>
    </row>
    <row r="16">
      <c r="A16" t="inlineStr"/>
    </row>
    <row r="17">
      <c r="A17" t="inlineStr">
        <is>
          <t>Las que ya traen nivel salen del corpus ya extraído de este proyecto. No las</t>
        </is>
      </c>
    </row>
    <row r="18">
      <c r="A18" t="inlineStr">
        <is>
          <t>cambie sin motivo: cambiarlas descuadra los 42 estudios ya codificados.</t>
        </is>
      </c>
    </row>
    <row r="19">
      <c r="A19" t="inlineStr"/>
    </row>
    <row r="20">
      <c r="A20" s="6" t="inlineStr">
        <is>
          <t>Revista</t>
        </is>
      </c>
      <c r="B20" s="6" t="inlineStr">
        <is>
          <t>Estudios</t>
        </is>
      </c>
      <c r="C20" s="6" t="inlineStr">
        <is>
          <t>Nivel</t>
        </is>
      </c>
      <c r="D20" s="6" t="inlineStr">
        <is>
          <t>Propuesta (confirmar)</t>
        </is>
      </c>
      <c r="E20" s="6" t="inlineStr">
        <is>
          <t>Fuente / nota</t>
        </is>
      </c>
    </row>
    <row r="21">
      <c r="A21" t="inlineStr">
        <is>
          <t>Antibiotics</t>
        </is>
      </c>
      <c r="B21" t="n">
        <v>9</v>
      </c>
      <c r="C21" t="inlineStr">
        <is>
          <t>medio</t>
        </is>
      </c>
      <c r="D21" t="inlineStr"/>
      <c r="E21" t="inlineStr">
        <is>
          <t>corpus del proyecto</t>
        </is>
      </c>
    </row>
    <row r="22">
      <c r="A22" t="inlineStr">
        <is>
          <t>Viruses</t>
        </is>
      </c>
      <c r="B22" t="n">
        <v>9</v>
      </c>
      <c r="C22" t="inlineStr">
        <is>
          <t>medio</t>
        </is>
      </c>
      <c r="D22" t="inlineStr"/>
      <c r="E22" t="inlineStr">
        <is>
          <t>corpus del proyecto</t>
        </is>
      </c>
    </row>
    <row r="23">
      <c r="A23" t="inlineStr">
        <is>
          <t>Nature Communications</t>
        </is>
      </c>
      <c r="B23" t="n">
        <v>8</v>
      </c>
      <c r="C23" t="inlineStr">
        <is>
          <t>alto</t>
        </is>
      </c>
      <c r="D23" t="inlineStr"/>
      <c r="E23" t="inlineStr">
        <is>
          <t>corpus del proyecto</t>
        </is>
      </c>
    </row>
    <row r="24">
      <c r="A24" t="inlineStr">
        <is>
          <t>Frontiers in medicine</t>
        </is>
      </c>
      <c r="B24" t="n">
        <v>6</v>
      </c>
      <c r="C24" t="inlineStr">
        <is>
          <t>medio</t>
        </is>
      </c>
      <c r="D24" t="inlineStr"/>
      <c r="E24" t="inlineStr">
        <is>
          <t>corpus del proyecto</t>
        </is>
      </c>
    </row>
    <row r="25">
      <c r="A25" t="inlineStr">
        <is>
          <t>Pirogov Russian Journal of Surgery</t>
        </is>
      </c>
      <c r="B25" t="n">
        <v>4</v>
      </c>
      <c r="C25" s="5" t="inlineStr"/>
      <c r="D25" t="inlineStr"/>
      <c r="E25" t="inlineStr">
        <is>
          <t>buscar en scimagojr.com</t>
        </is>
      </c>
    </row>
    <row r="26">
      <c r="A26" t="inlineStr">
        <is>
          <t>The international journal of lower extremity wounds</t>
        </is>
      </c>
      <c r="B26" t="n">
        <v>4</v>
      </c>
      <c r="C26" s="5" t="inlineStr"/>
      <c r="D26" t="inlineStr">
        <is>
          <t>medio</t>
        </is>
      </c>
      <c r="E26" t="inlineStr">
        <is>
          <t>propuesta: confirmar</t>
        </is>
      </c>
    </row>
    <row r="27">
      <c r="A27" t="inlineStr">
        <is>
          <t>International journal of antimicrobial agents</t>
        </is>
      </c>
      <c r="B27" t="n">
        <v>3</v>
      </c>
      <c r="C27" s="5" t="inlineStr"/>
      <c r="D27" t="inlineStr">
        <is>
          <t>medio</t>
        </is>
      </c>
      <c r="E27" t="inlineStr">
        <is>
          <t>propuesta: confirmar</t>
        </is>
      </c>
    </row>
    <row r="28">
      <c r="A28" t="inlineStr">
        <is>
          <t>Med (New York, N.Y.)</t>
        </is>
      </c>
      <c r="B28" t="n">
        <v>3</v>
      </c>
      <c r="C28" t="inlineStr">
        <is>
          <t>alto</t>
        </is>
      </c>
      <c r="D28" t="inlineStr"/>
      <c r="E28" t="inlineStr">
        <is>
          <t>corpus del proyecto</t>
        </is>
      </c>
    </row>
    <row r="29">
      <c r="A29" t="inlineStr">
        <is>
          <t>Open forum infectious diseases</t>
        </is>
      </c>
      <c r="B29" t="n">
        <v>3</v>
      </c>
      <c r="C29" t="inlineStr">
        <is>
          <t>medio</t>
        </is>
      </c>
      <c r="D29" t="inlineStr"/>
      <c r="E29" t="inlineStr">
        <is>
          <t>corpus del proyecto</t>
        </is>
      </c>
    </row>
    <row r="30">
      <c r="A30" t="inlineStr">
        <is>
          <t>The Lancet. Infectious diseases</t>
        </is>
      </c>
      <c r="B30" t="n">
        <v>3</v>
      </c>
      <c r="C30" t="inlineStr">
        <is>
          <t>alto</t>
        </is>
      </c>
      <c r="D30" t="inlineStr"/>
      <c r="E30" t="inlineStr">
        <is>
          <t>corpus del proyecto</t>
        </is>
      </c>
    </row>
    <row r="31">
      <c r="A31" t="inlineStr">
        <is>
          <t>Antimicrobial agents and chemotherapy</t>
        </is>
      </c>
      <c r="B31" t="n">
        <v>2</v>
      </c>
      <c r="C31" t="inlineStr">
        <is>
          <t>medio</t>
        </is>
      </c>
      <c r="D31" t="inlineStr"/>
      <c r="E31" t="inlineStr">
        <is>
          <t>corpus del proyecto</t>
        </is>
      </c>
    </row>
    <row r="32">
      <c r="A32" t="inlineStr">
        <is>
          <t>ASM case reports</t>
        </is>
      </c>
      <c r="B32" t="n">
        <v>2</v>
      </c>
      <c r="C32" t="inlineStr">
        <is>
          <t>medio</t>
        </is>
      </c>
      <c r="D32" t="inlineStr"/>
      <c r="E32" t="inlineStr">
        <is>
          <t>corpus del proyecto</t>
        </is>
      </c>
    </row>
    <row r="33">
      <c r="A33" t="inlineStr">
        <is>
          <t>Clinical infectious diseases : an official publication of the Infectious Diseases Society of America</t>
        </is>
      </c>
      <c r="B33" t="n">
        <v>2</v>
      </c>
      <c r="C33" t="inlineStr">
        <is>
          <t>alto</t>
        </is>
      </c>
      <c r="D33" t="inlineStr"/>
      <c r="E33" t="inlineStr">
        <is>
          <t>corpus del proyecto</t>
        </is>
      </c>
    </row>
    <row r="34">
      <c r="A34" t="inlineStr">
        <is>
          <t>Infektsionnye Bolezni</t>
        </is>
      </c>
      <c r="B34" t="n">
        <v>2</v>
      </c>
      <c r="C34" s="5" t="inlineStr"/>
      <c r="D34" t="inlineStr"/>
      <c r="E34" t="inlineStr">
        <is>
          <t>buscar en scimagojr.com</t>
        </is>
      </c>
    </row>
    <row r="35">
      <c r="A35" t="inlineStr">
        <is>
          <t>International journal of infectious diseases : IJID : official publication of the International Society for Infectious Diseases</t>
        </is>
      </c>
      <c r="B35" t="n">
        <v>2</v>
      </c>
      <c r="C35" t="inlineStr">
        <is>
          <t>medio</t>
        </is>
      </c>
      <c r="D35" t="inlineStr"/>
      <c r="E35" t="inlineStr">
        <is>
          <t>corpus del proyecto</t>
        </is>
      </c>
    </row>
    <row r="36">
      <c r="A36" t="inlineStr">
        <is>
          <t>JAC-antimicrobial resistance</t>
        </is>
      </c>
      <c r="B36" t="n">
        <v>2</v>
      </c>
      <c r="C36" s="5" t="inlineStr"/>
      <c r="D36" t="inlineStr">
        <is>
          <t>medio</t>
        </is>
      </c>
      <c r="E36" t="inlineStr">
        <is>
          <t>propuesta: confirmar</t>
        </is>
      </c>
    </row>
    <row r="37">
      <c r="A37" t="inlineStr">
        <is>
          <t>Scientific reports</t>
        </is>
      </c>
      <c r="B37" t="n">
        <v>2</v>
      </c>
      <c r="C37" t="inlineStr">
        <is>
          <t>alto</t>
        </is>
      </c>
      <c r="D37" t="inlineStr"/>
      <c r="E37" t="inlineStr">
        <is>
          <t>corpus del proyecto</t>
        </is>
      </c>
    </row>
    <row r="38">
      <c r="A38" t="inlineStr">
        <is>
          <t>The Journal of heart and lung transplantation : the official publication of the International Society for Heart Transplantation</t>
        </is>
      </c>
      <c r="B38" t="n">
        <v>2</v>
      </c>
      <c r="C38" s="5" t="inlineStr"/>
      <c r="D38" t="inlineStr">
        <is>
          <t>alto</t>
        </is>
      </c>
      <c r="E38" t="inlineStr">
        <is>
          <t>propuesta: confirmar</t>
        </is>
      </c>
    </row>
    <row r="39">
      <c r="A39" t="inlineStr">
        <is>
          <t>American journal of respiratory and critical care medicine</t>
        </is>
      </c>
      <c r="B39" t="n">
        <v>1</v>
      </c>
      <c r="C39" t="inlineStr">
        <is>
          <t>alto</t>
        </is>
      </c>
      <c r="D39" t="inlineStr"/>
      <c r="E39" t="inlineStr">
        <is>
          <t>corpus del proyecto</t>
        </is>
      </c>
    </row>
    <row r="40">
      <c r="A40" t="inlineStr">
        <is>
          <t>American journal of transplantation : official journal of the American Society of Transplantation and the American Society of Transplant Surgeons</t>
        </is>
      </c>
      <c r="B40" t="n">
        <v>1</v>
      </c>
      <c r="C40" t="inlineStr">
        <is>
          <t>alto</t>
        </is>
      </c>
      <c r="D40" t="inlineStr"/>
      <c r="E40" t="inlineStr">
        <is>
          <t>corpus del proyecto</t>
        </is>
      </c>
    </row>
    <row r="41">
      <c r="A41" t="inlineStr">
        <is>
          <t>Annals of Vascular Surgery - Brief Reports and Innovations</t>
        </is>
      </c>
      <c r="B41" t="n">
        <v>1</v>
      </c>
      <c r="C41" s="5" t="inlineStr"/>
      <c r="D41" t="inlineStr">
        <is>
          <t>medio</t>
        </is>
      </c>
      <c r="E41" t="inlineStr">
        <is>
          <t>propuesta: confirmar</t>
        </is>
      </c>
    </row>
    <row r="42">
      <c r="A42" t="inlineStr">
        <is>
          <t>Biomedicines</t>
        </is>
      </c>
      <c r="B42" t="n">
        <v>1</v>
      </c>
      <c r="C42" s="5" t="inlineStr"/>
      <c r="D42" t="inlineStr">
        <is>
          <t>medio</t>
        </is>
      </c>
      <c r="E42" t="inlineStr">
        <is>
          <t>propuesta: confirmar</t>
        </is>
      </c>
    </row>
    <row r="43">
      <c r="A43" t="inlineStr">
        <is>
          <t>Bioscience trends</t>
        </is>
      </c>
      <c r="B43" t="n">
        <v>1</v>
      </c>
      <c r="C43" t="inlineStr">
        <is>
          <t>medio</t>
        </is>
      </c>
      <c r="D43" t="inlineStr"/>
      <c r="E43" t="inlineStr">
        <is>
          <t>corpus del proyecto</t>
        </is>
      </c>
    </row>
    <row r="44">
      <c r="A44" t="inlineStr">
        <is>
          <t>BMJ open</t>
        </is>
      </c>
      <c r="B44" t="n">
        <v>1</v>
      </c>
      <c r="C44" s="5" t="inlineStr"/>
      <c r="D44" t="inlineStr">
        <is>
          <t>medio</t>
        </is>
      </c>
      <c r="E44" t="inlineStr">
        <is>
          <t>propuesta: confirmar</t>
        </is>
      </c>
    </row>
    <row r="45">
      <c r="A45" t="inlineStr">
        <is>
          <t>BMJ open respiratory research</t>
        </is>
      </c>
      <c r="B45" t="n">
        <v>1</v>
      </c>
      <c r="C45" s="5" t="inlineStr"/>
      <c r="D45" t="inlineStr">
        <is>
          <t>medio</t>
        </is>
      </c>
      <c r="E45" t="inlineStr">
        <is>
          <t>propuesta: confirmar</t>
        </is>
      </c>
    </row>
    <row r="46">
      <c r="A46" t="inlineStr">
        <is>
          <t>Clinical Medicine Insights: Case Reports</t>
        </is>
      </c>
      <c r="B46" t="n">
        <v>1</v>
      </c>
      <c r="C46" s="5" t="inlineStr"/>
      <c r="D46" t="inlineStr">
        <is>
          <t>bajo</t>
        </is>
      </c>
      <c r="E46" t="inlineStr">
        <is>
          <t>propuesta: confirmar</t>
        </is>
      </c>
    </row>
    <row r="47">
      <c r="A47" t="inlineStr">
        <is>
          <t>Critical care (London, England)</t>
        </is>
      </c>
      <c r="B47" t="n">
        <v>1</v>
      </c>
      <c r="C47" t="inlineStr">
        <is>
          <t>alto</t>
        </is>
      </c>
      <c r="D47" t="inlineStr"/>
      <c r="E47" t="inlineStr">
        <is>
          <t>corpus del proyecto</t>
        </is>
      </c>
    </row>
    <row r="48">
      <c r="A48" t="inlineStr">
        <is>
          <t>Cureus</t>
        </is>
      </c>
      <c r="B48" t="n">
        <v>1</v>
      </c>
      <c r="C48" s="5" t="inlineStr"/>
      <c r="D48" t="inlineStr">
        <is>
          <t>bajo</t>
        </is>
      </c>
      <c r="E48" t="inlineStr">
        <is>
          <t>propuesta: confirmar</t>
        </is>
      </c>
    </row>
    <row r="49">
      <c r="A49" t="inlineStr">
        <is>
          <t>Current opinion in infectious diseases</t>
        </is>
      </c>
      <c r="B49" t="n">
        <v>1</v>
      </c>
      <c r="C49" s="5" t="inlineStr"/>
      <c r="D49" t="inlineStr"/>
      <c r="E49" t="inlineStr">
        <is>
          <t>buscar en scimagojr.com</t>
        </is>
      </c>
    </row>
    <row r="50">
      <c r="A50" t="inlineStr">
        <is>
          <t>Current Urology</t>
        </is>
      </c>
      <c r="B50" t="n">
        <v>1</v>
      </c>
      <c r="C50" s="5" t="inlineStr"/>
      <c r="D50" t="inlineStr">
        <is>
          <t>medio</t>
        </is>
      </c>
      <c r="E50" t="inlineStr">
        <is>
          <t>propuesta: confirmar</t>
        </is>
      </c>
    </row>
    <row r="51">
      <c r="A51" t="inlineStr">
        <is>
          <t>EMBO molecular medicine</t>
        </is>
      </c>
      <c r="B51" t="n">
        <v>1</v>
      </c>
      <c r="C51" t="inlineStr">
        <is>
          <t>medio</t>
        </is>
      </c>
      <c r="D51" t="inlineStr"/>
      <c r="E51" t="inlineStr">
        <is>
          <t>corpus del proyecto</t>
        </is>
      </c>
    </row>
    <row r="52">
      <c r="A52" t="inlineStr">
        <is>
          <t>Enfermedades Infecciosas y Microbiologia Clinica</t>
        </is>
      </c>
      <c r="B52" t="n">
        <v>1</v>
      </c>
      <c r="C52" s="5" t="inlineStr"/>
      <c r="D52" t="inlineStr">
        <is>
          <t>medio</t>
        </is>
      </c>
      <c r="E52" t="inlineStr">
        <is>
          <t>propuesta: confirmar</t>
        </is>
      </c>
    </row>
    <row r="53">
      <c r="A53" t="inlineStr">
        <is>
          <t>Europace : European pacing, arrhythmias, and cardiac electrophysiology : journal of the working groups on cardiac pacing, arrhythmias, and cardiac cellular electrophysiology of the European Society of Cardiology</t>
        </is>
      </c>
      <c r="B53" t="n">
        <v>1</v>
      </c>
      <c r="C53" s="5" t="inlineStr"/>
      <c r="D53" t="inlineStr">
        <is>
          <t>alto</t>
        </is>
      </c>
      <c r="E53" t="inlineStr">
        <is>
          <t>propuesta: confirmar</t>
        </is>
      </c>
    </row>
    <row r="54">
      <c r="A54" t="inlineStr">
        <is>
          <t>European journal of cardio-thoracic surgery : official journal of the European Association for Cardio-thoracic Surgery</t>
        </is>
      </c>
      <c r="B54" t="n">
        <v>1</v>
      </c>
      <c r="C54" s="5" t="inlineStr"/>
      <c r="D54" t="inlineStr">
        <is>
          <t>alto</t>
        </is>
      </c>
      <c r="E54" t="inlineStr">
        <is>
          <t>propuesta: confirmar</t>
        </is>
      </c>
    </row>
    <row r="55">
      <c r="A55" t="inlineStr">
        <is>
          <t>European urology, supplements</t>
        </is>
      </c>
      <c r="B55" t="n">
        <v>1</v>
      </c>
      <c r="C55" s="5" t="inlineStr"/>
      <c r="D55" t="inlineStr">
        <is>
          <t>medio</t>
        </is>
      </c>
      <c r="E55" t="inlineStr">
        <is>
          <t>propuesta: confirmar</t>
        </is>
      </c>
    </row>
    <row r="56">
      <c r="A56" t="inlineStr">
        <is>
          <t>Evolution, medicine, and public health</t>
        </is>
      </c>
      <c r="B56" t="n">
        <v>1</v>
      </c>
      <c r="C56" t="inlineStr">
        <is>
          <t>medio</t>
        </is>
      </c>
      <c r="D56" t="inlineStr"/>
      <c r="E56" t="inlineStr">
        <is>
          <t>corpus del proyecto</t>
        </is>
      </c>
    </row>
    <row r="57">
      <c r="A57" t="inlineStr">
        <is>
          <t>Folia microbiologica</t>
        </is>
      </c>
      <c r="B57" t="n">
        <v>1</v>
      </c>
      <c r="C57" s="5" t="inlineStr"/>
      <c r="D57" t="inlineStr">
        <is>
          <t>medio</t>
        </is>
      </c>
      <c r="E57" t="inlineStr">
        <is>
          <t>propuesta: confirmar</t>
        </is>
      </c>
    </row>
    <row r="58">
      <c r="A58" t="inlineStr">
        <is>
          <t>Frontiers in cellular and infection microbiology</t>
        </is>
      </c>
      <c r="B58" t="n">
        <v>1</v>
      </c>
      <c r="C58" s="5" t="inlineStr"/>
      <c r="D58" t="inlineStr">
        <is>
          <t>medio</t>
        </is>
      </c>
      <c r="E58" t="inlineStr">
        <is>
          <t>propuesta: confirmar</t>
        </is>
      </c>
    </row>
    <row r="59">
      <c r="A59" t="inlineStr">
        <is>
          <t>Frontiers in microbiology</t>
        </is>
      </c>
      <c r="B59" t="n">
        <v>1</v>
      </c>
      <c r="C59" s="5" t="inlineStr"/>
      <c r="D59" t="inlineStr">
        <is>
          <t>medio</t>
        </is>
      </c>
      <c r="E59" t="inlineStr">
        <is>
          <t>propuesta: confirmar</t>
        </is>
      </c>
    </row>
    <row r="60">
      <c r="A60" t="inlineStr">
        <is>
          <t>Frontiers in pharmacology</t>
        </is>
      </c>
      <c r="B60" t="n">
        <v>1</v>
      </c>
      <c r="C60" s="5" t="inlineStr"/>
      <c r="D60" t="inlineStr">
        <is>
          <t>medio</t>
        </is>
      </c>
      <c r="E60" t="inlineStr">
        <is>
          <t>propuesta: confirmar</t>
        </is>
      </c>
    </row>
    <row r="61">
      <c r="A61" t="inlineStr">
        <is>
          <t>Future microbiology</t>
        </is>
      </c>
      <c r="B61" t="n">
        <v>1</v>
      </c>
      <c r="C61" s="5" t="inlineStr"/>
      <c r="D61" t="inlineStr">
        <is>
          <t>medio</t>
        </is>
      </c>
      <c r="E61" t="inlineStr">
        <is>
          <t>propuesta: confirmar</t>
        </is>
      </c>
    </row>
    <row r="62">
      <c r="A62" t="inlineStr">
        <is>
          <t>hLife</t>
        </is>
      </c>
      <c r="B62" t="n">
        <v>1</v>
      </c>
      <c r="C62" t="inlineStr">
        <is>
          <t>medio</t>
        </is>
      </c>
      <c r="D62" t="inlineStr"/>
      <c r="E62" t="inlineStr">
        <is>
          <t>corpus del proyecto</t>
        </is>
      </c>
    </row>
    <row r="63">
      <c r="A63" t="inlineStr">
        <is>
          <t>Indian Journal of Critical Care Medicine</t>
        </is>
      </c>
      <c r="B63" t="n">
        <v>1</v>
      </c>
      <c r="C63" s="5" t="inlineStr"/>
      <c r="D63" t="inlineStr"/>
      <c r="E63" t="inlineStr">
        <is>
          <t>buscar en scimagojr.com</t>
        </is>
      </c>
    </row>
    <row r="64">
      <c r="A64" t="inlineStr">
        <is>
          <t>Infection</t>
        </is>
      </c>
      <c r="B64" t="n">
        <v>1</v>
      </c>
      <c r="C64" t="inlineStr">
        <is>
          <t>medio</t>
        </is>
      </c>
      <c r="D64" t="inlineStr"/>
      <c r="E64" t="inlineStr">
        <is>
          <t>corpus del proyecto</t>
        </is>
      </c>
    </row>
    <row r="65">
      <c r="A65" t="inlineStr">
        <is>
          <t>Infection and drug resistance</t>
        </is>
      </c>
      <c r="B65" t="n">
        <v>1</v>
      </c>
      <c r="C65" t="inlineStr">
        <is>
          <t>medio</t>
        </is>
      </c>
      <c r="D65" t="inlineStr"/>
      <c r="E65" t="inlineStr">
        <is>
          <t>corpus del proyecto</t>
        </is>
      </c>
    </row>
    <row r="66">
      <c r="A66" t="inlineStr">
        <is>
          <t>International journal of diabetes in developing countries</t>
        </is>
      </c>
      <c r="B66" t="n">
        <v>1</v>
      </c>
      <c r="C66" s="5" t="inlineStr"/>
      <c r="D66" t="inlineStr">
        <is>
          <t>bajo</t>
        </is>
      </c>
      <c r="E66" t="inlineStr">
        <is>
          <t>propuesta: confirmar</t>
        </is>
      </c>
    </row>
    <row r="67">
      <c r="A67" t="inlineStr">
        <is>
          <t>International journal of molecular sciences</t>
        </is>
      </c>
      <c r="B67" t="n">
        <v>1</v>
      </c>
      <c r="C67" s="5" t="inlineStr"/>
      <c r="D67" t="inlineStr">
        <is>
          <t>medio</t>
        </is>
      </c>
      <c r="E67" t="inlineStr">
        <is>
          <t>propuesta: confirmar</t>
        </is>
      </c>
    </row>
    <row r="68">
      <c r="A68" t="inlineStr">
        <is>
          <t>International Journal of Pediatrics and Adolescent Medicine</t>
        </is>
      </c>
      <c r="B68" t="n">
        <v>1</v>
      </c>
      <c r="C68" s="5" t="inlineStr"/>
      <c r="D68" t="inlineStr">
        <is>
          <t>bajo</t>
        </is>
      </c>
      <c r="E68" t="inlineStr">
        <is>
          <t>propuesta: confirmar</t>
        </is>
      </c>
    </row>
    <row r="69">
      <c r="A69" t="inlineStr">
        <is>
          <t>JAAD Case Reports</t>
        </is>
      </c>
      <c r="B69" t="n">
        <v>1</v>
      </c>
      <c r="C69" s="5" t="inlineStr"/>
      <c r="D69" t="inlineStr">
        <is>
          <t>medio</t>
        </is>
      </c>
      <c r="E69" t="inlineStr">
        <is>
          <t>propuesta: confirmar</t>
        </is>
      </c>
    </row>
    <row r="70">
      <c r="A70" t="inlineStr">
        <is>
          <t>Journal of chemotherapy (Florence, Italy)</t>
        </is>
      </c>
      <c r="B70" t="n">
        <v>1</v>
      </c>
      <c r="C70" s="5" t="inlineStr"/>
      <c r="D70" t="inlineStr">
        <is>
          <t>medio</t>
        </is>
      </c>
      <c r="E70" t="inlineStr">
        <is>
          <t>propuesta: confirmar</t>
        </is>
      </c>
    </row>
    <row r="71">
      <c r="A71" t="inlineStr">
        <is>
          <t>Journal of cystic fibrosis</t>
        </is>
      </c>
      <c r="B71" t="n">
        <v>1</v>
      </c>
      <c r="C71" s="5" t="inlineStr"/>
      <c r="D71" t="inlineStr">
        <is>
          <t>alto</t>
        </is>
      </c>
      <c r="E71" t="inlineStr">
        <is>
          <t>propuesta: confirmar</t>
        </is>
      </c>
    </row>
    <row r="72">
      <c r="A72" t="inlineStr">
        <is>
          <t>Journal of Drug Delivery Science and Technology</t>
        </is>
      </c>
      <c r="B72" t="n">
        <v>1</v>
      </c>
      <c r="C72" s="5" t="inlineStr"/>
      <c r="D72" t="inlineStr">
        <is>
          <t>medio</t>
        </is>
      </c>
      <c r="E72" t="inlineStr">
        <is>
          <t>propuesta: confirmar</t>
        </is>
      </c>
    </row>
    <row r="73">
      <c r="A73" t="inlineStr">
        <is>
          <t>Journal of infection and chemotherapy : official journal of the Japan Society of Chemotherapy</t>
        </is>
      </c>
      <c r="B73" t="n">
        <v>1</v>
      </c>
      <c r="C73" s="5" t="inlineStr"/>
      <c r="D73" t="inlineStr">
        <is>
          <t>medio</t>
        </is>
      </c>
      <c r="E73" t="inlineStr">
        <is>
          <t>propuesta: confirmar</t>
        </is>
      </c>
    </row>
    <row r="74">
      <c r="A74" t="inlineStr">
        <is>
          <t>Journal of investigative medicine high impact case reports</t>
        </is>
      </c>
      <c r="B74" t="n">
        <v>1</v>
      </c>
      <c r="C74" t="inlineStr">
        <is>
          <t>medio</t>
        </is>
      </c>
      <c r="D74" t="inlineStr"/>
      <c r="E74" t="inlineStr">
        <is>
          <t>corpus del proyecto</t>
        </is>
      </c>
    </row>
    <row r="75">
      <c r="A75" t="inlineStr">
        <is>
          <t>Journal of Plastic, Reconstructive and Aesthetic Surgery</t>
        </is>
      </c>
      <c r="B75" t="n">
        <v>1</v>
      </c>
      <c r="C75" s="5" t="inlineStr"/>
      <c r="D75" t="inlineStr">
        <is>
          <t>medio</t>
        </is>
      </c>
      <c r="E75" t="inlineStr">
        <is>
          <t>propuesta: confirmar</t>
        </is>
      </c>
    </row>
    <row r="76">
      <c r="A76" t="inlineStr">
        <is>
          <t>Journal of the Pediatric Infectious Diseases Society</t>
        </is>
      </c>
      <c r="B76" t="n">
        <v>1</v>
      </c>
      <c r="C76" t="inlineStr">
        <is>
          <t>medio</t>
        </is>
      </c>
      <c r="D76" t="inlineStr"/>
      <c r="E76" t="inlineStr">
        <is>
          <t>corpus del proyecto</t>
        </is>
      </c>
    </row>
    <row r="77">
      <c r="A77" t="inlineStr">
        <is>
          <t>Medical Immunology (Russia)</t>
        </is>
      </c>
      <c r="B77" t="n">
        <v>1</v>
      </c>
      <c r="C77" s="5" t="inlineStr"/>
      <c r="D77" t="inlineStr"/>
      <c r="E77" t="inlineStr">
        <is>
          <t>buscar en scimagojr.com</t>
        </is>
      </c>
    </row>
    <row r="78">
      <c r="A78" t="inlineStr">
        <is>
          <t>Medicine in Microecology</t>
        </is>
      </c>
      <c r="B78" t="n">
        <v>1</v>
      </c>
      <c r="C78" s="5" t="inlineStr"/>
      <c r="D78" t="inlineStr">
        <is>
          <t>bajo</t>
        </is>
      </c>
      <c r="E78" t="inlineStr">
        <is>
          <t>propuesta: confirmar</t>
        </is>
      </c>
    </row>
    <row r="79">
      <c r="A79" t="inlineStr">
        <is>
          <t>Methods in molecular biology (Clifton, N.J.)</t>
        </is>
      </c>
      <c r="B79" t="n">
        <v>1</v>
      </c>
      <c r="C79" s="5" t="inlineStr"/>
      <c r="D79" t="inlineStr">
        <is>
          <t>no aplica (serie de libros)</t>
        </is>
      </c>
      <c r="E79" t="inlineStr">
        <is>
          <t>propuesta: confirmar</t>
        </is>
      </c>
    </row>
    <row r="80">
      <c r="A80" t="inlineStr">
        <is>
          <t>Microbial biotechnology</t>
        </is>
      </c>
      <c r="B80" t="n">
        <v>1</v>
      </c>
      <c r="C80" t="inlineStr">
        <is>
          <t>medio</t>
        </is>
      </c>
      <c r="D80" t="inlineStr"/>
      <c r="E80" t="inlineStr">
        <is>
          <t>corpus del proyecto</t>
        </is>
      </c>
    </row>
    <row r="81">
      <c r="A81" t="inlineStr">
        <is>
          <t>mLife</t>
        </is>
      </c>
      <c r="B81" t="n">
        <v>1</v>
      </c>
      <c r="C81" t="inlineStr">
        <is>
          <t>medio</t>
        </is>
      </c>
      <c r="D81" t="inlineStr"/>
      <c r="E81" t="inlineStr">
        <is>
          <t>corpus del proyecto</t>
        </is>
      </c>
    </row>
    <row r="82">
      <c r="A82" t="inlineStr">
        <is>
          <t>Nature medicine</t>
        </is>
      </c>
      <c r="B82" t="n">
        <v>1</v>
      </c>
      <c r="C82" t="inlineStr">
        <is>
          <t>alto</t>
        </is>
      </c>
      <c r="D82" t="inlineStr"/>
      <c r="E82" t="inlineStr">
        <is>
          <t>corpus del proyecto</t>
        </is>
      </c>
    </row>
    <row r="83">
      <c r="A83" t="inlineStr">
        <is>
          <t>Nature microbiology</t>
        </is>
      </c>
      <c r="B83" t="n">
        <v>1</v>
      </c>
      <c r="C83" t="inlineStr">
        <is>
          <t>alto</t>
        </is>
      </c>
      <c r="D83" t="inlineStr"/>
      <c r="E83" t="inlineStr">
        <is>
          <t>corpus del proyecto</t>
        </is>
      </c>
    </row>
    <row r="84">
      <c r="A84" t="inlineStr">
        <is>
          <t>Nephrology dialysis transplantation</t>
        </is>
      </c>
      <c r="B84" t="n">
        <v>1</v>
      </c>
      <c r="C84" s="5" t="inlineStr"/>
      <c r="D84" t="inlineStr">
        <is>
          <t>alto</t>
        </is>
      </c>
      <c r="E84" t="inlineStr">
        <is>
          <t>propuesta: confirmar</t>
        </is>
      </c>
    </row>
    <row r="85">
      <c r="A85" t="inlineStr">
        <is>
          <t>Otolaryngologia polska = The Polish otolaryngology</t>
        </is>
      </c>
      <c r="B85" t="n">
        <v>1</v>
      </c>
      <c r="C85" s="5" t="inlineStr"/>
      <c r="D85" t="inlineStr"/>
      <c r="E85" t="inlineStr">
        <is>
          <t>buscar en scimagojr.com</t>
        </is>
      </c>
    </row>
    <row r="86">
      <c r="A86" t="inlineStr">
        <is>
          <t>Otology &amp; neurotology : official publication of the American Otological Society, American Neurotology Society [and] European Academy of Otology and Neurotology</t>
        </is>
      </c>
      <c r="B86" t="n">
        <v>1</v>
      </c>
      <c r="C86" t="inlineStr">
        <is>
          <t>medio</t>
        </is>
      </c>
      <c r="D86" t="inlineStr"/>
      <c r="E86" t="inlineStr">
        <is>
          <t>corpus del proyecto</t>
        </is>
      </c>
    </row>
    <row r="87">
      <c r="A87" t="inlineStr">
        <is>
          <t>PHAGE: Therapy, Applications, and Research</t>
        </is>
      </c>
      <c r="B87" t="n">
        <v>1</v>
      </c>
      <c r="C87" s="5" t="inlineStr"/>
      <c r="D87" t="inlineStr">
        <is>
          <t>medio</t>
        </is>
      </c>
      <c r="E87" t="inlineStr">
        <is>
          <t>propuesta: confirmar</t>
        </is>
      </c>
    </row>
    <row r="88">
      <c r="A88" t="inlineStr">
        <is>
          <t>Revista Cubana de Angiología y Cirugía Vascular</t>
        </is>
      </c>
      <c r="B88" t="n">
        <v>1</v>
      </c>
      <c r="C88" s="5" t="inlineStr"/>
      <c r="D88" t="inlineStr"/>
      <c r="E88" t="inlineStr">
        <is>
          <t>buscar en scimagojr.com</t>
        </is>
      </c>
    </row>
    <row r="89">
      <c r="A89" t="inlineStr">
        <is>
          <t>Surgical Chronicles</t>
        </is>
      </c>
      <c r="B89" t="n">
        <v>1</v>
      </c>
      <c r="C89" s="5" t="inlineStr"/>
      <c r="D89" t="inlineStr"/>
      <c r="E89" t="inlineStr">
        <is>
          <t>buscar en scimagojr.com</t>
        </is>
      </c>
    </row>
    <row r="90">
      <c r="A90" t="inlineStr">
        <is>
          <t>The Journal of antimicrobial chemotherapy</t>
        </is>
      </c>
      <c r="B90" t="n">
        <v>1</v>
      </c>
      <c r="C90" t="inlineStr">
        <is>
          <t>medio</t>
        </is>
      </c>
      <c r="D90" t="inlineStr"/>
      <c r="E90" t="inlineStr">
        <is>
          <t>corpus del proyecto</t>
        </is>
      </c>
    </row>
    <row r="91">
      <c r="A91" t="inlineStr">
        <is>
          <t>The Journal of pediatrics</t>
        </is>
      </c>
      <c r="B91" t="n">
        <v>1</v>
      </c>
      <c r="C91" t="inlineStr">
        <is>
          <t>alto</t>
        </is>
      </c>
      <c r="D91" t="inlineStr"/>
      <c r="E91" t="inlineStr">
        <is>
          <t>corpus del proyecto</t>
        </is>
      </c>
    </row>
    <row r="92">
      <c r="A92" t="inlineStr">
        <is>
          <t>Trials</t>
        </is>
      </c>
      <c r="B92" t="n">
        <v>1</v>
      </c>
      <c r="C92" s="5" t="inlineStr"/>
      <c r="D92" t="inlineStr">
        <is>
          <t>medio</t>
        </is>
      </c>
      <c r="E92" t="inlineStr">
        <is>
          <t>propuesta: confirmar</t>
        </is>
      </c>
    </row>
    <row r="93">
      <c r="A93" t="inlineStr">
        <is>
          <t>Virus research</t>
        </is>
      </c>
      <c r="B93" t="n">
        <v>1</v>
      </c>
      <c r="C93" s="5" t="inlineStr"/>
      <c r="D93" t="inlineStr">
        <is>
          <t>medio</t>
        </is>
      </c>
      <c r="E93" t="inlineStr">
        <is>
          <t>propuesta: confirmar</t>
        </is>
      </c>
    </row>
    <row r="94">
      <c r="A94" t="inlineStr">
        <is>
          <t>Wiadomosci lekarskie (Warsaw, Poland : 1960)</t>
        </is>
      </c>
      <c r="B94" t="n">
        <v>1</v>
      </c>
      <c r="C94" s="5" t="inlineStr"/>
      <c r="D94" t="inlineStr"/>
      <c r="E94" t="inlineStr">
        <is>
          <t>buscar en scimagojr.com</t>
        </is>
      </c>
    </row>
  </sheetData>
  <dataValidations count="1">
    <dataValidation sqref="C21:C94" showDropDown="0" showInputMessage="0" showErrorMessage="0" allowBlank="1" type="list">
      <formula1>"alto,medio,bajo,solo registro"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29"/>
  <sheetViews>
    <sheetView workbookViewId="0">
      <selection activeCell="A1" sqref="A1"/>
    </sheetView>
  </sheetViews>
  <sheetFormatPr baseColWidth="8" defaultRowHeight="15"/>
  <cols>
    <col width="30" customWidth="1" min="1" max="1"/>
    <col width="20" customWidth="1" min="2" max="2"/>
    <col width="48" customWidth="1" min="3" max="3"/>
  </cols>
  <sheetData>
    <row r="1">
      <c r="A1" s="6" t="inlineStr">
        <is>
          <t>País</t>
        </is>
      </c>
      <c r="B1" s="6" t="inlineStr">
        <is>
          <t>Nivel de revista</t>
        </is>
      </c>
      <c r="C1" s="6" t="inlineStr">
        <is>
          <t>Motivo si quedó incompleto</t>
        </is>
      </c>
    </row>
    <row r="2">
      <c r="A2" t="inlineStr">
        <is>
          <t>Alemania</t>
        </is>
      </c>
      <c r="B2" t="inlineStr">
        <is>
          <t>alto</t>
        </is>
      </c>
      <c r="C2" t="inlineStr">
        <is>
          <t>NA</t>
        </is>
      </c>
    </row>
    <row r="3">
      <c r="A3" t="inlineStr">
        <is>
          <t>Australia</t>
        </is>
      </c>
      <c r="B3" t="inlineStr">
        <is>
          <t>medio</t>
        </is>
      </c>
      <c r="C3" t="inlineStr">
        <is>
          <t>texto completo no accesible</t>
        </is>
      </c>
    </row>
    <row r="4">
      <c r="A4" t="inlineStr">
        <is>
          <t>Bélgica</t>
        </is>
      </c>
      <c r="B4" t="inlineStr">
        <is>
          <t>bajo</t>
        </is>
      </c>
      <c r="C4" t="inlineStr">
        <is>
          <t>el artículo no separa los datos de P. aeruginosa</t>
        </is>
      </c>
    </row>
    <row r="5">
      <c r="A5" t="inlineStr">
        <is>
          <t>Canadá</t>
        </is>
      </c>
      <c r="B5" t="inlineStr">
        <is>
          <t>solo registro</t>
        </is>
      </c>
      <c r="C5" t="inlineStr">
        <is>
          <t>el artículo no reporta este desenlace</t>
        </is>
      </c>
    </row>
    <row r="6">
      <c r="A6" t="inlineStr">
        <is>
          <t>China</t>
        </is>
      </c>
      <c r="C6" t="inlineStr">
        <is>
          <t>solo resumen de congreso: datos limitados</t>
        </is>
      </c>
    </row>
    <row r="7">
      <c r="A7" t="inlineStr">
        <is>
          <t>Corea del Sur</t>
        </is>
      </c>
      <c r="C7" t="inlineStr">
        <is>
          <t>datos solo del estudio entero, no por brazo</t>
        </is>
      </c>
    </row>
    <row r="8">
      <c r="A8" t="inlineStr">
        <is>
          <t>Dinamarca</t>
        </is>
      </c>
      <c r="C8" t="inlineStr">
        <is>
          <t>el antibiograma no permite clasificar la resistencia</t>
        </is>
      </c>
    </row>
    <row r="9">
      <c r="A9" t="inlineStr">
        <is>
          <t>Ecuador</t>
        </is>
      </c>
      <c r="C9" t="inlineStr">
        <is>
          <t>otro (explicar al lado)</t>
        </is>
      </c>
    </row>
    <row r="10">
      <c r="A10" t="inlineStr">
        <is>
          <t>España</t>
        </is>
      </c>
    </row>
    <row r="11">
      <c r="A11" t="inlineStr">
        <is>
          <t>Estados Unidos</t>
        </is>
      </c>
    </row>
    <row r="12">
      <c r="A12" t="inlineStr">
        <is>
          <t>Francia</t>
        </is>
      </c>
    </row>
    <row r="13">
      <c r="A13" t="inlineStr">
        <is>
          <t>Georgia</t>
        </is>
      </c>
    </row>
    <row r="14">
      <c r="A14" t="inlineStr">
        <is>
          <t>India</t>
        </is>
      </c>
    </row>
    <row r="15">
      <c r="A15" t="inlineStr">
        <is>
          <t>Irán</t>
        </is>
      </c>
    </row>
    <row r="16">
      <c r="A16" t="inlineStr">
        <is>
          <t>Israel</t>
        </is>
      </c>
    </row>
    <row r="17">
      <c r="A17" t="inlineStr">
        <is>
          <t>Italia</t>
        </is>
      </c>
    </row>
    <row r="18">
      <c r="A18" t="inlineStr">
        <is>
          <t>Japón</t>
        </is>
      </c>
    </row>
    <row r="19">
      <c r="A19" t="inlineStr">
        <is>
          <t>Letonia</t>
        </is>
      </c>
    </row>
    <row r="20">
      <c r="A20" t="inlineStr">
        <is>
          <t>Países Bajos</t>
        </is>
      </c>
    </row>
    <row r="21">
      <c r="A21" t="inlineStr">
        <is>
          <t>Polonia</t>
        </is>
      </c>
    </row>
    <row r="22">
      <c r="A22" t="inlineStr">
        <is>
          <t>Reino Unido</t>
        </is>
      </c>
    </row>
    <row r="23">
      <c r="A23" t="inlineStr">
        <is>
          <t>Rusia</t>
        </is>
      </c>
    </row>
    <row r="24">
      <c r="A24" t="inlineStr">
        <is>
          <t>Singapur</t>
        </is>
      </c>
    </row>
    <row r="25">
      <c r="A25" t="inlineStr">
        <is>
          <t>Suiza</t>
        </is>
      </c>
    </row>
    <row r="26">
      <c r="A26" t="inlineStr">
        <is>
          <t>Turquía</t>
        </is>
      </c>
    </row>
    <row r="27">
      <c r="A27" t="inlineStr">
        <is>
          <t>multicéntrico (Europa)</t>
        </is>
      </c>
    </row>
    <row r="28">
      <c r="A28" t="inlineStr">
        <is>
          <t>multicéntrico (internacional)</t>
        </is>
      </c>
    </row>
    <row r="29">
      <c r="A29" t="inlineStr">
        <is>
          <t>otro</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4"/>
  <sheetViews>
    <sheetView workbookViewId="0">
      <selection activeCell="A1" sqref="A1"/>
    </sheetView>
  </sheetViews>
  <sheetFormatPr baseColWidth="8" defaultRowHeight="15"/>
  <cols>
    <col width="38" customWidth="1" min="1" max="1"/>
    <col width="86" customWidth="1" min="2" max="2"/>
    <col width="52" customWidth="1" min="3" max="3"/>
  </cols>
  <sheetData>
    <row r="1">
      <c r="A1" s="6" t="inlineStr">
        <is>
          <t>Columna</t>
        </is>
      </c>
      <c r="B1" s="6" t="inlineStr">
        <is>
          <t>Qué se contesta</t>
        </is>
      </c>
      <c r="C1" s="6" t="inlineStr">
        <is>
          <t>Opciones</t>
        </is>
      </c>
    </row>
    <row r="2">
      <c r="A2" s="7" t="inlineStr">
        <is>
          <t>Id del estudio (Autor+Año)</t>
        </is>
      </c>
      <c r="B2" s="7" t="inlineStr">
        <is>
          <t>Apellido del primer autor pegado al año: Tkhilaishvili2020. Sin espacios ni tildes.</t>
        </is>
      </c>
      <c r="C2" s="7" t="inlineStr"/>
    </row>
    <row r="3">
      <c r="A3" s="7" t="inlineStr">
        <is>
          <t>Brazo</t>
        </is>
      </c>
      <c r="B3" s="7" t="inlineStr">
        <is>
          <t>A si el estudio da un solo grupo de datos. Si separa desenlaces por clase de resistencia, usa A, B, C.</t>
        </is>
      </c>
      <c r="C3" s="7" t="inlineStr"/>
    </row>
    <row r="4">
      <c r="A4" s="7" t="inlineStr">
        <is>
          <t>¿Solo P. aeruginosa o mixto?</t>
        </is>
      </c>
      <c r="B4" s="7" t="inlineStr">
        <is>
          <t>Solo Pseudomonas si todos los pacientes tenían P. aeruginosa. Mixto si había otras bacterias PERO el artículo permite separar los de Pseudomonas.</t>
        </is>
      </c>
      <c r="C4" s="7" t="inlineStr">
        <is>
          <t>solo Pseudomonas · mixto con subgrupo de Pseudomonas</t>
        </is>
      </c>
    </row>
    <row r="5">
      <c r="A5" s="7" t="inlineStr">
        <is>
          <t>Clase de resistencia</t>
        </is>
      </c>
      <c r="B5" s="7" t="inlineStr">
        <is>
          <t>MDR, XDR o PDR según Magiorakos. Si el antibiograma no alcanza para clasificar, pon 'no clasificable'.</t>
        </is>
      </c>
      <c r="C5" s="7" t="inlineStr">
        <is>
          <t>MDR · XDR · PDR · por debajo del umbral MDR · no clasificable</t>
        </is>
      </c>
    </row>
    <row r="6">
      <c r="A6" s="7" t="inlineStr">
        <is>
          <t>¿De dónde sale esa clase?</t>
        </is>
      </c>
      <c r="B6" s="7" t="inlineStr">
        <is>
          <t>¿Lo dice el autor y lo aceptaste, o lo verificaste tú con el antibiograma? Importa para el riesgo de sesgo.</t>
        </is>
      </c>
      <c r="C6" s="7" t="inlineStr">
        <is>
          <t>declarado por el autor · verificado de forma independiente · no clasificable</t>
        </is>
      </c>
    </row>
    <row r="7">
      <c r="A7" s="7" t="inlineStr">
        <is>
          <t>¿Cumple criterio DTR?</t>
        </is>
      </c>
      <c r="B7" s="7" t="inlineStr">
        <is>
          <t>Difficult-to-Treat Resistance (Kadri 2018, PMID 30052813). NO es MDR con otro nombre: pregunta si se agotaron los antibióticos de PRIMERA LÍNEA (carbapenémicos, otros betalactámicos, fluoroquinolonas). Los de RESERVA -- colistina, aminoglucósidos, tigeciclina -- y los posteriores a 2018 -- ceftazidima-avibactam, cefiderocol -- NO cuentan: son aquello a lo que el DTR obliga a recurrir.
SÍ: el artículo documenta sensibilidad SOLO a agentes de reserva.
NO: basta UN agente de primera línea sensible documentado.
NO DERIVABLE: el resto.
Ojo: esta revisión ya definió mal este campo una vez (exigía 'todos los betalactámicos', más estricto que Kadri) y fabricó no-derivabilidad. Si duda entre 'no' y 'no derivable', mire si hay UN solo agente de primera línea sensible.</t>
        </is>
      </c>
      <c r="C7" s="7" t="inlineStr">
        <is>
          <t>si · no · no derivable</t>
        </is>
      </c>
    </row>
    <row r="8">
      <c r="A8" s="7" t="inlineStr">
        <is>
          <t>Vía de administración</t>
        </is>
      </c>
      <c r="B8" s="7" t="inlineStr">
        <is>
          <t>Por dónde se administró el fago. Si fueron varias vías, elige 'otra' y explica en el paréntesis.</t>
        </is>
      </c>
      <c r="C8" s="7" t="inlineStr">
        <is>
          <t>IV · inhalada/nebulizada · topica/local · oral · intravesical · intraarticular · otra · NA</t>
        </is>
      </c>
    </row>
    <row r="9">
      <c r="A9" s="7" t="inlineStr">
        <is>
          <t>¿Fago solo o con antibiótico?</t>
        </is>
      </c>
      <c r="B9" s="7" t="inlineStr">
        <is>
          <t>¿El fago fue solo, o junto con antibióticos?</t>
        </is>
      </c>
      <c r="C9" s="7" t="inlineStr">
        <is>
          <t>fago en monoterapia · fago + antibiotico · fago + otro · NA</t>
        </is>
      </c>
    </row>
    <row r="10">
      <c r="A10" s="7" t="inlineStr">
        <is>
          <t>Diseño del estudio</t>
        </is>
      </c>
      <c r="B10" s="7" t="inlineStr">
        <is>
          <t>Lo que el artículo ES, no lo que dice ser. Un 'estudio' de un paciente es un caso clínico.</t>
        </is>
      </c>
      <c r="C10" s="7" t="inlineStr">
        <is>
          <t>ECA · caso clinico · serie de casos · cohorte retrospectiva · cohorte prospectiva · ensayo no aleatorizado · otra</t>
        </is>
      </c>
    </row>
    <row r="11">
      <c r="A11" s="7" t="inlineStr">
        <is>
          <t>Estado de esta extracción</t>
        </is>
      </c>
      <c r="B11" s="7" t="inlineStr">
        <is>
          <t>COMPLETA si sacaste todo lo que el artículo daba. PARCIAL o INCOMPLETA si te faltó algo, y explícalo en la última columna.</t>
        </is>
      </c>
      <c r="C11" s="7" t="inlineStr">
        <is>
          <t>COMPLETA · PARCIAL · INCOMPLETA</t>
        </is>
      </c>
    </row>
    <row r="12">
      <c r="A12" s="7" t="inlineStr">
        <is>
          <t>Pacientes en este brazo</t>
        </is>
      </c>
      <c r="B12" s="7" t="inlineStr">
        <is>
          <t>Cuántos pacientes hay en ESTE brazo, no en todo el estudio.</t>
        </is>
      </c>
      <c r="C12" s="7" t="inlineStr"/>
    </row>
    <row r="13">
      <c r="A13" s="7" t="inlineStr">
        <is>
          <t>Éxito clínico (nº pacientes)</t>
        </is>
      </c>
      <c r="B13" s="7" t="inlineStr">
        <is>
          <t>Cuántos pacientes de este brazo mejoraron, según la definición del propio autor. Si no lo reporta, NA.</t>
        </is>
      </c>
      <c r="C13" s="7" t="inlineStr"/>
    </row>
    <row r="14">
      <c r="A14" s="7" t="inlineStr">
        <is>
          <t>Eventos adversos (nº)</t>
        </is>
      </c>
      <c r="B14" s="7" t="inlineStr">
        <is>
          <t>Cuántos pacientes tuvieron algún evento adverso. Cero notificados se escribe 0, no NA.</t>
        </is>
      </c>
      <c r="C14" s="7" t="inlineStr"/>
    </row>
    <row r="15">
      <c r="A15" s="7" t="inlineStr">
        <is>
          <t>Erradicación microbiológica (nº)</t>
        </is>
      </c>
      <c r="B15" s="7" t="inlineStr">
        <is>
          <t>En cuántos desapareció la bacteria en cultivo.</t>
        </is>
      </c>
      <c r="C15" s="7" t="inlineStr"/>
    </row>
    <row r="16">
      <c r="A16" s="7" t="inlineStr">
        <is>
          <t>Fallecidos (nº)</t>
        </is>
      </c>
      <c r="B16" s="7" t="inlineStr">
        <is>
          <t>Cuántos fallecieron durante el seguimiento.</t>
        </is>
      </c>
      <c r="C16" s="7" t="inlineStr"/>
    </row>
    <row r="17">
      <c r="A17" s="7" t="inlineStr">
        <is>
          <t>Estancia hospitalaria (días)</t>
        </is>
      </c>
      <c r="B17" s="7" t="inlineStr">
        <is>
          <t>Días de hospitalización. Casi ningún caso clínico lo reporta: NA es lo normal aquí.</t>
        </is>
      </c>
      <c r="C17" s="7" t="inlineStr"/>
    </row>
    <row r="18">
      <c r="A18" s="7" t="inlineStr">
        <is>
          <t>Aparición de resistencia al fago (nº)</t>
        </is>
      </c>
      <c r="B18" s="7" t="inlineStr">
        <is>
          <t>En cuántos apareció resistencia al fago durante el tratamiento.</t>
        </is>
      </c>
      <c r="C18" s="7" t="inlineStr"/>
    </row>
    <row r="19">
      <c r="A19" s="7" t="inlineStr">
        <is>
          <t>Año de publicación</t>
        </is>
      </c>
      <c r="B19" s="7" t="inlineStr">
        <is>
          <t>Año del artículo.</t>
        </is>
      </c>
      <c r="C19" s="7" t="inlineStr"/>
    </row>
    <row r="20">
      <c r="A20" s="7" t="inlineStr">
        <is>
          <t>¿Cómo define el AUTOR el éxito clínico?</t>
        </is>
      </c>
      <c r="B20" s="7" t="inlineStr">
        <is>
          <t>COPIA la definición del autor, no escribas la tuya. Es lo que después permite ver si todos midieron lo mismo.</t>
        </is>
      </c>
      <c r="C20" s="7" t="inlineStr"/>
    </row>
    <row r="21">
      <c r="A21" s="7" t="inlineStr">
        <is>
          <t>Nivel de la revista</t>
        </is>
      </c>
      <c r="B21" s="7" t="inlineStr">
        <is>
          <t>Nombre de la revista, y si es de alto o medio impacto: 'alto (Nature Microbiology)'.</t>
        </is>
      </c>
      <c r="C21" s="7" t="inlineStr"/>
    </row>
    <row r="22">
      <c r="A22" s="7" t="inlineStr">
        <is>
          <t>País del estudio</t>
        </is>
      </c>
      <c r="B22" s="7" t="inlineStr">
        <is>
          <t>País y ciudad si consta: 'Alemania (Berlín)'.</t>
        </is>
      </c>
      <c r="C22" s="7" t="inlineStr"/>
    </row>
    <row r="23">
      <c r="A23" s="7" t="inlineStr">
        <is>
          <t>¿Dónde viste estos datos?</t>
        </is>
      </c>
      <c r="B23" s="7" t="inlineStr">
        <is>
          <t>Página, tabla o figura de donde sacaste los números: 'p.3 Results, Tabla 2'. Obligatorio para cualquier cifra.</t>
        </is>
      </c>
      <c r="C23" s="7" t="inlineStr"/>
    </row>
    <row r="24">
      <c r="A24" s="7" t="inlineStr">
        <is>
          <t>Si algo quedó incompleto, ¿por qué?</t>
        </is>
      </c>
      <c r="B24" s="7" t="inlineStr">
        <is>
          <t>Qué faltó y por qué. NA si no faltó nada.</t>
        </is>
      </c>
      <c r="C24" s="7"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7"/>
  <sheetViews>
    <sheetView workbookViewId="0">
      <selection activeCell="A1" sqref="A1"/>
    </sheetView>
  </sheetViews>
  <sheetFormatPr baseColWidth="8" defaultRowHeight="15"/>
  <cols>
    <col width="34" customWidth="1" min="1" max="1"/>
    <col width="52" customWidth="1" min="2" max="2"/>
    <col width="58" customWidth="1" min="3" max="3"/>
  </cols>
  <sheetData>
    <row r="1">
      <c r="A1" s="1" t="inlineStr">
        <is>
          <t>Dos ejemplos resueltos</t>
        </is>
      </c>
    </row>
    <row r="2">
      <c r="A2" t="inlineStr">
        <is>
          <t>Salen de estudios que ya se extrajeron en este proyecto.</t>
        </is>
      </c>
    </row>
    <row r="3">
      <c r="A3" t="inlineStr"/>
    </row>
    <row r="4">
      <c r="A4" s="1" t="inlineStr">
        <is>
          <t>EJEMPLO 1 — un solo brazo</t>
        </is>
      </c>
    </row>
    <row r="5">
      <c r="A5" t="inlineStr">
        <is>
          <t>Tkhilaishvili 2020. Un paciente con infección de prótesis por P. aeruginosa XDR,</t>
        </is>
      </c>
    </row>
    <row r="6">
      <c r="A6" t="inlineStr">
        <is>
          <t>tratado con fago más antibiótico por vía local. Curó.</t>
        </is>
      </c>
    </row>
    <row r="7">
      <c r="A7" t="inlineStr"/>
    </row>
    <row r="8">
      <c r="A8" s="6" t="inlineStr">
        <is>
          <t>Columna</t>
        </is>
      </c>
      <c r="B8" s="6" t="inlineStr">
        <is>
          <t>Qué escribí</t>
        </is>
      </c>
      <c r="C8" s="6" t="inlineStr">
        <is>
          <t>Por qué</t>
        </is>
      </c>
    </row>
    <row r="9">
      <c r="A9" t="inlineStr">
        <is>
          <t>Id del estudio (Autor+Año)</t>
        </is>
      </c>
      <c r="B9" s="5" t="inlineStr">
        <is>
          <t>Tkhilaishvili2020</t>
        </is>
      </c>
      <c r="C9" t="inlineStr">
        <is>
          <t>apellido pegado al año</t>
        </is>
      </c>
    </row>
    <row r="10">
      <c r="A10" t="inlineStr">
        <is>
          <t>Brazo</t>
        </is>
      </c>
      <c r="B10" s="5" t="inlineStr">
        <is>
          <t>A</t>
        </is>
      </c>
      <c r="C10" t="inlineStr">
        <is>
          <t>un solo brazo</t>
        </is>
      </c>
    </row>
    <row r="11">
      <c r="A11" t="inlineStr">
        <is>
          <t>Pacientes en este brazo</t>
        </is>
      </c>
      <c r="B11" s="5" t="inlineStr">
        <is>
          <t>1</t>
        </is>
      </c>
      <c r="C11" t="inlineStr">
        <is>
          <t>pacientes de este brazo</t>
        </is>
      </c>
    </row>
    <row r="12">
      <c r="A12" t="inlineStr">
        <is>
          <t>¿Solo P. aeruginosa o mixto?</t>
        </is>
      </c>
      <c r="B12" s="5" t="inlineStr">
        <is>
          <t>solo Pseudomonas</t>
        </is>
      </c>
      <c r="C12" t="inlineStr"/>
    </row>
    <row r="13">
      <c r="A13" t="inlineStr">
        <is>
          <t>Clase de resistencia</t>
        </is>
      </c>
      <c r="B13" s="5" t="inlineStr">
        <is>
          <t>XDR</t>
        </is>
      </c>
      <c r="C13" t="inlineStr">
        <is>
          <t>según el antibiograma</t>
        </is>
      </c>
    </row>
    <row r="14">
      <c r="A14" t="inlineStr">
        <is>
          <t>¿De dónde sale esa clase?</t>
        </is>
      </c>
      <c r="B14" s="5" t="inlineStr">
        <is>
          <t>verificado de forma independiente</t>
        </is>
      </c>
      <c r="C14" t="inlineStr">
        <is>
          <t>lo verifiqué yo con Magiorakos; no me fié de la etiqueta del autor</t>
        </is>
      </c>
    </row>
    <row r="15">
      <c r="A15" t="inlineStr">
        <is>
          <t>¿Cumple criterio DTR?</t>
        </is>
      </c>
      <c r="B15" s="5" t="inlineStr">
        <is>
          <t>no derivable</t>
        </is>
      </c>
      <c r="C15" t="inlineStr">
        <is>
          <t>el artículo no da lo necesario</t>
        </is>
      </c>
    </row>
    <row r="16">
      <c r="A16" t="inlineStr">
        <is>
          <t>Vía de administración</t>
        </is>
      </c>
      <c r="B16" s="5" t="inlineStr">
        <is>
          <t>topica/local</t>
        </is>
      </c>
      <c r="C16" t="inlineStr"/>
    </row>
    <row r="17">
      <c r="A17" t="inlineStr">
        <is>
          <t>¿Fago solo o con antibiótico?</t>
        </is>
      </c>
      <c r="B17" s="5" t="inlineStr">
        <is>
          <t>fago + antibiotico</t>
        </is>
      </c>
      <c r="C17" t="inlineStr"/>
    </row>
    <row r="18">
      <c r="A18" t="inlineStr">
        <is>
          <t>Éxito clínico (nº pacientes)</t>
        </is>
      </c>
      <c r="B18" s="5" t="inlineStr">
        <is>
          <t>1</t>
        </is>
      </c>
      <c r="C18" t="inlineStr">
        <is>
          <t>de 1 paciente</t>
        </is>
      </c>
    </row>
    <row r="19">
      <c r="A19" t="inlineStr">
        <is>
          <t>¿Cómo define el AUTOR el éxito clínico?</t>
        </is>
      </c>
      <c r="B19" s="5" t="inlineStr">
        <is>
          <t>Infección erradicada; sin dolor, PCR normal, sin aflojamiento a 10 meses</t>
        </is>
      </c>
      <c r="C19" t="inlineStr">
        <is>
          <t>la definición DEL AUTOR, copiada, no la mía</t>
        </is>
      </c>
    </row>
    <row r="20">
      <c r="A20" t="inlineStr">
        <is>
          <t>Eventos adversos (nº)</t>
        </is>
      </c>
      <c r="B20" s="5" t="inlineStr">
        <is>
          <t>0</t>
        </is>
      </c>
      <c r="C20" t="inlineStr">
        <is>
          <t>cero notificados; NO es lo mismo que NA</t>
        </is>
      </c>
    </row>
    <row r="21">
      <c r="A21" t="inlineStr">
        <is>
          <t>Erradicación microbiológica (nº)</t>
        </is>
      </c>
      <c r="B21" s="5" t="inlineStr">
        <is>
          <t>1</t>
        </is>
      </c>
      <c r="C21" t="inlineStr"/>
    </row>
    <row r="22">
      <c r="A22" t="inlineStr">
        <is>
          <t>Fallecidos (nº)</t>
        </is>
      </c>
      <c r="B22" s="5" t="inlineStr">
        <is>
          <t>0</t>
        </is>
      </c>
      <c r="C22" t="inlineStr"/>
    </row>
    <row r="23">
      <c r="A23" t="inlineStr">
        <is>
          <t>Estancia hospitalaria (días)</t>
        </is>
      </c>
      <c r="B23" s="5" t="inlineStr">
        <is>
          <t>NA</t>
        </is>
      </c>
      <c r="C23" t="inlineStr">
        <is>
          <t>el artículo no lo dice</t>
        </is>
      </c>
    </row>
    <row r="24">
      <c r="A24" t="inlineStr">
        <is>
          <t>Aparición de resistencia al fago (nº)</t>
        </is>
      </c>
      <c r="B24" s="5" t="inlineStr">
        <is>
          <t>NA</t>
        </is>
      </c>
      <c r="C24" t="inlineStr">
        <is>
          <t>el artículo no lo dice</t>
        </is>
      </c>
    </row>
    <row r="25">
      <c r="A25" t="inlineStr">
        <is>
          <t>Diseño del estudio</t>
        </is>
      </c>
      <c r="B25" s="5" t="inlineStr">
        <is>
          <t>caso clinico</t>
        </is>
      </c>
      <c r="C25" t="inlineStr"/>
    </row>
    <row r="26">
      <c r="A26" t="inlineStr">
        <is>
          <t>Año de publicación</t>
        </is>
      </c>
      <c r="B26" s="5" t="inlineStr">
        <is>
          <t>2020</t>
        </is>
      </c>
      <c r="C26" t="inlineStr"/>
    </row>
    <row r="27">
      <c r="A27" t="inlineStr">
        <is>
          <t>Nivel de la revista</t>
        </is>
      </c>
      <c r="B27" s="5" t="inlineStr">
        <is>
          <t>medio (Antimicrob Agents Chemother)</t>
        </is>
      </c>
      <c r="C27" t="inlineStr"/>
    </row>
    <row r="28">
      <c r="A28" t="inlineStr">
        <is>
          <t>País del estudio</t>
        </is>
      </c>
      <c r="B28" s="5" t="inlineStr">
        <is>
          <t>Alemania (Berlín)</t>
        </is>
      </c>
      <c r="C28" t="inlineStr"/>
    </row>
    <row r="29">
      <c r="A29" t="inlineStr">
        <is>
          <t>¿Dónde viste estos datos?</t>
        </is>
      </c>
      <c r="B29" s="5" t="inlineStr">
        <is>
          <t>pp.1-2 Case Presentation; Tabla 1 antibiograma</t>
        </is>
      </c>
      <c r="C29" t="inlineStr">
        <is>
          <t>dónde lo vi; obligatorio para cualquier cifra</t>
        </is>
      </c>
    </row>
    <row r="30">
      <c r="A30" t="inlineStr">
        <is>
          <t>Estado de esta extracción</t>
        </is>
      </c>
      <c r="B30" s="5" t="inlineStr">
        <is>
          <t>COMPLETA</t>
        </is>
      </c>
      <c r="C30" t="inlineStr"/>
    </row>
    <row r="31">
      <c r="A31" t="inlineStr">
        <is>
          <t>Si algo quedó incompleto, ¿por qué?</t>
        </is>
      </c>
      <c r="B31" s="5" t="inlineStr">
        <is>
          <t>NA</t>
        </is>
      </c>
      <c r="C31" t="inlineStr"/>
    </row>
    <row r="32">
      <c r="A32" t="inlineStr"/>
    </row>
    <row r="33">
      <c r="A33" s="1" t="inlineStr">
        <is>
          <t>EJEMPLO 2 — varios brazos</t>
        </is>
      </c>
    </row>
    <row r="34">
      <c r="A34" t="inlineStr">
        <is>
          <t>Pirnay 2024, cohorte de 100 casos. Aquí está el error más común:</t>
        </is>
      </c>
    </row>
    <row r="35">
      <c r="A35" s="1" t="inlineStr">
        <is>
          <t>los brazos NO son grupos de tratamiento, son clases de resistencia.</t>
        </is>
      </c>
    </row>
    <row r="36">
      <c r="A36" t="inlineStr">
        <is>
          <t>Todos los pacientes recibieron lo mismo, fago más antibiótico. Lo que separa</t>
        </is>
      </c>
    </row>
    <row r="37">
      <c r="A37" t="inlineStr">
        <is>
          <t>las filas es que el artículo permite contar desenlaces aparte en XDR, MDR y PDR.</t>
        </is>
      </c>
    </row>
    <row r="38">
      <c r="A38" t="inlineStr">
        <is>
          <t>Se copia la fila tres veces, con el MISMO Nº y el Brazo en A, B y C.</t>
        </is>
      </c>
    </row>
    <row r="39">
      <c r="A39" t="inlineStr"/>
    </row>
    <row r="40">
      <c r="A40" s="6" t="inlineStr">
        <is>
          <t>Brazo</t>
        </is>
      </c>
      <c r="B40" s="6" t="inlineStr">
        <is>
          <t>Clase de resistencia</t>
        </is>
      </c>
      <c r="C40" s="6" t="inlineStr">
        <is>
          <t>Pacientes</t>
        </is>
      </c>
      <c r="D40" s="6" t="inlineStr">
        <is>
          <t>Éxito clínico</t>
        </is>
      </c>
      <c r="E40" s="6" t="inlineStr">
        <is>
          <t>Eventos adversos</t>
        </is>
      </c>
      <c r="F40" s="6" t="inlineStr">
        <is>
          <t>Fallecidos</t>
        </is>
      </c>
    </row>
    <row r="41">
      <c r="A41" s="5" t="inlineStr">
        <is>
          <t>A</t>
        </is>
      </c>
      <c r="B41" s="5" t="inlineStr">
        <is>
          <t>XDR</t>
        </is>
      </c>
      <c r="C41" s="5" t="n">
        <v>7</v>
      </c>
      <c r="D41" s="5" t="n">
        <v>6</v>
      </c>
      <c r="E41" s="5" t="n">
        <v>2</v>
      </c>
      <c r="F41" s="5" t="n">
        <v>2</v>
      </c>
    </row>
    <row r="42">
      <c r="A42" s="5" t="inlineStr">
        <is>
          <t>B</t>
        </is>
      </c>
      <c r="B42" s="5" t="inlineStr">
        <is>
          <t>MDR</t>
        </is>
      </c>
      <c r="C42" s="5" t="n">
        <v>23</v>
      </c>
      <c r="D42" s="5" t="n">
        <v>16</v>
      </c>
      <c r="E42" s="5" t="n">
        <v>4</v>
      </c>
      <c r="F42" s="5" t="n">
        <v>2</v>
      </c>
    </row>
    <row r="43">
      <c r="A43" s="5" t="inlineStr">
        <is>
          <t>C</t>
        </is>
      </c>
      <c r="B43" s="5" t="inlineStr">
        <is>
          <t>PDR</t>
        </is>
      </c>
      <c r="C43" s="5" t="n">
        <v>2</v>
      </c>
      <c r="D43" s="5" t="n">
        <v>1</v>
      </c>
      <c r="E43" s="5" t="n">
        <v>0</v>
      </c>
      <c r="F43" s="5" t="n">
        <v>0</v>
      </c>
    </row>
    <row r="44">
      <c r="A44" t="inlineStr"/>
    </row>
    <row r="45">
      <c r="A45" t="inlineStr">
        <is>
          <t>El resto de columnas (vía, modalidad, revista, país…) se repite igual en las tres.</t>
        </is>
      </c>
    </row>
    <row r="46">
      <c r="A46" t="inlineStr">
        <is>
          <t>Si el artículo NO permite separar por clase de resistencia, no invente brazos:</t>
        </is>
      </c>
    </row>
    <row r="47">
      <c r="A47" t="inlineStr">
        <is>
          <t>una sola fila y la clase en 'no clasificable'.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2026-08-11T20:31:42Z</dcterms:created>
  <dcterms:modified xmlns:dcterms="http://purl.org/dc/terms/" xmlns:xsi="http://www.w3.org/2001/XMLSchema-instance" xsi:type="dcterms:W3CDTF">2026-08-11T20:31:42Z</dcterms:modified>
</cp:coreProperties>
</file>