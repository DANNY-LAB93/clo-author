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quipo\AppData\Local\Packages\5319275A.WhatsAppDesktop_cv1g1gvanyjgm\LocalState\sessions\5F5B24039DA0BF68D1F49D2F40DE81DB324FB03E\transfers\2026-33\"/>
    </mc:Choice>
  </mc:AlternateContent>
  <xr:revisionPtr revIDLastSave="0" documentId="13_ncr:1_{CAFB0754-0E81-412A-967A-F61E6FF13083}" xr6:coauthVersionLast="47" xr6:coauthVersionMax="47" xr10:uidLastSave="{00000000-0000-0000-0000-000000000000}"/>
  <bookViews>
    <workbookView xWindow="-96" yWindow="0" windowWidth="11712" windowHeight="12336" activeTab="1" xr2:uid="{00000000-000D-0000-FFFF-FFFF00000000}"/>
  </bookViews>
  <sheets>
    <sheet name="Instrucciones" sheetId="1" r:id="rId1"/>
    <sheet name="Extraccion" sheetId="2" r:id="rId2"/>
    <sheet name="Revistas" sheetId="3" r:id="rId3"/>
    <sheet name="Listas" sheetId="4" r:id="rId4"/>
    <sheet name="Diccionario" sheetId="5" r:id="rId5"/>
    <sheet name="Ejemplo" sheetId="6" r:id="rId6"/>
  </sheets>
  <definedNames>
    <definedName name="_xlnm._FilterDatabase" localSheetId="1" hidden="1">Extraccion!$A$1:$AF$113</definedName>
  </definedNames>
  <calcPr calcId="191029"/>
</workbook>
</file>

<file path=xl/calcChain.xml><?xml version="1.0" encoding="utf-8"?>
<calcChain xmlns="http://schemas.openxmlformats.org/spreadsheetml/2006/main">
  <c r="AB36" i="2" l="1"/>
  <c r="AB37" i="2"/>
  <c r="AB38" i="2"/>
  <c r="AB39" i="2"/>
  <c r="AB119" i="2"/>
  <c r="AB118" i="2"/>
  <c r="AB117" i="2"/>
  <c r="AB127" i="2"/>
  <c r="AB115" i="2"/>
  <c r="AB114" i="2"/>
  <c r="AB125" i="2"/>
  <c r="AB124" i="2"/>
  <c r="AB109" i="2"/>
  <c r="AB108" i="2"/>
  <c r="AB107" i="2"/>
  <c r="AB106" i="2"/>
  <c r="AB105" i="2"/>
  <c r="AB104" i="2"/>
  <c r="AB103" i="2"/>
  <c r="AB102" i="2"/>
  <c r="AB101" i="2"/>
  <c r="AB100" i="2"/>
  <c r="AB99" i="2"/>
  <c r="AB98" i="2"/>
  <c r="AB97" i="2"/>
  <c r="AB93" i="2"/>
  <c r="AB91" i="2"/>
  <c r="AB90" i="2"/>
  <c r="AB88" i="2"/>
  <c r="AB87" i="2"/>
  <c r="AB86" i="2"/>
  <c r="AB85" i="2"/>
  <c r="AB84" i="2"/>
  <c r="AB83" i="2"/>
  <c r="AB81" i="2"/>
  <c r="AB80" i="2"/>
  <c r="AB77" i="2"/>
  <c r="AB76" i="2"/>
  <c r="AB75" i="2"/>
  <c r="AB74" i="2"/>
  <c r="AB73" i="2"/>
  <c r="AB72" i="2"/>
  <c r="AB71" i="2"/>
  <c r="AB70" i="2"/>
  <c r="AB69" i="2"/>
  <c r="AB66" i="2"/>
  <c r="AB62" i="2"/>
  <c r="AB61" i="2"/>
  <c r="AB59" i="2"/>
  <c r="AB58" i="2"/>
  <c r="AB55" i="2"/>
  <c r="AB54" i="2"/>
  <c r="AB51" i="2"/>
  <c r="AB50" i="2"/>
  <c r="AB49" i="2"/>
  <c r="AB48" i="2"/>
  <c r="AB47" i="2"/>
  <c r="AB46" i="2"/>
  <c r="AB44" i="2"/>
  <c r="AB43" i="2"/>
  <c r="AB40" i="2"/>
  <c r="AB33" i="2"/>
  <c r="AB29" i="2"/>
  <c r="AB28" i="2"/>
  <c r="AB27" i="2"/>
  <c r="AB26" i="2"/>
  <c r="AB25" i="2"/>
  <c r="AB17" i="2"/>
  <c r="AB12" i="2"/>
  <c r="AB11" i="2"/>
  <c r="A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Guía de extracción</author>
  </authors>
  <commentList>
    <comment ref="A1" authorId="0" shapeId="0" xr:uid="{00000000-0006-0000-0100-000001000000}">
      <text>
        <r>
          <rPr>
            <sz val="11"/>
            <color theme="1"/>
            <rFont val="Calibri"/>
            <family val="2"/>
            <scheme val="minor"/>
          </rPr>
          <t>Clave con la que se cruzan las dos extracciones. NO la modifique.</t>
        </r>
      </text>
    </comment>
    <comment ref="B1" authorId="0" shapeId="0" xr:uid="{00000000-0006-0000-0100-000002000000}">
      <text>
        <r>
          <rPr>
            <sz val="11"/>
            <color theme="1"/>
            <rFont val="Calibri"/>
            <family val="2"/>
            <scheme val="minor"/>
          </rPr>
          <t>Posición en el pozo cribado.</t>
        </r>
      </text>
    </comment>
    <comment ref="F1" authorId="0" shapeId="0" xr:uid="{00000000-0006-0000-0100-000003000000}">
      <text>
        <r>
          <rPr>
            <sz val="11"/>
            <color theme="1"/>
            <rFont val="Calibri"/>
            <family val="2"/>
            <scheme val="minor"/>
          </rPr>
          <t>Artículo, resumen de congreso o ficha de registro.</t>
        </r>
      </text>
    </comment>
    <comment ref="G1" authorId="0" shapeId="0" xr:uid="{00000000-0006-0000-0100-000004000000}">
      <text>
        <r>
          <rPr>
            <sz val="11"/>
            <color theme="1"/>
            <rFont val="Calibri"/>
            <family val="2"/>
            <scheme val="minor"/>
          </rPr>
          <t>DOI, PMID o identificador de registro.</t>
        </r>
      </text>
    </comment>
    <comment ref="H1" authorId="0" shapeId="0" xr:uid="{00000000-0006-0000-0100-000005000000}">
      <text>
        <r>
          <rPr>
            <sz val="11"/>
            <color theme="1"/>
            <rFont val="Calibri"/>
            <family val="2"/>
            <scheme val="minor"/>
          </rPr>
          <t>Clic para abrirlo en el navegador.</t>
        </r>
      </text>
    </comment>
    <comment ref="I1" authorId="0" shapeId="0" xr:uid="{00000000-0006-0000-0100-000006000000}">
      <text>
        <r>
          <rPr>
            <sz val="11"/>
            <color theme="1"/>
            <rFont val="Calibri"/>
            <family val="2"/>
            <scheme val="minor"/>
          </rPr>
          <t>Apellido del primer autor pegado al año: Tkhilaishvili2020. Sin espacios ni tildes.</t>
        </r>
      </text>
    </comment>
    <comment ref="J1" authorId="0" shapeId="0" xr:uid="{00000000-0006-0000-0100-000007000000}">
      <text>
        <r>
          <rPr>
            <sz val="11"/>
            <color theme="1"/>
            <rFont val="Calibri"/>
            <family val="2"/>
            <scheme val="minor"/>
          </rPr>
          <t>A si el estudio da un solo grupo de datos. Si separa desenlaces por clase de resistencia, usa A, B, C.</t>
        </r>
      </text>
    </comment>
    <comment ref="K1" authorId="0" shapeId="0" xr:uid="{00000000-0006-0000-0100-000008000000}">
      <text>
        <r>
          <rPr>
            <sz val="11"/>
            <color theme="1"/>
            <rFont val="Calibri"/>
            <family val="2"/>
            <scheme val="minor"/>
          </rPr>
          <t>Solo Pseudomonas si todos los pacientes tenían P. aeruginosa. Mixto si había otras bacterias PERO el artículo permite separar los de Pseudomonas.</t>
        </r>
      </text>
    </comment>
    <comment ref="L1" authorId="0" shapeId="0" xr:uid="{00000000-0006-0000-0100-000009000000}">
      <text>
        <r>
          <rPr>
            <sz val="11"/>
            <color theme="1"/>
            <rFont val="Calibri"/>
            <family val="2"/>
            <scheme val="minor"/>
          </rPr>
          <t>MDR, XDR o PDR según Magiorakos. Si el antibiograma no alcanza para clasificar, pon 'no clasificable'.</t>
        </r>
      </text>
    </comment>
    <comment ref="M1" authorId="0" shapeId="0" xr:uid="{00000000-0006-0000-0100-00000A000000}">
      <text>
        <r>
          <rPr>
            <sz val="11"/>
            <color theme="1"/>
            <rFont val="Calibri"/>
            <family val="2"/>
            <scheme val="minor"/>
          </rPr>
          <t>¿Lo dice el autor y lo aceptaste, o lo verificaste tú con el antibiograma? Importa para el riesgo de sesgo.</t>
        </r>
      </text>
    </comment>
    <comment ref="N1" authorId="0" shapeId="0" xr:uid="{00000000-0006-0000-0100-00000B000000}">
      <text>
        <r>
          <rPr>
            <sz val="11"/>
            <color theme="1"/>
            <rFont val="Calibri"/>
            <family val="2"/>
            <scheme val="minor"/>
          </rPr>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el artículo documenta sensibilidad SOLO a agentes de reserva.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t>
        </r>
      </text>
    </comment>
    <comment ref="O1" authorId="0" shapeId="0" xr:uid="{00000000-0006-0000-0100-00000C000000}">
      <text>
        <r>
          <rPr>
            <sz val="11"/>
            <color theme="1"/>
            <rFont val="Calibri"/>
            <family val="2"/>
            <scheme val="minor"/>
          </rPr>
          <t>Por dónde se administró el fago. Si fueron varias vías, elige 'otra' y explica en el paréntesis.</t>
        </r>
      </text>
    </comment>
    <comment ref="P1" authorId="0" shapeId="0" xr:uid="{00000000-0006-0000-0100-00000D000000}">
      <text>
        <r>
          <rPr>
            <sz val="11"/>
            <color theme="1"/>
            <rFont val="Calibri"/>
            <family val="2"/>
            <scheme val="minor"/>
          </rPr>
          <t>¿El fago fue solo, o junto con antibióticos?</t>
        </r>
      </text>
    </comment>
    <comment ref="Q1" authorId="0" shapeId="0" xr:uid="{00000000-0006-0000-0100-00000E000000}">
      <text>
        <r>
          <rPr>
            <sz val="11"/>
            <color theme="1"/>
            <rFont val="Calibri"/>
            <family val="2"/>
            <scheme val="minor"/>
          </rPr>
          <t>Lo que el artículo ES, no lo que dice ser. Un 'estudio' de un paciente es un caso clínico.</t>
        </r>
      </text>
    </comment>
    <comment ref="R1" authorId="0" shapeId="0" xr:uid="{00000000-0006-0000-0100-00000F000000}">
      <text>
        <r>
          <rPr>
            <sz val="11"/>
            <color theme="1"/>
            <rFont val="Calibri"/>
            <family val="2"/>
            <scheme val="minor"/>
          </rPr>
          <t>COMPLETA si sacaste todo lo que el artículo daba. PARCIAL o INCOMPLETA si te faltó algo, y explícalo en la última columna.</t>
        </r>
      </text>
    </comment>
    <comment ref="S1" authorId="0" shapeId="0" xr:uid="{00000000-0006-0000-0100-000010000000}">
      <text>
        <r>
          <rPr>
            <sz val="11"/>
            <color theme="1"/>
            <rFont val="Calibri"/>
            <family val="2"/>
            <scheme val="minor"/>
          </rPr>
          <t>Cuántos pacientes hay en ESTE brazo, no en todo el estudio.</t>
        </r>
      </text>
    </comment>
    <comment ref="T1" authorId="0" shapeId="0" xr:uid="{00000000-0006-0000-0100-000011000000}">
      <text>
        <r>
          <rPr>
            <sz val="11"/>
            <color theme="1"/>
            <rFont val="Calibri"/>
            <family val="2"/>
            <scheme val="minor"/>
          </rPr>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r>
      </text>
    </comment>
    <comment ref="U1" authorId="0" shapeId="0" xr:uid="{00000000-0006-0000-0100-000012000000}">
      <text>
        <r>
          <rPr>
            <sz val="11"/>
            <color theme="1"/>
            <rFont val="Calibri"/>
            <family val="2"/>
            <scheme val="minor"/>
          </rPr>
          <t>Cuántos pacientes tuvieron algún evento adverso. Cero notificados se escribe 0, no NA.</t>
        </r>
      </text>
    </comment>
    <comment ref="V1" authorId="0" shapeId="0" xr:uid="{00000000-0006-0000-0100-000013000000}">
      <text>
        <r>
          <rPr>
            <sz val="11"/>
            <color theme="1"/>
            <rFont val="Calibri"/>
            <family val="2"/>
            <scheme val="minor"/>
          </rPr>
          <t>Pacientes con CULTIVO DE CONTROL NEGATIVO para P. aeruginosa, del mismo
sitio de infección, DESPUÉS de terminar la fagoterapia. Se toma el primer
cultivo posterior al fin del tratamiento; anota el día en observaciones.
Los tres valores NO son intercambiables:
   · un número = se hizo cultivo y salió negativo en esos pacientes
   · 0 = se hizo cultivo y SIGUIÓ POSITIVO en todos
   · NA = no se hizo, o no se reporta, cultivo de control
FIBROSIS QUÍSTICA Y BRONQUIECTASIAS: un solo cultivo negativo NO cuenta
como erradicación. En colonización crónica la carga fluctúa y un cultivo
aislado no demuestra eliminación. Anota NA y explícalo, salvo que el
artículo declare erradicación sostenida con cultivos seriados.
Regla completa y por qué:
quality_reports/decisions/2026-08-11_definicion-erradicacion-y-exito.md</t>
        </r>
      </text>
    </comment>
    <comment ref="W1" authorId="0" shapeId="0" xr:uid="{00000000-0006-0000-0100-000014000000}">
      <text>
        <r>
          <rPr>
            <sz val="11"/>
            <color theme="1"/>
            <rFont val="Calibri"/>
            <family val="2"/>
            <scheme val="minor"/>
          </rPr>
          <t>Cuántos fallecieron durante el seguimiento.</t>
        </r>
      </text>
    </comment>
    <comment ref="X1" authorId="0" shapeId="0" xr:uid="{00000000-0006-0000-0100-000015000000}">
      <text>
        <r>
          <rPr>
            <sz val="11"/>
            <color theme="1"/>
            <rFont val="Calibri"/>
            <family val="2"/>
            <scheme val="minor"/>
          </rPr>
          <t>Días de hospitalización. Casi ningún caso clínico lo reporta: NA es lo normal aquí.</t>
        </r>
      </text>
    </comment>
    <comment ref="Y1" authorId="0" shapeId="0" xr:uid="{00000000-0006-0000-0100-000016000000}">
      <text>
        <r>
          <rPr>
            <sz val="11"/>
            <color theme="1"/>
            <rFont val="Calibri"/>
            <family val="2"/>
            <scheme val="minor"/>
          </rPr>
          <t>En cuántos apareció resistencia al fago durante el tratamiento.</t>
        </r>
      </text>
    </comment>
    <comment ref="Z1" authorId="0" shapeId="0" xr:uid="{00000000-0006-0000-0100-000017000000}">
      <text>
        <r>
          <rPr>
            <sz val="11"/>
            <color theme="1"/>
            <rFont val="Calibri"/>
            <family val="2"/>
            <scheme val="minor"/>
          </rPr>
          <t>Año del artículo.</t>
        </r>
      </text>
    </comment>
    <comment ref="AA1" authorId="0" shapeId="0" xr:uid="{00000000-0006-0000-0100-000018000000}">
      <text>
        <r>
          <rPr>
            <sz val="11"/>
            <color theme="1"/>
            <rFont val="Calibri"/>
            <family val="2"/>
            <scheme val="minor"/>
          </rPr>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r>
      </text>
    </comment>
    <comment ref="AB1" authorId="0" shapeId="0" xr:uid="{00000000-0006-0000-0100-000019000000}">
      <text>
        <r>
          <rPr>
            <sz val="11"/>
            <color theme="1"/>
            <rFont val="Calibri"/>
            <family val="2"/>
            <scheme val="minor"/>
          </rPr>
          <t>Nombre de la revista, y si es de alto o medio impacto: 'alto (Nature Microbiology)'.</t>
        </r>
      </text>
    </comment>
    <comment ref="AC1" authorId="0" shapeId="0" xr:uid="{00000000-0006-0000-0100-00001A000000}">
      <text>
        <r>
          <rPr>
            <sz val="11"/>
            <color theme="1"/>
            <rFont val="Calibri"/>
            <family val="2"/>
            <scheme val="minor"/>
          </rPr>
          <t>País y ciudad si consta: 'Alemania (Berlín)'.</t>
        </r>
      </text>
    </comment>
    <comment ref="AD1" authorId="0" shapeId="0" xr:uid="{00000000-0006-0000-0100-00001B000000}">
      <text>
        <r>
          <rPr>
            <sz val="11"/>
            <color theme="1"/>
            <rFont val="Calibri"/>
            <family val="2"/>
            <scheme val="minor"/>
          </rPr>
          <t>Página, tabla o figura de donde sacaste los números: 'p.3 Results, Tabla 2'. Obligatorio para cualquier cifra.</t>
        </r>
      </text>
    </comment>
    <comment ref="AE1" authorId="0" shapeId="0" xr:uid="{00000000-0006-0000-0100-00001C000000}">
      <text>
        <r>
          <rPr>
            <sz val="11"/>
            <color theme="1"/>
            <rFont val="Calibri"/>
            <family val="2"/>
            <scheme val="minor"/>
          </rPr>
          <t>Qué faltó y por qué. NA si no faltó nada.</t>
        </r>
      </text>
    </comment>
  </commentList>
</comments>
</file>

<file path=xl/sharedStrings.xml><?xml version="1.0" encoding="utf-8"?>
<sst xmlns="http://schemas.openxmlformats.org/spreadsheetml/2006/main" count="3817" uniqueCount="944">
  <si>
    <t>Formulario de extracción — Danny Valdiviezo</t>
  </si>
  <si>
    <t>2026-08-11 · los 124 estudios extraíbles</t>
  </si>
  <si>
    <t>Empiece por la hoja Ejemplo. Son dos estudios ya resueltos.</t>
  </si>
  <si>
    <t>Lo que no debe hacer</t>
  </si>
  <si>
    <t>No abra el formulario del otro revisor ni el archivo de extracción del proyecto.</t>
  </si>
  <si>
    <t>Hay 42 estudios que ya se extrajeron y aun así salen en blanco aquí, a propósito:</t>
  </si>
  <si>
    <t>la comparación posterior solo mide algo si usted no vio lo que puso el otro.</t>
  </si>
  <si>
    <t>Las columnas</t>
  </si>
  <si>
    <t>Grises (A a G): identifican el estudio. No se tocan. La primera, Nº, es la clave</t>
  </si>
  <si>
    <t>con la que se cruzan las dos extracciones; si la cambia, se rompe el cruce.</t>
  </si>
  <si>
    <t>Amarillas: son suyas. Pase el ratón por cada encabezado y sale una nota</t>
  </si>
  <si>
    <t>explicando qué va en esa columna.</t>
  </si>
  <si>
    <t>Una fila por brazo</t>
  </si>
  <si>
    <t>Un brazo es un grupo de pacientes cuyos desenlaces el artículo permite contar</t>
  </si>
  <si>
    <t>aparte. Casi siempre eso significa clase de resistencia, no grupo de tratamiento.</t>
  </si>
  <si>
    <t>Si hay varios: copie la fila entera, péguela debajo, deje el mismo Nº y cambie</t>
  </si>
  <si>
    <t>el Brazo a B, C… Si el artículo no permite separarlos, una sola fila.</t>
  </si>
  <si>
    <t>NA y celda vacía no son lo mismo</t>
  </si>
  <si>
    <t>NA quiere decir que el artículo no lo reporta. Vacío quiere decir que usted</t>
  </si>
  <si>
    <t>todavía no lo ha mirado. El programa que compara los distingue.</t>
  </si>
  <si>
    <t>Los desplegables admiten texto</t>
  </si>
  <si>
    <t>Si ninguna opción encaja, escriba encima: otra (instilación intravesical).</t>
  </si>
  <si>
    <t>Lo que va entre paréntesis no afecta a la concordancia, así que explíquese.</t>
  </si>
  <si>
    <t>Al terminar</t>
  </si>
  <si>
    <t>Guarde el archivo sin cambiarle el nombre y devuélvalo a quien coordina.</t>
  </si>
  <si>
    <t>Nº</t>
  </si>
  <si>
    <t>Pos.</t>
  </si>
  <si>
    <t>Título del artículo</t>
  </si>
  <si>
    <t>Revista</t>
  </si>
  <si>
    <t>Año</t>
  </si>
  <si>
    <t>Tipo</t>
  </si>
  <si>
    <t>Cómo encontrarlo</t>
  </si>
  <si>
    <t>Abrir artículo</t>
  </si>
  <si>
    <t>Id del estudio (Autor+Año)</t>
  </si>
  <si>
    <t>Brazo</t>
  </si>
  <si>
    <t>¿Solo P. aeruginosa o mixto?</t>
  </si>
  <si>
    <t>Clase de resistencia</t>
  </si>
  <si>
    <t>¿De dónde sale esa clase?</t>
  </si>
  <si>
    <t>¿Cumple criterio DTR?</t>
  </si>
  <si>
    <t>Vía de administración</t>
  </si>
  <si>
    <t>¿Fago solo o con antibiótico?</t>
  </si>
  <si>
    <t>Diseño del estudio</t>
  </si>
  <si>
    <t>Estado de esta extracción</t>
  </si>
  <si>
    <t>Pacientes en este brazo</t>
  </si>
  <si>
    <t>Éxito clínico (nº pacientes)</t>
  </si>
  <si>
    <t>Eventos adversos (nº)</t>
  </si>
  <si>
    <t>Erradicación microbiológica (nº)</t>
  </si>
  <si>
    <t>Fallecidos (nº)</t>
  </si>
  <si>
    <t>Estancia hospitalaria (días)</t>
  </si>
  <si>
    <t>Aparición de resistencia al fago (nº)</t>
  </si>
  <si>
    <t>Año de publicación</t>
  </si>
  <si>
    <t>¿Cómo define el AUTOR el éxito clínico?</t>
  </si>
  <si>
    <t>Nivel de la revista</t>
  </si>
  <si>
    <t>País del estudio</t>
  </si>
  <si>
    <t>¿Dónde viste estos datos?</t>
  </si>
  <si>
    <t>Si algo quedó incompleto, ¿por qué?</t>
  </si>
  <si>
    <t>EST-008</t>
  </si>
  <si>
    <t>Phage therapy with nebulized cocktail BX004-A for chronic Pseudomonas aeruginosa infections in cystic fibrosis: a randomized first-in-human trial.</t>
  </si>
  <si>
    <t xml:space="preserve">Nature Communications </t>
  </si>
  <si>
    <t>2025</t>
  </si>
  <si>
    <t>articulo</t>
  </si>
  <si>
    <t>40593506</t>
  </si>
  <si>
    <t>abrir</t>
  </si>
  <si>
    <t>Weiner2025</t>
  </si>
  <si>
    <t>A</t>
  </si>
  <si>
    <t>solo Pseudomonas</t>
  </si>
  <si>
    <t>no clasificable</t>
  </si>
  <si>
    <t>verificado de forma independiente</t>
  </si>
  <si>
    <t>no derivable</t>
  </si>
  <si>
    <t>inhalada/nebulizada</t>
  </si>
  <si>
    <t>fago en monoterapia</t>
  </si>
  <si>
    <t>ECA</t>
  </si>
  <si>
    <t>COMPLETA</t>
  </si>
  <si>
    <t>Na</t>
  </si>
  <si>
    <t>Estados unidos</t>
  </si>
  <si>
    <t>Resultados</t>
  </si>
  <si>
    <t>EST-021</t>
  </si>
  <si>
    <t>Efficacy and tolerability of a cocktail of bacteriophages to treat burn wounds infected by Pseudomonas aeruginosa (PhagoBurn): a randomised, controlled, double-blind phase 1/2 tria</t>
  </si>
  <si>
    <t>The Lancet. Infectious diseases</t>
  </si>
  <si>
    <t>2019</t>
  </si>
  <si>
    <t>30292481</t>
  </si>
  <si>
    <t>EST-035</t>
  </si>
  <si>
    <t>Safety and microbiological activity of phage therapy in persons with cystic fibrosis colonized with Pseudomonas aeruginosa: study protocol for a phase 1b/2, multicenter, randomized</t>
  </si>
  <si>
    <t>Trials</t>
  </si>
  <si>
    <t>2022</t>
  </si>
  <si>
    <t>36578069</t>
  </si>
  <si>
    <t>EST-063</t>
  </si>
  <si>
    <t>Single-arm, open-labelled, safety and tolerability of intrabronchial and nebulised bacteriophage treatment in children with cystic fibrosis and Pseudomonas aeruginosa.</t>
  </si>
  <si>
    <t>BMJ open respiratory research</t>
  </si>
  <si>
    <t>2023</t>
  </si>
  <si>
    <t>10.1136/bmjresp-2022-001360</t>
  </si>
  <si>
    <t>EST-086</t>
  </si>
  <si>
    <t>Inhalation phage therapy as a new approach to preventing secondary bacterial pneumonia in patients with moderate to severe COVID-19: A double-blind clinical trial study</t>
  </si>
  <si>
    <t>Journal of Drug Delivery Science and Technology</t>
  </si>
  <si>
    <t>10.1016/j.jddst.2023.104486</t>
  </si>
  <si>
    <t>EST-101</t>
  </si>
  <si>
    <t>The Efficacy of Inhaled Phage Cocktail to Prevent Ventilator-Associated Pneumonia in Children: A Double-Blind Clinical Trial</t>
  </si>
  <si>
    <t>Biomedicines</t>
  </si>
  <si>
    <t>10.3390/biomedicines13092103</t>
  </si>
  <si>
    <t>EST-122</t>
  </si>
  <si>
    <t>Standardised treatment and monitoring protocol to assess safety and tolerability of bacteriophage therapy for adult and paediatric patients (STAMP study): protocol for an open-labe</t>
  </si>
  <si>
    <t>BMJ open</t>
  </si>
  <si>
    <t>10.1136/bmjopen-2022-065401</t>
  </si>
  <si>
    <t>EST-132</t>
  </si>
  <si>
    <t>Evaluation of the Potential Efficacy of Bacteriophage Therapy for the Management of Pressure Ulcers and Its Comparison to Conventional Therapy: A Randomized Controlled Trial</t>
  </si>
  <si>
    <t>Indian Journal of Critical Care Medicine</t>
  </si>
  <si>
    <t>2026</t>
  </si>
  <si>
    <t>10.5005/jp-journals-10071-25143</t>
  </si>
  <si>
    <t>EST-178</t>
  </si>
  <si>
    <t>CLINICAL AND LABORATORY JUSTIFICATION FOR USE OF POLYVALENT BACTERIOPHAGE IN TECHNIQUE OF DELAYED PRESCRIBING OF ANTIBIOTICS IN PATIENTS WITH ARS.</t>
  </si>
  <si>
    <t>Wiadomosci lekarskie (Warsaw, Poland : 1960)</t>
  </si>
  <si>
    <t>2021</t>
  </si>
  <si>
    <t>10.36740/wlek202106129</t>
  </si>
  <si>
    <t>EST-181</t>
  </si>
  <si>
    <t>Short-Term Outcomes of Phage-Antibiotic Combination Treatment in Adult Patients with Periprosthetic Hip Joint Infection.</t>
  </si>
  <si>
    <t>Viruses</t>
  </si>
  <si>
    <t>36851713</t>
  </si>
  <si>
    <t>EST-029</t>
  </si>
  <si>
    <t>Randomized double-blind study on safety and tolerability of TP-102 phage cocktail in patients with infected and non-infected diabetic foot ulcers.</t>
  </si>
  <si>
    <t>Med (New York, N.Y.)</t>
  </si>
  <si>
    <t>39740667</t>
  </si>
  <si>
    <t>EST-052</t>
  </si>
  <si>
    <t>CYstic Fibrosis bacterioPHage study at Yale (CYPHY)</t>
  </si>
  <si>
    <t>Journal of cystic fibrosis</t>
  </si>
  <si>
    <t>NCT04684641</t>
  </si>
  <si>
    <t>EST-078</t>
  </si>
  <si>
    <t>Efficacy of Bacteriophage Therapy in the Treatment of Diabetic Foot Ulcers: a Pilot Study from South India</t>
  </si>
  <si>
    <t>International journal of diabetes in developing countries</t>
  </si>
  <si>
    <t>resumen de congreso</t>
  </si>
  <si>
    <t>cita: Int J Diabetes Dev Ctries 2025</t>
  </si>
  <si>
    <t>EST-092</t>
  </si>
  <si>
    <t>Phage therapy analysis of effectiveness in comorbid patients with wounds and surgical infections of various etiology based on the results of a comparative clinical study; [Анализ э</t>
  </si>
  <si>
    <t>Pirogov Russian Journal of Surgery</t>
  </si>
  <si>
    <t>40103254</t>
  </si>
  <si>
    <t>EST-103</t>
  </si>
  <si>
    <t>Phage therapy of purulent wounds: comparative clinical cytomorphological and microbiological analysis of effectiveness; [Фаготерапиягнойныхран:сравнительныйклинико-цитоморфологичес</t>
  </si>
  <si>
    <t>41885494</t>
  </si>
  <si>
    <t>EST-118</t>
  </si>
  <si>
    <t>Intravesical bacteriophages for treating urinary tract infections in patients undergoing transurethral resection of the prostate: a randomised, placebo-controlled, double-blind cli</t>
  </si>
  <si>
    <t>32949500</t>
  </si>
  <si>
    <t>EST-126</t>
  </si>
  <si>
    <t>Application of bacteriophage therapy in the treatment of children with acute tonsillitis</t>
  </si>
  <si>
    <t xml:space="preserve">International Journal of Pediatrics and Adolescent Medicine </t>
  </si>
  <si>
    <t>2024</t>
  </si>
  <si>
    <t>10.4103/ijpam.ijpam_1_24</t>
  </si>
  <si>
    <t>EST-157</t>
  </si>
  <si>
    <t>A Randomized, Placebo-controlled, Double-blind Clinical Trial of Bacteriophage Cocktails in Chronic Wound Infections.</t>
  </si>
  <si>
    <t>The international journal of lower extremity wounds</t>
  </si>
  <si>
    <t>38233034</t>
  </si>
  <si>
    <t>EST-167</t>
  </si>
  <si>
    <t>Biological Therapy on Infected Traumatic Wounds: A Case-Control Study.</t>
  </si>
  <si>
    <t>10.1177/15347346211072779</t>
  </si>
  <si>
    <t>EST-173</t>
  </si>
  <si>
    <t>Use of bacteriophages in the treatment of infected wounds in patients who have allergy to antibiotics</t>
  </si>
  <si>
    <t>Surgical Chronicles</t>
  </si>
  <si>
    <t>2016</t>
  </si>
  <si>
    <t>cita: Surgical Chronicles 2016</t>
  </si>
  <si>
    <t>EST-177</t>
  </si>
  <si>
    <t>A randomized, double-blind, placebo- -controlled study to investigate the use of bacteriophages in patients with chronic rhinosinusitis with nasal polyps.</t>
  </si>
  <si>
    <t>Otolaryngologia polska = The Polish otolaryngology</t>
  </si>
  <si>
    <t>35175218</t>
  </si>
  <si>
    <t>EST-188</t>
  </si>
  <si>
    <t>Potential treatment method of recurrent urinary tract infection in postmenopausal kidney transplant recipients: the results of pilot study</t>
  </si>
  <si>
    <t>Nephrology dialysis transplantation</t>
  </si>
  <si>
    <t>2020</t>
  </si>
  <si>
    <t>cita: Nephrol Dial Transplant 2020 (resumen de congreso)</t>
  </si>
  <si>
    <t>EST-219</t>
  </si>
  <si>
    <t>Bacteriophages in complex treatment of septic diseases of the hand; [Использование лекарственных препаратов бактериофагов в комплексном лечении гнойных заболеваний кисти]</t>
  </si>
  <si>
    <t>10.17116/hirurgia202309145</t>
  </si>
  <si>
    <t>EST-004</t>
  </si>
  <si>
    <t>Personalized inhaled bacteriophage therapy for treatment of multidrug-resistant Pseudomonas aeruginosa in cystic fibrosis.</t>
  </si>
  <si>
    <t>Nature medicine</t>
  </si>
  <si>
    <t>10.1038/s41591-025-03678-8</t>
  </si>
  <si>
    <t>Chan2025</t>
  </si>
  <si>
    <t>MDR</t>
  </si>
  <si>
    <t>declarado por el autor</t>
  </si>
  <si>
    <t>si</t>
  </si>
  <si>
    <t>fago + antibiotico</t>
  </si>
  <si>
    <t>cohorte prospectiva</t>
  </si>
  <si>
    <t>Tabla 2 Terapia personalizada con fagos</t>
  </si>
  <si>
    <t>B</t>
  </si>
  <si>
    <t>PDR</t>
  </si>
  <si>
    <t>EST-024</t>
  </si>
  <si>
    <t>Bacteriophage Therapy for Pan-Drug-Resistant Pseudomonas aeruginosa in Two Persons With Cystic Fibrosis.</t>
  </si>
  <si>
    <t>Journal of investigative medicine high impact case reports</t>
  </si>
  <si>
    <t>10.1177/23247096231188243</t>
  </si>
  <si>
    <t>EST-039</t>
  </si>
  <si>
    <t>Adaptive Phage Therapy for the Prevention of Recurrent Nosocomial Pneumonia: Novel Protocol Description and Case Series</t>
  </si>
  <si>
    <t>Antibiotics</t>
  </si>
  <si>
    <t>10.3390/antibiotics12121734</t>
  </si>
  <si>
    <t>EST-042</t>
  </si>
  <si>
    <t>Phage therapy of perinephric abscess in kidney transplantation recipients caused by drug-resistant Pseudomonas aeruginosa.</t>
  </si>
  <si>
    <t>mLife</t>
  </si>
  <si>
    <t>10.1002/mlf2.70042</t>
  </si>
  <si>
    <t>EST-055</t>
  </si>
  <si>
    <t>Bacteriophage therapy in women with chronic recurrent cystitis caused by multidrug-resistant bacteria: A prospective, observational, comparative study</t>
  </si>
  <si>
    <t>Current Urology</t>
  </si>
  <si>
    <t>10.1097/cu9.0000000000000268</t>
  </si>
  <si>
    <t>EST-074</t>
  </si>
  <si>
    <t>Bacteriophage Therapy for Critical Infections Related to Cardiothoracic Surgery.</t>
  </si>
  <si>
    <t>Antibiotics (Basel, Switzerland)</t>
  </si>
  <si>
    <t>10.3390/antibiotics9050232</t>
  </si>
  <si>
    <t>EST-075</t>
  </si>
  <si>
    <t>Medical Immunology (Russia)</t>
  </si>
  <si>
    <t>10.15789/1563-0625-pti-2012</t>
  </si>
  <si>
    <t>EST-077</t>
  </si>
  <si>
    <t>Pseudomonas aeruginosa ventricular assist device infections: findings from ineffective phage therapies in five cases.</t>
  </si>
  <si>
    <t>Antimicrobial agents and chemotherapy</t>
  </si>
  <si>
    <t>10.1128/aac.01728-23</t>
  </si>
  <si>
    <t>EST-080</t>
  </si>
  <si>
    <t>Bacteriophage Therapy as a Potential Management Option for Surgical Wound Infections</t>
  </si>
  <si>
    <t>PHAGE: Therapy, Applications, and Research</t>
  </si>
  <si>
    <t>10.1089/phage.2020.0010</t>
  </si>
  <si>
    <t>EST-091</t>
  </si>
  <si>
    <t>Analysis of Pro- and Anti-Inflammatory Gene Response Patterns in Patients Receiving Phage Therapy.</t>
  </si>
  <si>
    <t>International journal of molecular sciences</t>
  </si>
  <si>
    <t>10.3390/ijms27010172</t>
  </si>
  <si>
    <t>EST-108</t>
  </si>
  <si>
    <t>Personalized bacteriophage therapy outcomes for 100 consecutive cases: a multicentre, multinational, retrospective observational study.</t>
  </si>
  <si>
    <t>Nature microbiology</t>
  </si>
  <si>
    <t>10.1038/s41564-024-01705-x</t>
  </si>
  <si>
    <t>EST-116</t>
  </si>
  <si>
    <t>Processing Phage Therapy Requests in a Brussels Military Hospital: Lessons Identified.</t>
  </si>
  <si>
    <t>10.3390/v11030265</t>
  </si>
  <si>
    <t>EST-117</t>
  </si>
  <si>
    <t>Anti-phage serum antibody responses and the outcome of phage therapy.</t>
  </si>
  <si>
    <t>Folia microbiologica</t>
  </si>
  <si>
    <t>10.1007/s12223-020-00835-z</t>
  </si>
  <si>
    <t>EST-134</t>
  </si>
  <si>
    <t>Adapted Bacteriophages for Treating Urinary Tract Infections.</t>
  </si>
  <si>
    <t>Frontiers in microbiology</t>
  </si>
  <si>
    <t>2018</t>
  </si>
  <si>
    <t>30131795</t>
  </si>
  <si>
    <t>EST-146</t>
  </si>
  <si>
    <t>A Retrospective, Observational Study of 12 Cases of Expanded-Access Customized Phage Therapy: Production, Characteristics, and Clinical Outcomes.</t>
  </si>
  <si>
    <t>Clinical infectious diseases : an official publication of the Infectious Diseases Society of America</t>
  </si>
  <si>
    <t>10.1093/cid/ciad335</t>
  </si>
  <si>
    <t>EST-152</t>
  </si>
  <si>
    <t>The Appearance of Antiphage Antibodies in Sera of Patients Treated with Phages</t>
  </si>
  <si>
    <t>10.3390/antibiotics14010087</t>
  </si>
  <si>
    <t>EST-169</t>
  </si>
  <si>
    <t>Safety and tolerability of bronchoscopic and nebulised administration of bacteriophage.</t>
  </si>
  <si>
    <t>Virus research</t>
  </si>
  <si>
    <t>10.1016/j.virusres.2024.199442</t>
  </si>
  <si>
    <t>EST-003</t>
  </si>
  <si>
    <t>Refractory Pseudomonas aeruginosa infections treated with phage PASA16: A compassionate use case series.</t>
  </si>
  <si>
    <t>10.1016/j.medj.2023.07.002</t>
  </si>
  <si>
    <t>Onallah2023</t>
  </si>
  <si>
    <t>no</t>
  </si>
  <si>
    <t>NA</t>
  </si>
  <si>
    <t>serie de casos</t>
  </si>
  <si>
    <t>En conclusión, parece que para los pacientes con infecciones persistentes por P. aeruginosa para los que la terapia convencional previa ha fracasado, el bacteriófago PASA16 puede ofrecer una opción de tratamiento razonable y segura, aunque se necesitan estudios prospectivos más amplios para definir mejor la susceptibilidad, el esquema de dosificación y la duración. Nuestro estudio ofrece una base potencial para dichos estudios, así como casos de uso compasivos en necesidad.</t>
  </si>
  <si>
    <t>Israel</t>
  </si>
  <si>
    <t>Tabla 4. Descripción general de los 16 casos de terapia con bacteriófagos PASA16</t>
  </si>
  <si>
    <t>por debajo del umbral MDR</t>
  </si>
  <si>
    <t>IV</t>
  </si>
  <si>
    <t>C</t>
  </si>
  <si>
    <t>D</t>
  </si>
  <si>
    <t>XDR</t>
  </si>
  <si>
    <t>E</t>
  </si>
  <si>
    <t>EST-019</t>
  </si>
  <si>
    <t>Neutralizing antibodies after nebulized phage therapy in cystic fibrosis patients.</t>
  </si>
  <si>
    <t>10.1016/j.medj.2024.05.017</t>
  </si>
  <si>
    <t>EST-028</t>
  </si>
  <si>
    <t>A feasibility study for personalized phage therapy against drug-resistant bacteria in Japan.</t>
  </si>
  <si>
    <t>Journal of infection and chemotherapy : official journal of the Japan Society of Chemotherapy</t>
  </si>
  <si>
    <t>10.1016/j.jiac.2025.102770</t>
  </si>
  <si>
    <t>EST-031</t>
  </si>
  <si>
    <t>Harnessing bacteriophages to combat antibiotic-resistant chronic postoperative infections: A promising case series</t>
  </si>
  <si>
    <t>Medicine in Microecology</t>
  </si>
  <si>
    <t>10.1016/j.medmic.2026.100178</t>
  </si>
  <si>
    <t>EST-034</t>
  </si>
  <si>
    <t>Lessons Learned From the First 10 Consecutive Cases of Intravenous Bacteriophage Therapy to Treat Multidrug-Resistant Bacterial Infections at a Single Center in the United States.</t>
  </si>
  <si>
    <t>Open forum infectious diseases</t>
  </si>
  <si>
    <t>10.1093/ofid/ofaa389</t>
  </si>
  <si>
    <t>EST-038</t>
  </si>
  <si>
    <t>Phage Therapy Experience at the Eliava Phage Therapy Center: Three Cases of Bacterial Persistence.</t>
  </si>
  <si>
    <t>10.3390/v13101901</t>
  </si>
  <si>
    <t>EST-050</t>
  </si>
  <si>
    <t>Access to phage therapy at Hospices Civils de Lyon in 2022: Implementation of the PHAGEinLYON Clinic programme.</t>
  </si>
  <si>
    <t>International journal of antimicrobial agents</t>
  </si>
  <si>
    <t>10.1016/j.ijantimicag.2024.107372</t>
  </si>
  <si>
    <t>EST-059</t>
  </si>
  <si>
    <t>Anti-phage antibody response in phage therapy against healthcare-associated infections (HAIs)</t>
  </si>
  <si>
    <t>Infektsionnye Bolezni</t>
  </si>
  <si>
    <t>2017</t>
  </si>
  <si>
    <t>10.20953/1729-9225-2017-1-35-40</t>
  </si>
  <si>
    <t>EST-061</t>
  </si>
  <si>
    <t>Early clinical experience of bacteriophage therapy in 3 lung transplant recipients.</t>
  </si>
  <si>
    <t>American journal of transplantation : official journal of the American Society of Transplantation and the American Society of Transplant Surgeons</t>
  </si>
  <si>
    <t>10.1111/ajt.15503</t>
  </si>
  <si>
    <t>EST-070</t>
  </si>
  <si>
    <t>Compassionate Use of Bacteriophages for Failed Persistent Infections During the First 5 Years of the Israeli Phage Therapy Center</t>
  </si>
  <si>
    <t>Open Forum Infectious Diseases</t>
  </si>
  <si>
    <t>10.1093/ofid/ofad221</t>
  </si>
  <si>
    <t>EST-073</t>
  </si>
  <si>
    <t>Bacteriophage Therapy of Chronic Nonhealing Wound: Clinical Study.</t>
  </si>
  <si>
    <t>10.1177/1534734619835115</t>
  </si>
  <si>
    <t>EST-076</t>
  </si>
  <si>
    <t>Experience Using Adjuvant Bacteriophage Therapy for the Treatment of 10 Recalcitrant Periprosthetic Joint Infections: A Case Series.</t>
  </si>
  <si>
    <t>10.1093/cid/ciac694</t>
  </si>
  <si>
    <t>EST-096</t>
  </si>
  <si>
    <t>Low immunogenicity of intravesical phage therapy for urogenitary tract infections</t>
  </si>
  <si>
    <t>10.3390/antibiotics10060627</t>
  </si>
  <si>
    <t>EST-098</t>
  </si>
  <si>
    <t>Bacteriophage therapy as a treatment option for complex cardiovascular implant infection: The German Heart Center Berlin experience.</t>
  </si>
  <si>
    <t>The Journal of heart and lung transplantation : the official publication of the International Society for Heart Transplantation</t>
  </si>
  <si>
    <t>10.1016/j.healun.2022.01.018</t>
  </si>
  <si>
    <t>EST-115</t>
  </si>
  <si>
    <t>Antiphage activity of sera during phage therapy in relation to its outcome.</t>
  </si>
  <si>
    <t>Future microbiology</t>
  </si>
  <si>
    <t>10.2217/fmb-2016-0156</t>
  </si>
  <si>
    <t>EST-133</t>
  </si>
  <si>
    <t>Phage therapy for the treatment for urinary tract infection: results of in-vitro screenings and in-vivo application using commercially available bacteriophage cocktails</t>
  </si>
  <si>
    <t>European urology, supplements</t>
  </si>
  <si>
    <t>cita: Eur Urol Suppl 2016 (informe previo del grupo de Leitner)</t>
  </si>
  <si>
    <t>EST-164</t>
  </si>
  <si>
    <t>Bacteriophage Application for Difficult-to-treat Musculoskeletal Infections: Development of a Standardized Multidisciplinary Treatment Protocol.</t>
  </si>
  <si>
    <t>10.3390/v11100891</t>
  </si>
  <si>
    <t>EST-165</t>
  </si>
  <si>
    <t>Use of Customized Bacteriophages in the Treatment of Chronic Nonhealing Wounds: A Prospective Study.</t>
  </si>
  <si>
    <t>10.1177/1534734619881076</t>
  </si>
  <si>
    <t>EST-185</t>
  </si>
  <si>
    <t>The management of sternal mediastinitis in heart and lung transplant patients: An 8-year experience and application of reconstructive algorithm</t>
  </si>
  <si>
    <t>Journal of Plastic, Reconstructive and Aesthetic Surgery</t>
  </si>
  <si>
    <t>10.1016/j.bjps.2026.06.028</t>
  </si>
  <si>
    <t>EST-001</t>
  </si>
  <si>
    <t>Case Report: Arthroscopic "Debridement Antibiotics and Implant Retention" With Local Injection of Personalized Phage Therapy to Salvage a Relapsing Pseudomonas Aeruginosa Prostheti</t>
  </si>
  <si>
    <t>Frontiers in medicine</t>
  </si>
  <si>
    <t>10.3389/fmed.2021.569159</t>
  </si>
  <si>
    <t>Ferry2021</t>
  </si>
  <si>
    <t>intraarticular</t>
  </si>
  <si>
    <t>caso clinico</t>
  </si>
  <si>
    <t>PARCIAL</t>
  </si>
  <si>
    <t>Los datos actuales sugieren que el procedimiento PhagoDAIR por artroscopia tiene el potencial de ser utilizado como terapia de rescate para pacientes con P. aeruginosa PJI recidivante, en combinación con terapia antimicrobiana supresora. Un estudio clínico de fase II merece ser realizado para confirmar esta hipótesis.</t>
  </si>
  <si>
    <t>Francia</t>
  </si>
  <si>
    <t>Informe del caso</t>
  </si>
  <si>
    <t>Falta el antibiograma</t>
  </si>
  <si>
    <t>EST-002</t>
  </si>
  <si>
    <t>Case report: Analysis of phage therapy failure in a patient with a Pseudomonas aeruginosa prosthetic vascular graft infection.</t>
  </si>
  <si>
    <t>10.3389/fmed.2023.1199657</t>
  </si>
  <si>
    <t>Blasco2023</t>
  </si>
  <si>
    <t>otra</t>
  </si>
  <si>
    <t>En conclusión, en las infecciones complejas por P. aeruginosa, la elección de la terapia antibiótica y su duración son cruciales para minimizar la presión antibiótica y el desarrollo de la resistencia. Aunque no hemos demostrado que el tratamiento con fagos haya sido efectivo en este caso, el estudio de los mecanismos moleculares de resistencia a los fagos y las interacciones bacterias-fágos son clave para mejorar la terapia con fagos en un futuro próximo.</t>
  </si>
  <si>
    <t>España</t>
  </si>
  <si>
    <t>EST-006</t>
  </si>
  <si>
    <t>Phage Therapy in a Burn Patient Colonized with Extensively Drug-Resistant Pseudomonas aeruginosa Responsible for Relapsing Ventilator-Associated Pneumonia and Bacteriemia.</t>
  </si>
  <si>
    <t>10.3390/v16071080</t>
  </si>
  <si>
    <t>Teney2024</t>
  </si>
  <si>
    <t xml:space="preserve">2 meses </t>
  </si>
  <si>
    <t>En este caso, el efecto sinérgico de la administración de fagos y las dosis más bajas de antibióticos podrían haber sido la razón del resultado positivo. Los fagos permitieron dosis más bajas de antibióticos y redujeron sus toxicidades, que eran graves y no controlaban la colonización respiratoria. Aunque el PAS no resultó en un éxito microbiano, el resultado clínico fue favorable. La inmunoestimulación también puede influir en el resultado. Facilitar el uso de la terapia con fagos sobre la base del uso compasivo es el primer paso antes de llevar a cabo ensayos terapéuticos para demostrar su valor añadido para esta indicación. Este tratamiento adaptado al paciente fue posible debido a la baja respuesta inmune a la infección y la disponibilidad de los fagos listos para usar, con un fagograma compatible en la cepa de P. aeruginosa del paciente.</t>
  </si>
  <si>
    <t xml:space="preserve">Francia </t>
  </si>
  <si>
    <t>Tabla 1 figura 2</t>
  </si>
  <si>
    <t>EST-009</t>
  </si>
  <si>
    <t>Case Report: Chronic Bacterial Prostatitis Treated With Phage Therapy After Multiple Failed Antibiotic Treatments.</t>
  </si>
  <si>
    <t>Frontiers in pharmacology</t>
  </si>
  <si>
    <t>10.3389/fphar.2021.692614</t>
  </si>
  <si>
    <t>Johri2021</t>
  </si>
  <si>
    <t>El paciente descrito en este estudio de caso se sometió a numerosos ciclos de antibióticos sin mejoría en los síntomas o evaluación adecuada, como análisis bacteriológico y TRUS. Este fracaso de los antibióticos para proporcionar mejora clínica lo llevó a buscar un tratamiento alternativo. La terapia con fagos mostró eficacia tanto en la erradicación de bacterias patógenas como se observó en repetidos análisis microbiológicos y la reducción de la inflamación en la próstata, así como en el volumen sin cargar al paciente con efectos secundarios. La calidad de vida del paciente mejoró drásticamente. Ahora está libre de síntomas y ha restaurado la actividad normal.</t>
  </si>
  <si>
    <t>Tabla 1 y tabla 2</t>
  </si>
  <si>
    <t>No es pseudomona</t>
  </si>
  <si>
    <t>EST-010</t>
  </si>
  <si>
    <t>Personalized bacteriophage therapy to treat pandrug-resistant spinal Pseudomonas aeruginosa infection.</t>
  </si>
  <si>
    <t>10.1038/s41467-022-31837-9</t>
  </si>
  <si>
    <t>Ferry2022</t>
  </si>
  <si>
    <t>En el presente caso, un factor limitante fue el tiempo para examinar, producir y purificar los bacteriófagos (en total 3 meses) antes de que se pudiera administrar al paciente un cóctel de fagos premontado, personalizado y dirigido como adyuvante para la cirugía y los antibióticos. En consecuencia, tener acceso a una colección de fagos purificados, que podrían usarse en un corto retraso, podría ser extremadamente importante para futuros tratamientos de infecciones bacterianas tan graves. Por lo menos, el presente estudio de caso ha demostrado una vez más la seguridad de los fagos purificados, administrados varias veces localmente y por vía intravenosa. En consecuencia, con respecto al enfoque altamente personalizado necesario para la terapia de fagos, las colaboraciones académicas, además de los actores industriales, son muy valiosas para desarrollar el campo. De hecho, como se ha demostrado aquí, una colaboración académica europea única en el contexto de un tratamiento que salva vidas proporcionó nuevamente datos importantes que, con suerte, facilitarán el establecimiento y la realización de ensayos clínicos en una indicación principalmente relevante.</t>
  </si>
  <si>
    <t>EST-011</t>
  </si>
  <si>
    <t>A case report of bacteriophage therapy for the treatment of lung infection due to carbapenem-resistant Pseudomonas aeruginosa.</t>
  </si>
  <si>
    <t>Scientific reports</t>
  </si>
  <si>
    <t>10.1038/s41598-025-17510-3</t>
  </si>
  <si>
    <t>Yang2025</t>
  </si>
  <si>
    <t>En general, el paciente estaba infectado con P. aeruginosa multirresistente, lo que resultó en síntomas potencialmente mortales. Después de la terapia con fagos personalizada, la infección del paciente mejoró significativamente, con la normalización de los marcadores inflamatorios y la mejora de las lesiones pulmonares a pesar del aislamiento de las cepas resistentes a los fagos. Si bien la erradicación completa de P. aeruginosa puede no ser siempre alcanzable, la virulencia reducida de las cepas resistentes a los fagos contribuyó a una marcada mejora en la condición clínica del paciente. Esta investigación enfatiza la importancia de comprender las complejas interacciones entre fagos y bacterias para optimizar las estrategias de terapia de fagos.</t>
  </si>
  <si>
    <t>China</t>
  </si>
  <si>
    <t>EST-012</t>
  </si>
  <si>
    <t>Chronic suppression of a multidrug-resistant Pseudomonas aeruginosa in prosthetic joint infection using personalized bacteriophage treatment.</t>
  </si>
  <si>
    <t>Nature communications</t>
  </si>
  <si>
    <t>10.1038/s41467-026-74326-z</t>
  </si>
  <si>
    <t>Arya2026</t>
  </si>
  <si>
    <t xml:space="preserve"> El tratamiento con terapia intermitente con bacteriófagos solo sin antibióticos durante un período de 2 años resultó en la resolución clínica de la infección, pero no en la erradicación microbiológica. La terapia con bacteriófagos estableció este control, en parte, alterando la virulencia definida por la gravedad y los síntomas de la enfermedad e interrumpiendo la biopelícula. La secuenciación del genoma completo demostró la presencia continua de bacteriófagos durante el tratamiento. Esto proporciona evidencia preliminar de que la terapia con bacteriófagos se puede utilizar para tratar infecciones MDR en casos de rescate cuando no existen opciones quirúrgicas y de antibióticos.</t>
  </si>
  <si>
    <t>Estados Unidos</t>
  </si>
  <si>
    <t>Resumen</t>
  </si>
  <si>
    <t>No open acces</t>
  </si>
  <si>
    <t>EST-014</t>
  </si>
  <si>
    <t>Bacteriophage therapy for empyema caused by carbapenem-resistant Pseudomonas aeruginosa.</t>
  </si>
  <si>
    <t>Bioscience trends</t>
  </si>
  <si>
    <t>10.5582/bst.2022.01147</t>
  </si>
  <si>
    <t>Chen2022</t>
  </si>
  <si>
    <t>EST-016</t>
  </si>
  <si>
    <t>Use of Phage Cocktail BFC 1.10 in Combination With Ceftazidime-Avibactam in the Treatment of Multidrug-Resistant Pseudomonas aeruginosa Femur Osteomyelitis-A Case Report.</t>
  </si>
  <si>
    <t>10.3389/fmed.2022.851310</t>
  </si>
  <si>
    <t>EST-017</t>
  </si>
  <si>
    <t>Successful Treatment of a Patient With Chronic Bronchiectasis Using an Induced Native Phage Cocktail: A Case Report.</t>
  </si>
  <si>
    <t>Cureus</t>
  </si>
  <si>
    <t>10.7759/cureus.77681</t>
  </si>
  <si>
    <t>EST-020</t>
  </si>
  <si>
    <t>Adjunctive phage therapy improves antibiotic treatment of ventilator-associated-pneumonia with Pseudomonas aeruginosa.</t>
  </si>
  <si>
    <t>10.1038/s41467-025-59806-y</t>
  </si>
  <si>
    <t>EST-027</t>
  </si>
  <si>
    <t>Personalized aerosolised bacteriophage treatment of a chronic lung infection due to multidrug-resistant Pseudomonas aeruginosa.</t>
  </si>
  <si>
    <t>10.1038/s41467-023-39370-z</t>
  </si>
  <si>
    <t>EST-030</t>
  </si>
  <si>
    <t>Clearance of hypermutator XDR Pseudomonas osteomyelitis and hardware infection with adjunctive bacteriophage therapy.</t>
  </si>
  <si>
    <t>ASM case reports</t>
  </si>
  <si>
    <t>10.1128/asmcr.00108-25</t>
  </si>
  <si>
    <t>EST-037</t>
  </si>
  <si>
    <t>Pan-Resistant Pseudomonas aeruginosa Septic Shock in a Critically Ill Patient: A Case Report.</t>
  </si>
  <si>
    <t xml:space="preserve">Clinical Medicine Insights: Case Reports </t>
  </si>
  <si>
    <t>10.1177/11795476251411094</t>
  </si>
  <si>
    <t>EST-040</t>
  </si>
  <si>
    <t>Refractory Pseudomonas aeruginosa Bronchopulmonary Infection After Lung Transplantation for Common Variable Immunodeficiency Despite Maximal Treatment Including IgM/IgA-Enriched Im</t>
  </si>
  <si>
    <t>Infection and drug resistance</t>
  </si>
  <si>
    <t>10.2147/idr.s413900</t>
  </si>
  <si>
    <t>EST-041</t>
  </si>
  <si>
    <t>Optimized preparation pipeline for emergency phage therapy against Pseudomonas aeruginosa at Yale University.</t>
  </si>
  <si>
    <t>10.1038/s41598-024-52192-3</t>
  </si>
  <si>
    <t>EST-046</t>
  </si>
  <si>
    <t>Use of bacteriophages in the treatment of colistin-only-sensitive Pseudomonas aeruginosa septicaemia in a patient with acute kidney injury-a case report.</t>
  </si>
  <si>
    <t>Critical care (London, England)</t>
  </si>
  <si>
    <t>10.1186/s13054-017-1709-y</t>
  </si>
  <si>
    <t>EST-047</t>
  </si>
  <si>
    <t>Bacteriophages as Adjuvant to Antibiotics for the Treatment of Periprosthetic Joint Infection Caused by Multidrug-Resistant Pseudomonas aeruginosa.</t>
  </si>
  <si>
    <t>10.1128/aac.00924-19</t>
  </si>
  <si>
    <t>EST-048</t>
  </si>
  <si>
    <t>Application of Phage Therapy in a Case of a Chronic Hip-Prosthetic Joint Infection due to Pseudomonas aeruginosa: An Italian Real-Life Experience and In Vitro Analysis.</t>
  </si>
  <si>
    <t>10.1093/ofid/ofad051</t>
  </si>
  <si>
    <t>EST-051</t>
  </si>
  <si>
    <t>Case report: Local bacteriophage therapy for fracture-related infection with polymicrobial multi-resistant bacteria: hydrogel application and postoperative phage analysis through m</t>
  </si>
  <si>
    <t>Frontiers in Medicine</t>
  </si>
  <si>
    <t>10.3389/fmed.2024.1428432</t>
  </si>
  <si>
    <t>EST-053</t>
  </si>
  <si>
    <t>Phage-Antibiotic Combination Therapy against Recurrent Pseudomonas Septicaemia in a Patient with an Arterial Stent.</t>
  </si>
  <si>
    <t>10.3390/antibiotics13100916</t>
  </si>
  <si>
    <t>EST-057</t>
  </si>
  <si>
    <t>Phage Therapy as a Rescue Treatment for Recurrent Pseudomonas aeruginosa Bentall Infection.</t>
  </si>
  <si>
    <t>10.3390/v17010123</t>
  </si>
  <si>
    <t>EST-058</t>
  </si>
  <si>
    <t>Resolution of acute rejection in a bilateral double-lung transplanted cystic fibrosis patient following phage intervention.</t>
  </si>
  <si>
    <t>10.1128/asmcr.00058-24</t>
  </si>
  <si>
    <t>EST-062</t>
  </si>
  <si>
    <t>Bacteriophage-antibiotic combination therapy against extensively drug-resistant Pseudomonas aeruginosa infection to allow liver transplantation in a toddler.</t>
  </si>
  <si>
    <t>10.1038/s41467-022-33294-w</t>
  </si>
  <si>
    <t>EST-085</t>
  </si>
  <si>
    <t>First-in-human application of double-stranded RNA bacteriophage in the treatment of pulmonary Pseudomonas aeruginosa infection.</t>
  </si>
  <si>
    <t>Microbial biotechnology</t>
  </si>
  <si>
    <t>10.1111/1751-7915.14217</t>
  </si>
  <si>
    <t>EST-088</t>
  </si>
  <si>
    <t>Case report: Personalized triple phage-antibiotic combination therapy to rescue necrotizing fasciitis caused by Panton-Valentine leukocidin-producing MRSA in a 12-year-old boy.</t>
  </si>
  <si>
    <t>Frontiers in cellular and infection microbiology</t>
  </si>
  <si>
    <t>10.3389/fcimb.2024.1354681</t>
  </si>
  <si>
    <t>EST-093</t>
  </si>
  <si>
    <t>Pharmacodynamic individualization of phage therapy against a KPC-5-producing Pseudomonas aeruginosa.</t>
  </si>
  <si>
    <t>JAC-antimicrobial resistance</t>
  </si>
  <si>
    <t>10.1093/jacamr/dlaf257</t>
  </si>
  <si>
    <t>EST-094</t>
  </si>
  <si>
    <t>Timely bespoke phage-antibiotic combination to treat refractory Pseudomonas aeruginosa mediastinitis and vascular graft infection.</t>
  </si>
  <si>
    <t>10.1038/s41467-025-68136-y</t>
  </si>
  <si>
    <t>EST-095</t>
  </si>
  <si>
    <t>Bacterial lysis, autophagy and innate immune responses during adjunctive phage therapy in a child.</t>
  </si>
  <si>
    <t>EMBO molecular medicine</t>
  </si>
  <si>
    <t>10.15252/emmm.202113936</t>
  </si>
  <si>
    <t>EST-106</t>
  </si>
  <si>
    <t>Phage treatment of an aortic graft infected with Pseudomonas aeruginosa.</t>
  </si>
  <si>
    <t>Evolution, medicine, and public health</t>
  </si>
  <si>
    <t>10.1093/emph/eoy005</t>
  </si>
  <si>
    <t>EST-121</t>
  </si>
  <si>
    <t>Do Anti-Phage Antibodies Persist after Phage Therapy? A Preliminary Report</t>
  </si>
  <si>
    <t>10.3390/antibiotics11101358</t>
  </si>
  <si>
    <t>EST-124</t>
  </si>
  <si>
    <t>Successful Bacteriophage-Antibiotic Combination Therapy against Multidrug-Resistant Pseudomonas aeruginosa Left Ventricular Assist Device Driveline Infection.</t>
  </si>
  <si>
    <t>10.3390/v15051210</t>
  </si>
  <si>
    <t>EST-129</t>
  </si>
  <si>
    <t>Phage Therapy for Orthopaedic Infections: The First Three Cases from the United Kingdom</t>
  </si>
  <si>
    <t>10.3390/antibiotics14020114</t>
  </si>
  <si>
    <t>EST-130</t>
  </si>
  <si>
    <t>Prolonged disease remission of the chronic immunological skin disorder hidradenitis suppurativa with adjunctive bacteriophage therapy.</t>
  </si>
  <si>
    <t>10.1038/s41467-025-65939-x</t>
  </si>
  <si>
    <t>EST-135</t>
  </si>
  <si>
    <t>The Potential Innovative Use of Bacteriophages Within the DAC® Hydrogel to Treat Patients With Knee Megaprosthesis Infection Requiring “Debridement Antibiotics and Implant Retentio</t>
  </si>
  <si>
    <t>10.3389/fmed.2020.00342</t>
  </si>
  <si>
    <t>EST-159</t>
  </si>
  <si>
    <t>Bacteriophage-Enriched Galenic for Intrapericardial Ventricular Assist Device Infection</t>
  </si>
  <si>
    <t>10.3390/antibiotics11050602</t>
  </si>
  <si>
    <t>EST-199</t>
  </si>
  <si>
    <t>Successful use of a phage endolysin for treatment of chronic pelvic pain syndrome/chronic bacterial prostatitis</t>
  </si>
  <si>
    <t>10.3389/fmed.2023.1238147</t>
  </si>
  <si>
    <t>EST-212</t>
  </si>
  <si>
    <t>Local Treatment of Driveline Infection with Bacteriophages</t>
  </si>
  <si>
    <t>10.3390/antibiotics11101310</t>
  </si>
  <si>
    <t>EST-005</t>
  </si>
  <si>
    <t>Successful adjunctive use of bacteriophage therapy for treatment of multidrug-resistant Pseudomonas aeruginosa infection in a cystic fibrosis patient.</t>
  </si>
  <si>
    <t>Infection</t>
  </si>
  <si>
    <t>10.1007/s15010-019-01319-0</t>
  </si>
  <si>
    <t>Law2019</t>
  </si>
  <si>
    <t>Dada la preocupación por las infecciones por MDR P. aeruginosa en pacientes con FQ, BT puede ofrecer un complemento antiinfeccioso viable a la terapia antibiótica tradicional.</t>
  </si>
  <si>
    <t>Sin acceso completo</t>
  </si>
  <si>
    <t>EST-007</t>
  </si>
  <si>
    <t>Adjuvant multisite bacteriophage cocktail administration as salvage treatment in a patient with a multidrug-resistant Pseudomonas aeruginosa frontal relapsing complex osteitis.</t>
  </si>
  <si>
    <t>International journal of infectious diseases : IJID : official publication of the International Society for Infectious Diseases</t>
  </si>
  <si>
    <t>10.1016/j.ijid.2026.108756</t>
  </si>
  <si>
    <t>Aurore2026</t>
  </si>
  <si>
    <t>La experiencia con la terapia con fagos está creciendo, y la mayoría de los casos no han reportado efectos secundarios adversos graves, como en el caso presentado aquí [14]. La personalización de la terapia con fagos, que combina múltiples vías de administración, es necesaria para lograr una exposición suficiente de fagos en el sitio de la infección para obtener un efecto clínico. Para ese propósito, la estructuración a nivel nacional con reuniones multidisciplinarias dedicadas es útil y facilitará el desempeño de los ensayos clínicos de terapia con fagos.</t>
  </si>
  <si>
    <t>Presentación del caso</t>
  </si>
  <si>
    <t>EST-013</t>
  </si>
  <si>
    <t>Personalized bacteriophage therapy for chronic biliary tract Pseudomonas aeruginosa infections</t>
  </si>
  <si>
    <t>hLife</t>
  </si>
  <si>
    <t>10.1016/j.hlife.2025.03.004</t>
  </si>
  <si>
    <t>Li2026</t>
  </si>
  <si>
    <t>intravesical</t>
  </si>
  <si>
    <t>Después de que el paciente se sometiera al curso inicial de la terapia con cóctel de fagos dsDNA, se observó la aparición de mutantes de P.aeruginosa totalmente resistentes a los fagos. Estos mutantes se caracterizaron por varias mutaciones que resultan en mutaciones de antígeno O, que pueden contribuir a infecciones persistentes y complicar el manejo. Por ejemplo, se encontró una eliminación de fragmento genómico de 24.836 pb en W221205R, incluyendo galU y hmgA. Esta deleción conduce a la pérdida de antígeno O y a la acumulación de ácido homogentisico, respectivamente [20]. Además, una mutación en el gen biosintético dnpA de la región central de LPS en W221205 podría causar resistencia a los fagos durante la primera terapia con fagos. Esto indica que la terapia con fagos fue muy efectiva ya que se eliminó la cepa dominante original, se seleccionaron clones resistentes a los fagos y los síntomas del paciente se aliviaron significativamente</t>
  </si>
  <si>
    <t>EST-015</t>
  </si>
  <si>
    <t>Combination of phage therapy and cefiderocol to successfully treat Pseudomonas aeruginosa cranial osteomyelitis.</t>
  </si>
  <si>
    <t>10.1093/jacamr/dlac046</t>
  </si>
  <si>
    <t>EST-018</t>
  </si>
  <si>
    <t>Bacteriophage therapy in clinical practice: case studies of Pseudomonas aeruginosa infections.</t>
  </si>
  <si>
    <t>Journal of chemotherapy (Florence, Italy)</t>
  </si>
  <si>
    <t>10.1080/1120009x.2025.2547147</t>
  </si>
  <si>
    <t>EST-032</t>
  </si>
  <si>
    <t>Refractory Pseudomonas Bacteremia in a 2-Year-Old Sterilized by Bacteriophage Therapy.</t>
  </si>
  <si>
    <t>Journal of the Pediatric Infectious Diseases Society</t>
  </si>
  <si>
    <t>10.1093/jpids/pix056</t>
  </si>
  <si>
    <t>EST-033</t>
  </si>
  <si>
    <t>Bacteriophage Therapy of Ventilator-associated Pneumonia and Empyema Caused by Pseudomonas aeruginosa.</t>
  </si>
  <si>
    <t>American journal of respiratory and critical care medicine</t>
  </si>
  <si>
    <t>10.1164/rccm.201904-0839le</t>
  </si>
  <si>
    <t>EST-043</t>
  </si>
  <si>
    <t>Calciphylaxis complicated by NDM-1-producing Pseudomonas aeruginosa: first experience with cefepime-zidebactam alongside phage therapy in the USA.</t>
  </si>
  <si>
    <t>10.1016/s1473-3099(26)00176-3</t>
  </si>
  <si>
    <t>EST-044</t>
  </si>
  <si>
    <t>Successful Bacteriophage Treatment of a Recalcitrant Intra-Abdominal Infection Caused by Multidrug-Resistant Pseudomonas aeruginosa in a 2-Year-Old Child.</t>
  </si>
  <si>
    <t>The Journal of pediatrics</t>
  </si>
  <si>
    <t>10.1016/j.jpeds.2026.115005</t>
  </si>
  <si>
    <t>EST-045</t>
  </si>
  <si>
    <t>Concept of individualized medicine based on personalized phage therapy for intensive care unit patients suffering from healthcare-associated infections</t>
  </si>
  <si>
    <t>10.20953/1729-9225-2017-4-49-54</t>
  </si>
  <si>
    <t>EST-049</t>
  </si>
  <si>
    <t>Development of Host Immune Response to Bacteriophage in a Lung Transplant Recipient on Adjunctive Phage Therapy for a Multidrug-Resistant Pneumonia.</t>
  </si>
  <si>
    <t>The Journal of infectious diseases</t>
  </si>
  <si>
    <t>10.1093/infdis/jiac368</t>
  </si>
  <si>
    <t>EST-054</t>
  </si>
  <si>
    <t>Bacteriophage Therapy for Chronic Mastoiditis.</t>
  </si>
  <si>
    <t>Otology &amp; neurotology : official publication of the American Otological Society, American Neurotology Society [and] European Academy of Otology and Neurotology</t>
  </si>
  <si>
    <t>10.1097/mao.0000000000004417</t>
  </si>
  <si>
    <t>EST-060</t>
  </si>
  <si>
    <t>Clinical Indications and Compassionate Use of Phage Therapy: Personal Experience and Literature Review with a Focus on Osteoarticular Infections.</t>
  </si>
  <si>
    <t>10.3390/v11010018</t>
  </si>
  <si>
    <t>EST-064</t>
  </si>
  <si>
    <t>Adjunctive bacteriophage therapy for refractory/resistant Pseudomonas aeruginosa infections: Bottlenecks and proposed solutions.</t>
  </si>
  <si>
    <t>10.1016/j.ijantimicag.2025.107629</t>
  </si>
  <si>
    <t>EST-065</t>
  </si>
  <si>
    <t>Successful phage therapy in a patient with prosthetic joint infection; [Tratamiento exitoso con fagoterapia en una paciente con infección periprotésica]</t>
  </si>
  <si>
    <t>Enfermedades Infecciosas y Microbiologia Clinica</t>
  </si>
  <si>
    <t>10.1016/j.eimc.2025.05.008</t>
  </si>
  <si>
    <t>EST-081</t>
  </si>
  <si>
    <t>Bacteriophage therapy as a treatment option for transplant infections.</t>
  </si>
  <si>
    <t>Current opinion in infectious diseases</t>
  </si>
  <si>
    <t>10.1097/qco.0000000000000658</t>
  </si>
  <si>
    <t>EST-083</t>
  </si>
  <si>
    <t>Bacteriophage Therapy for Difficult-to-Treat Infections: The Implementation of a Multidisciplinary Phage Task Force (The PHAGEFORCE Study Protocol).</t>
  </si>
  <si>
    <t>10.3390/v13081543</t>
  </si>
  <si>
    <t>EST-105</t>
  </si>
  <si>
    <t>Innovations for the treatment of a complex bone and joint infection due to XDR Pseudomonas aeruginosa including local application of a selected cocktail of bacteriophages.</t>
  </si>
  <si>
    <t>The Journal of antimicrobial chemotherapy</t>
  </si>
  <si>
    <t>10.1093/jac/dky263</t>
  </si>
  <si>
    <t>EST-110</t>
  </si>
  <si>
    <t>Successful Use of Phage and Antibiotics Therapy for the Eradication of Two Bacterial Pathogens from the Respiratory Tract of an Infant.</t>
  </si>
  <si>
    <t>Methods in molecular biology (Clifton, N.J.)</t>
  </si>
  <si>
    <t>10.1007/978-1-0716-3523-0_15</t>
  </si>
  <si>
    <t>EST-131</t>
  </si>
  <si>
    <t>Results of TOR001: An open-label single patient study using targeted bacteriophage therapy for the treatment of a chronic urinary tract infection</t>
  </si>
  <si>
    <t>10.1016/j.ijantimicag.2025.107613</t>
  </si>
  <si>
    <t>EST-140</t>
  </si>
  <si>
    <t>Novel bacteriophage therapy for treatment of left ventricular assist device infection.</t>
  </si>
  <si>
    <t>10.1016/j.healun.2019.01.001</t>
  </si>
  <si>
    <t>EST-147</t>
  </si>
  <si>
    <t>Complex surgical treatment of recurrent post-injection abscess in a patient with systemic autoimmune disease; [Комплексное хирургическое лечение рецидивирующего постинъекционного а</t>
  </si>
  <si>
    <t>10.17116/hirurgia2023121123</t>
  </si>
  <si>
    <t>EST-170</t>
  </si>
  <si>
    <t>Thoracic endovascular aneurysm repair of a ruptured zone 0 mycotic thoracic aortic aneurysm</t>
  </si>
  <si>
    <t>Annals of Vascular Surgery - Brief Reports and Innovations</t>
  </si>
  <si>
    <t>10.1016/j.avsurg.2024.100302</t>
  </si>
  <si>
    <t>EST-184</t>
  </si>
  <si>
    <t>Severe Darier disease complicated by recurrent multidrug-resistant cutaneous infection</t>
  </si>
  <si>
    <t>JAAD Case Reports</t>
  </si>
  <si>
    <t>10.1016/j.jdcr.2026.06.010</t>
  </si>
  <si>
    <t>EST-205</t>
  </si>
  <si>
    <t>Beneficios obtenidos con el empleo de bacteriófagos en el tratamiento de infecciones crónicas</t>
  </si>
  <si>
    <t>Revista Cubana de Angiología y Cirugía Vascular</t>
  </si>
  <si>
    <t>cita: Rev Cubana Angiol Cir Vasc 2017</t>
  </si>
  <si>
    <t>EST-207</t>
  </si>
  <si>
    <t>Successful bacteriophage treatment of infection involving cardiac implantable electronic device and aortic graft: a Trojan horse concept.</t>
  </si>
  <si>
    <t>Europace : European pacing, arrhythmias, and cardiac electrophysiology : journal of the working groups on cardiac pacing, arrhythmias, and cardiac cellular electrophysiology of the European Society of Cardiology</t>
  </si>
  <si>
    <t>10.1093/europace/euz319</t>
  </si>
  <si>
    <t>EST-208</t>
  </si>
  <si>
    <t>Treatment of chronic left ventricular assist device infection with local application of bacteriophages.</t>
  </si>
  <si>
    <t>European journal of cardio-thoracic surgery : official journal of the European Association for Cardio-thoracic Surgery</t>
  </si>
  <si>
    <t>10.1093/ejcts/ezz295</t>
  </si>
  <si>
    <t>Nivel de cada revista — se decide UNA vez por revista, no por estudio</t>
  </si>
  <si>
    <t>Criterio de esta revisión (memo de estrategia, comprobación de falsación nº2):</t>
  </si>
  <si>
    <t>el nivel es un indicador grueso, solo sirve para comprobar que la revista no</t>
  </si>
  <si>
    <t>predice el resultado agrupado. No hace falta afinar: basta alto / medio / bajo.</t>
  </si>
  <si>
    <t>alto   revista general o de infecciosas de primera línea (Nature Microbiology,</t>
  </si>
  <si>
    <t xml:space="preserve">       Lancet Infect Dis, Clinical Infectious Diseases, Nature Communications…)</t>
  </si>
  <si>
    <t>medio  revista especializada con revisión por pares (Viruses, Antibiotics,</t>
  </si>
  <si>
    <t xml:space="preserve">       Antimicrob Agents Chemother, Frontiers…)</t>
  </si>
  <si>
    <t>bajo   revista local, sin indexación reconocible o sin revisión por pares clara</t>
  </si>
  <si>
    <t>solo registro   no es una revista: es una ficha de ensayo</t>
  </si>
  <si>
    <t>Si duda, búsquela en scimagojr.com: Q1 y Q2 -&gt; alto o medio; Q3, Q4 o sin</t>
  </si>
  <si>
    <t>cuartil -&gt; bajo. Anote la fuente en la última columna.</t>
  </si>
  <si>
    <t>Las que ya traen nivel salen del corpus ya extraído de este proyecto. No las</t>
  </si>
  <si>
    <t>cambie sin motivo: cambiarlas descuadra los 42 estudios ya codificados.</t>
  </si>
  <si>
    <t>Estudios</t>
  </si>
  <si>
    <t>Nivel</t>
  </si>
  <si>
    <t>Propuesta (confirmar)</t>
  </si>
  <si>
    <t>Fuente / nota</t>
  </si>
  <si>
    <t>medio</t>
  </si>
  <si>
    <t>corpus del proyecto</t>
  </si>
  <si>
    <t>Nature Communications</t>
  </si>
  <si>
    <t>alto</t>
  </si>
  <si>
    <t>buscar en scimagojr.com</t>
  </si>
  <si>
    <t>propuesta: confirmar</t>
  </si>
  <si>
    <t>Clinical Medicine Insights: Case Reports</t>
  </si>
  <si>
    <t>bajo</t>
  </si>
  <si>
    <t>International Journal of Pediatrics and Adolescent Medicine</t>
  </si>
  <si>
    <t>no aplica (serie de libros)</t>
  </si>
  <si>
    <t>País</t>
  </si>
  <si>
    <t>Nivel de revista</t>
  </si>
  <si>
    <t>Motivo si quedó incompleto</t>
  </si>
  <si>
    <t>Alemania</t>
  </si>
  <si>
    <t>Australia</t>
  </si>
  <si>
    <t>texto completo no accesible</t>
  </si>
  <si>
    <t>Bélgica</t>
  </si>
  <si>
    <t>el artículo no separa los datos de P. aeruginosa</t>
  </si>
  <si>
    <t>Canadá</t>
  </si>
  <si>
    <t>solo registro</t>
  </si>
  <si>
    <t>el artículo no reporta este desenlace</t>
  </si>
  <si>
    <t>solo resumen de congreso: datos limitados</t>
  </si>
  <si>
    <t>Corea del Sur</t>
  </si>
  <si>
    <t>datos solo del estudio entero, no por brazo</t>
  </si>
  <si>
    <t>Dinamarca</t>
  </si>
  <si>
    <t>el antibiograma no permite clasificar la resistencia</t>
  </si>
  <si>
    <t>Ecuador</t>
  </si>
  <si>
    <t>otro (explicar al lado)</t>
  </si>
  <si>
    <t>Georgia</t>
  </si>
  <si>
    <t>India</t>
  </si>
  <si>
    <t>Irán</t>
  </si>
  <si>
    <t>Italia</t>
  </si>
  <si>
    <t>Japón</t>
  </si>
  <si>
    <t>Letonia</t>
  </si>
  <si>
    <t>Países Bajos</t>
  </si>
  <si>
    <t>Polonia</t>
  </si>
  <si>
    <t>Reino Unido</t>
  </si>
  <si>
    <t>Rusia</t>
  </si>
  <si>
    <t>Singapur</t>
  </si>
  <si>
    <t>Suiza</t>
  </si>
  <si>
    <t>Turquía</t>
  </si>
  <si>
    <t>multicéntrico (Europa)</t>
  </si>
  <si>
    <t>multicéntrico (internacional)</t>
  </si>
  <si>
    <t>otro</t>
  </si>
  <si>
    <t>Columna</t>
  </si>
  <si>
    <t>Qué se contesta</t>
  </si>
  <si>
    <t>Opciones</t>
  </si>
  <si>
    <t>Apellido del primer autor pegado al año: Tkhilaishvili2020. Sin espacios ni tildes.</t>
  </si>
  <si>
    <t>A si el estudio da un solo grupo de datos. Si separa desenlaces por clase de resistencia, usa A, B, C.</t>
  </si>
  <si>
    <t>Solo Pseudomonas si todos los pacientes tenían P. aeruginosa. Mixto si había otras bacterias PERO el artículo permite separar los de Pseudomonas.</t>
  </si>
  <si>
    <t>solo Pseudomonas · mixto con subgrupo de Pseudomonas</t>
  </si>
  <si>
    <t>MDR, XDR o PDR según Magiorakos. Si el antibiograma no alcanza para clasificar, pon 'no clasificable'.</t>
  </si>
  <si>
    <t>MDR · XDR · PDR · por debajo del umbral MDR · no clasificable</t>
  </si>
  <si>
    <t>¿Lo dice el autor y lo aceptaste, o lo verificaste tú con el antibiograma? Importa para el riesgo de sesgo.</t>
  </si>
  <si>
    <t>declarado por el autor · verificado de forma independiente · no clasificable</t>
  </si>
  <si>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el artículo documenta sensibilidad SOLO a agentes de reserva.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t>
  </si>
  <si>
    <t>si · no · no derivable</t>
  </si>
  <si>
    <t>Por dónde se administró el fago. Si fueron varias vías, elige 'otra' y explica en el paréntesis.</t>
  </si>
  <si>
    <t>IV · inhalada/nebulizada · topica/local · oral · intravesical · intraarticular · otra · NA</t>
  </si>
  <si>
    <t>¿El fago fue solo, o junto con antibióticos?</t>
  </si>
  <si>
    <t>fago en monoterapia · fago + antibiotico · fago + otro · NA</t>
  </si>
  <si>
    <t>Lo que el artículo ES, no lo que dice ser. Un 'estudio' de un paciente es un caso clínico.</t>
  </si>
  <si>
    <t>ECA · caso clinico · serie de casos · cohorte retrospectiva · cohorte prospectiva · ensayo no aleatorizado · otra</t>
  </si>
  <si>
    <t>COMPLETA si sacaste todo lo que el artículo daba. PARCIAL o INCOMPLETA si te faltó algo, y explícalo en la última columna.</t>
  </si>
  <si>
    <t>COMPLETA · PARCIAL · INCOMPLETA</t>
  </si>
  <si>
    <t>Cuántos pacientes hay en ESTE brazo, no en todo el estudio.</t>
  </si>
  <si>
    <t>Pacientes de este brazo que mejoraron según la definición del PROPIO autor.
   · un número = el artículo lo dice o permite contarlo
   · 0 = el artículo dice que ninguno mejoró
   · NA = no lo reporta ni permite deducirlo
Si el autor no define el éxito pero dice «los tres pacientes se curaron»,
la cifra SÍ se extrae: pon 3, y escribe SIN DEFINICIÓN OPERATIVA en la
columna de definición.</t>
  </si>
  <si>
    <t>Cuántos pacientes tuvieron algún evento adverso. Cero notificados se escribe 0, no NA.</t>
  </si>
  <si>
    <t>Pacientes con CULTIVO DE CONTROL NEGATIVO para P. aeruginosa, del mismo
sitio de infección, DESPUÉS de terminar la fagoterapia. Se toma el primer
cultivo posterior al fin del tratamiento; anota el día en observaciones.
Los tres valores NO son intercambiables:
   · un número = se hizo cultivo y salió negativo en esos pacientes
   · 0 = se hizo cultivo y SIGUIÓ POSITIVO en todos
   · NA = no se hizo, o no se reporta, cultivo de control
FIBROSIS QUÍSTICA Y BRONQUIECTASIAS: un solo cultivo negativo NO cuenta
como erradicación. En colonización crónica la carga fluctúa y un cultivo
aislado no demuestra eliminación. Anota NA y explícalo, salvo que el
artículo declare erradicación sostenida con cultivos seriados.
Regla completa y por qué:
quality_reports/decisions/2026-08-11_definicion-erradicacion-y-exito.md</t>
  </si>
  <si>
    <t>Cuántos fallecieron durante el seguimiento.</t>
  </si>
  <si>
    <t>Días de hospitalización. Casi ningún caso clínico lo reporta: NA es lo normal aquí.</t>
  </si>
  <si>
    <t>En cuántos apareció resistencia al fago durante el tratamiento.</t>
  </si>
  <si>
    <t>Año del artículo.</t>
  </si>
  <si>
    <t>COPIA la definición del autor. No escribas la tuya.
Si el artículo NO define qué considera éxito clínico, escribe exactamente:
        SIN DEFINICIÓN OPERATIVA
y nada más. NO pegues una frase de la Discusión ni de las Conclusiones.
Cómo distinguirlas: la definición es una CONDICIÓN («resolución de los
signos inflamatorios a las 12 semanas»); el resultado es un DESENLACE («el
paciente evolucionó favorablemente»). Solo la primera va aquí.
Que la mayoría de los estudios no lo defina ES UN HALLAZGO del manuscrito.
Si rellenas el hueco con una frase cualquiera, el hueco desaparece del
registro y con él la prueba de que existía.</t>
  </si>
  <si>
    <t>Nombre de la revista, y si es de alto o medio impacto: 'alto (Nature Microbiology)'.</t>
  </si>
  <si>
    <t>País y ciudad si consta: 'Alemania (Berlín)'.</t>
  </si>
  <si>
    <t>Página, tabla o figura de donde sacaste los números: 'p.3 Results, Tabla 2'. Obligatorio para cualquier cifra.</t>
  </si>
  <si>
    <t>Qué faltó y por qué. NA si no faltó nada.</t>
  </si>
  <si>
    <t>Dos ejemplos resueltos</t>
  </si>
  <si>
    <t>Salen de estudios que ya se extrajeron en este proyecto.</t>
  </si>
  <si>
    <t>EJEMPLO 1 — un solo brazo</t>
  </si>
  <si>
    <t>Tkhilaishvili 2020. Un paciente con infección de prótesis por P. aeruginosa XDR,</t>
  </si>
  <si>
    <t>tratado con fago más antibiótico por vía local. Curó.</t>
  </si>
  <si>
    <t>Qué escribí</t>
  </si>
  <si>
    <t>Por qué</t>
  </si>
  <si>
    <t>Tkhilaishvili2020</t>
  </si>
  <si>
    <t>apellido pegado al año</t>
  </si>
  <si>
    <t>un solo brazo</t>
  </si>
  <si>
    <t>1</t>
  </si>
  <si>
    <t>pacientes de este brazo</t>
  </si>
  <si>
    <t>según el antibiograma</t>
  </si>
  <si>
    <t>lo verifiqué yo con Magiorakos; no me fié de la etiqueta del autor</t>
  </si>
  <si>
    <t>el artículo no da lo necesario</t>
  </si>
  <si>
    <t>topica/local</t>
  </si>
  <si>
    <t>de 1 paciente</t>
  </si>
  <si>
    <t>Infección erradicada; sin dolor, PCR normal, sin aflojamiento a 10 meses</t>
  </si>
  <si>
    <t>la definición DEL AUTOR, copiada, no la mía</t>
  </si>
  <si>
    <t>0</t>
  </si>
  <si>
    <t>cero notificados; NO es lo mismo que NA</t>
  </si>
  <si>
    <t>el artículo no lo dice</t>
  </si>
  <si>
    <t>medio (Antimicrob Agents Chemother)</t>
  </si>
  <si>
    <t>Alemania (Berlín)</t>
  </si>
  <si>
    <t>pp.1-2 Case Presentation; Tabla 1 antibiograma</t>
  </si>
  <si>
    <t>dónde lo vi; obligatorio para cualquier cifra</t>
  </si>
  <si>
    <t>EJEMPLO 2 — varios brazos</t>
  </si>
  <si>
    <t>Pirnay 2024, cohorte de 100 casos. Aquí está el error más común:</t>
  </si>
  <si>
    <t>los brazos NO son grupos de tratamiento, son clases de resistencia.</t>
  </si>
  <si>
    <t>Todos los pacientes recibieron lo mismo, fago más antibiótico. Lo que separa</t>
  </si>
  <si>
    <t>las filas es que el artículo permite contar desenlaces aparte en XDR, MDR y PDR.</t>
  </si>
  <si>
    <t>Se copia la fila tres veces, con el MISMO Nº y el Brazo en A, B y C.</t>
  </si>
  <si>
    <t>Pacientes</t>
  </si>
  <si>
    <t>Éxito clínico</t>
  </si>
  <si>
    <t>Eventos adversos</t>
  </si>
  <si>
    <t>Fallecidos</t>
  </si>
  <si>
    <t>El resto de columnas (vía, modalidad, revista, país…) se repite igual en las tres.</t>
  </si>
  <si>
    <t>Si el artículo NO permite separar por clase de resistencia, no invente brazos:</t>
  </si>
  <si>
    <t>una sola fila y la clase en 'no clasificable'.</t>
  </si>
  <si>
    <t>EN METODOS Y EN CLINICAL TRIAL</t>
  </si>
  <si>
    <t>Jault2019</t>
  </si>
  <si>
    <t>mixto con subgrupo de Pseudomonas</t>
  </si>
  <si>
    <t>como el tiempo mediano hasta lograr una reducción sostenida de la carga bacteriana</t>
  </si>
  <si>
    <t>FIGURA 1-4</t>
  </si>
  <si>
    <t>Tamma2022</t>
  </si>
  <si>
    <t>INCOMPLETA</t>
  </si>
  <si>
    <t xml:space="preserve"> El protocolo evalúa la actividad microbiológica mediante el cambio en los recuentos totales de colonias de P. aeruginosa en esputo ($\log_{10}$ CFU/mL) y el perfil global de beneficio-riesgo utilizando el ranking de deseabilidad de resultados</t>
  </si>
  <si>
    <t>ABSTRACT FIGURA 1-3</t>
  </si>
  <si>
    <t>Singh2023</t>
  </si>
  <si>
    <t>ensayo no aleatorizado</t>
  </si>
  <si>
    <t>evalúa la reducción de los títulos bacterianos de P. aeruginosa en esputo desde el inicio hasta el día 7.</t>
  </si>
  <si>
    <t>metodos y analisis</t>
  </si>
  <si>
    <t>Samaee2023</t>
  </si>
  <si>
    <t>e define como la recuperación dentro de los primeros 10 días de iniciado el tratamiento, caracterizada por un O2Sat ≥ 95%, y la ausencia de fiebre, disnea, tos, fatiga o recurrencias de infección pulmonar bacteriana secundaria</t>
  </si>
  <si>
    <t>resumen materiales y metodos</t>
  </si>
  <si>
    <t>Navaeifar2025</t>
  </si>
  <si>
    <t>cura clinica</t>
  </si>
  <si>
    <t>ABSTRACT resumen y metodos</t>
  </si>
  <si>
    <t>Khatami2022</t>
  </si>
  <si>
    <t>Como "cura", definida como la ausencia de evidencia de una infección en curso, lo que incluye falta de signos/síntomas clínicos, ausencia de anomalías radiológicas y de laboratorio, y sin evidencia microbiológica de infección</t>
  </si>
  <si>
    <t>Abstract", "Introduction" y "Methods and Analysis"</t>
  </si>
  <si>
    <t>Meena2026</t>
  </si>
  <si>
    <t>A través de la curación evaluada mediante la herramienta PUSH (Pressure Ulcer Scale for Healing), la reducción del tamaño de la úlcera, el tipo de tejido de cicatrización y la disminución en la cantidad de exudado</t>
  </si>
  <si>
    <t>bstract", "Patients and Methods", la Figura 1 de flujo de pacientes, la sección "Results</t>
  </si>
  <si>
    <t>Popovych2021</t>
  </si>
  <si>
    <t>A través de la evaluación de la reducción en la severidad de los síntomas mediante la escala MSS (Main Symptoms Severity score) en cada visita, la mejora en los niveles inmunológicos (IgA y sIgA) y la disminución en la frecuencia de prescripción de antibióticos</t>
  </si>
  <si>
    <t>Abstract", "Materials and Methods", "Results", "Discussion" y la Tabla II del documento</t>
  </si>
  <si>
    <t>Fedorov2023</t>
  </si>
  <si>
    <t>Como la ausencia de recaídas de la infección articular periprotésica (PJI) dentro del seguimiento de 12 meses tras la cirugía en una sola etapa.</t>
  </si>
  <si>
    <t>NirPaz2025</t>
  </si>
  <si>
    <t>Koff2022</t>
  </si>
  <si>
    <t xml:space="preserve">Reducción significativa de la carga bacteriana ($\text{UFC/mL}$) de P. aeruginosa en esputo al día 14, cambios en la función pulmonar ($FEV_1$ y $FEV_1pp$), reducción de exacerbaciones pulmonares y mejoría en escalas de síntomas (CFQ-R, CFRSD, CRISS). </t>
  </si>
  <si>
    <t>METODOS Y RESULTADOS</t>
  </si>
  <si>
    <t>Leitner2017</t>
  </si>
  <si>
    <t>omo el éxito del tratamiento intravesical, definido por la normalización del urocultivo (ausencia de evidencia de bacterias, es decir, &lt; 10^4 unidades formadoras de colonias/mL) después de 7 días de tratamiento</t>
  </si>
  <si>
    <t>DISEÑO Y METODOS</t>
  </si>
  <si>
    <t>Turdieva2024</t>
  </si>
  <si>
    <t>Mediante criterios subjetivos (escala WADN de bienestar de 5 puntos evaluando sueño, apetito, estado de ánimo, dolor de cabeza, deglución, dolor de garganta y sequedad) y objetivos (reducción de signos de intoxicación, hiperemia e inflamación amigdalar, tamaño de ganglios linfáticos cervicales, recuento leucocitario y depuración en cultivo bacteriológico).</t>
  </si>
  <si>
    <t>Karn2024</t>
  </si>
  <si>
    <t>NO</t>
  </si>
  <si>
    <t>Bhartiya2022</t>
  </si>
  <si>
    <t>Reducción de la carga bacteriana de Pseudomonas aeruginosa en esputo y mejora clínica en la función pulmonar (ppFEV1), respaldadas por compensaciones evolutivas (trade-offs) que redujeron la resistencia a los antibióticos o la virulencia bacteriana.</t>
  </si>
  <si>
    <t>Hahn2023</t>
  </si>
  <si>
    <t>SI</t>
  </si>
  <si>
    <t>Disminución de la densidad bacteriana en el esputo y mejoría clínica a corto plazo (energía, menor tos productiva y mejoría temporal de los requerimientos de oxígeno).</t>
  </si>
  <si>
    <t>Zurabov2023</t>
  </si>
  <si>
    <t>La eliminación de microorganismos multirresistentes del lavado broncoalveolar, dinámicas positivas en las tomografías computarizadas de pulmón, mejora en el puntaje CPIS (Clinical Pulmonary Infection Score) y reducción significativa de los marcadores inflamatorios como la proteína C reactiva (PCR) y la procalcitonina.</t>
  </si>
  <si>
    <t>Liu2025</t>
  </si>
  <si>
    <t>Erradicación completa de la bacteria patógena (cultivos negativos en heridas y orina), resolución clínica de la infección, cierre completo del tracto sinusal o fístula, reducción significativa de las áreas hipoecoicas/inflamatorias en estudios de imagen y mantenimiento de un estado clínico estable con calidad de vida normal</t>
  </si>
  <si>
    <t>Krakhotkin2025</t>
  </si>
  <si>
    <t>oral</t>
  </si>
  <si>
    <t>Como la reducción y mejoría estadísticamente significativa en los niveles de dolor medidos por la escala VAS y en las puntuaciones de los dominios (típicos, diferenciales y de calidad de vida) del cuestionario ACSS tras 14 días de tratamiento.</t>
  </si>
  <si>
    <t>Rubalskii2020</t>
  </si>
  <si>
    <t>Como la ausencia de detección de las bacterias objetivo en los cultivos de control (sangre, hisopados, lavados bronquiales o drenajes) junto con la curación de heridas y ausencia de signos inflamatorios en imágenes de seguimiento por PET-CT.</t>
  </si>
  <si>
    <t>Phage therapy in antibiotic resistant pneumonia: Immunomodulation or redistribution?</t>
  </si>
  <si>
    <t>Bochkareva2021</t>
  </si>
  <si>
    <t>Como la sanación de las vías respiratorias (airway sanitation) junto con la superación de la linfopenia y el aumento de la cantidad y actividad funcional de los linfocitos de sangre periférica</t>
  </si>
  <si>
    <t>MATERILAES Y METODOS</t>
  </si>
  <si>
    <t>Aslam2024</t>
  </si>
  <si>
    <t>cohorte retrospectiva</t>
  </si>
  <si>
    <t>na</t>
  </si>
  <si>
    <t>El autor no lista criterios estandarizados de éxito, pero enmarca el fracaso clínico por la presencia de bacteriemia intercurrente, la imposibilidad de curar la infección sin retirar el dispositivo de asistencia ventricular (LVAD) y la muerte por la infección subyacente</t>
  </si>
  <si>
    <t>Nadareishvili 2020</t>
  </si>
  <si>
    <t>Curación completa de la herida, cierre del tejido, regeneración con formación de tejido de granulación, desaparición del eritema de la piel y mejora del estado general.</t>
  </si>
  <si>
    <t>INTRODUCCION CASE 4 Y RESULTADOS</t>
  </si>
  <si>
    <t>Kasprzak2026</t>
  </si>
  <si>
    <t>Abstract, Sección 2.1 (Tabla 1) y Sección 4.1 (Materiales y Métodos)</t>
  </si>
  <si>
    <t>Escala clínica A–G de Międzybrodzki</t>
  </si>
  <si>
    <t>Pirnay2024</t>
  </si>
  <si>
    <t>Evaluación del médico tratante (“clinical improvement”). No usaron criterios pre-especificados uniformes.</t>
  </si>
  <si>
    <t>Artículo principal + Supplementary Table 1</t>
  </si>
  <si>
    <t>Artículo principal + Supplementary Table 2</t>
  </si>
  <si>
    <t>Artículo principal + Supplementary Table 3</t>
  </si>
  <si>
    <t>Artículo principal + Supplementary Table 4</t>
  </si>
  <si>
    <t>Djebara2019</t>
  </si>
  <si>
    <t>Szelachowska2021</t>
  </si>
  <si>
    <t>Szelachowska2025</t>
  </si>
  <si>
    <t>A–C = positivo (A = erradicación/recuperación; B = buen resultado clínico; C = mejoría clínica)</t>
  </si>
  <si>
    <t>Ujmajuridze2018</t>
  </si>
  <si>
    <t>Green2023</t>
  </si>
  <si>
    <t>Sing2024</t>
  </si>
  <si>
    <t>Disminución del título bacteriano</t>
  </si>
  <si>
    <t>Erradicación bacteriana + mejora clínica</t>
  </si>
  <si>
    <t>Mejora de FEV1 % + erradicación microbiológica</t>
  </si>
  <si>
    <t>Racenis2022</t>
  </si>
  <si>
    <t>Jernigan2025</t>
  </si>
  <si>
    <t>Weissfuss2025</t>
  </si>
  <si>
    <t>Köhler2023</t>
  </si>
  <si>
    <t>Ngauy2025</t>
  </si>
  <si>
    <t>Surana2026</t>
  </si>
  <si>
    <t>Levêque et al. 2023</t>
  </si>
  <si>
    <t>Würstle2025</t>
  </si>
  <si>
    <t>Jennes2017</t>
  </si>
  <si>
    <t>Cesta2023</t>
  </si>
  <si>
    <t>Alt2024</t>
  </si>
  <si>
    <t>Otava2024</t>
  </si>
  <si>
    <t>Eiferman2025</t>
  </si>
  <si>
    <t>Pardo2025</t>
  </si>
  <si>
    <t>iv</t>
  </si>
  <si>
    <t>Erradicación en segmento proximal</t>
  </si>
  <si>
    <t>Éxito a largo plazo</t>
  </si>
  <si>
    <t>Mejoría clínica más rápida</t>
  </si>
  <si>
    <t>Mejoría clínica significativa</t>
  </si>
  <si>
    <t>Resolución clínica y microbiológica</t>
  </si>
  <si>
    <t>Supervivencia</t>
  </si>
  <si>
    <t>Control de la infección</t>
  </si>
  <si>
    <t>Control de sepsis + recuperación neurológica</t>
  </si>
  <si>
    <t>Erradicación completa de la infección</t>
  </si>
  <si>
    <t>Sin recidiva clínica a 2 años</t>
  </si>
  <si>
    <t>Sin recidiva a 1 año + consolidación ósea</t>
  </si>
  <si>
    <t>Sin recidiva a 10 meses de seguimiento</t>
  </si>
  <si>
    <t>Resolución de la endocarditis e infección de prótesis</t>
  </si>
  <si>
    <t>Resolución del rechazo agudo + mejora función pulmonar</t>
  </si>
  <si>
    <t>FRANCIA</t>
  </si>
  <si>
    <t>ITALIA</t>
  </si>
  <si>
    <t>FINLANDIA</t>
  </si>
  <si>
    <t>MODELO MURINO</t>
  </si>
  <si>
    <t>ACLARAMIENTO DEL PATOGENO Y MEJORIA CLINICA</t>
  </si>
  <si>
    <t>VanNieuwenhuyse2022</t>
  </si>
  <si>
    <t>Li2023</t>
  </si>
  <si>
    <t>VanNieuwenhuyse2024</t>
  </si>
  <si>
    <t>Nguyen2026</t>
  </si>
  <si>
    <t>Moreira2026</t>
  </si>
  <si>
    <t>Khatami2021</t>
  </si>
  <si>
    <t>Chan2018</t>
  </si>
  <si>
    <t>Lusiak-Szelachowska2022</t>
  </si>
  <si>
    <t>Racenis2023</t>
  </si>
  <si>
    <t>Munteanu2025</t>
  </si>
  <si>
    <t>Bens2025</t>
  </si>
  <si>
    <t>Ferry2020</t>
  </si>
  <si>
    <t>Rojas2022</t>
  </si>
  <si>
    <t>Stevens2023</t>
  </si>
  <si>
    <t>Puschel2022</t>
  </si>
  <si>
    <t>fago + otro</t>
  </si>
  <si>
    <t>Resolución completa + retrasplante + supervivencia &gt;2 años</t>
  </si>
  <si>
    <t>Mejoría síntomas + reducción carga + permite trasplante pulmonar</t>
  </si>
  <si>
    <t>Recuperación completa sin AE</t>
  </si>
  <si>
    <t>Erradicación en modelo HFIM (PYO2 6.82 log)</t>
  </si>
  <si>
    <t>Mejoría radiológica PET/CT + sin bacteremia a 1 año</t>
  </si>
  <si>
    <t>Efecto terapéutico significativo en 2 semanas</t>
  </si>
  <si>
    <t>Resolución sin signos de recurrencia</t>
  </si>
  <si>
    <t>Anticuerpos pueden persistir &gt;1 año; no correlaciona con fallo</t>
  </si>
  <si>
    <t>Cura clínica + erradicación; libre &gt;21 meses</t>
  </si>
  <si>
    <t>Cicatrización + CRP normal (caso 1); libre de infección 6 meses (caso 3)</t>
  </si>
  <si>
    <t>Remisión completa 6 meses + mejora QoL</t>
  </si>
  <si>
    <t>Aspecto local favorable post-cirugía</t>
  </si>
  <si>
    <t>Disminución significativa SUVmax PET-CT a 3 meses</t>
  </si>
  <si>
    <t>Eliminación de E. faecalis + abatimiento de síntomas</t>
  </si>
  <si>
    <t>Tratamiento exitoso evitando recambio total de LVAD</t>
  </si>
  <si>
    <t>EE.UU.</t>
  </si>
  <si>
    <t>Elfadadny2026</t>
  </si>
  <si>
    <t>Simner2022</t>
  </si>
  <si>
    <t>Exarchos2019</t>
  </si>
  <si>
    <t>Mulzer2020</t>
  </si>
  <si>
    <t>Ho2026</t>
  </si>
  <si>
    <t>Ulloa2026</t>
  </si>
  <si>
    <t>Malhotra2026</t>
  </si>
  <si>
    <t>Dan2023</t>
  </si>
  <si>
    <t>Patey2019</t>
  </si>
  <si>
    <t>Onsea2021</t>
  </si>
  <si>
    <t>Ferry2018</t>
  </si>
  <si>
    <t>Cook2025</t>
  </si>
  <si>
    <t>Kostiuk2024</t>
  </si>
  <si>
    <t>Mejoría local sostenida + estabilidad hemodinámica + libre &gt;12 meses</t>
  </si>
  <si>
    <t>Buen control de infección y reducción de captación PET-CT</t>
  </si>
  <si>
    <t>Herida curada y sin signos locales de infección a 9 meses</t>
  </si>
  <si>
    <t>Describe infección MDR secundaria en Darier; no menciona fagos</t>
  </si>
  <si>
    <t>Primera experiencia con cefepime-zidebactam + fago en USA</t>
  </si>
  <si>
    <t>Uso exitoso de terapia fágica tras fallo de antibióticos</t>
  </si>
  <si>
    <t>Tratamiento considerado éxito clínico a pesar del desarrollo de respuesta inmune anti-fago</t>
  </si>
  <si>
    <t>Discusión de indicaciones clínicas y uso compasivo de fagos</t>
  </si>
  <si>
    <t>Implementación de task force multidisciplinar para terapia fágica</t>
  </si>
  <si>
    <t>Aspecto macroscópico favorable + cultivo negativo en reconstrucción</t>
  </si>
  <si>
    <t>Seguridad y tolerabilidad; mejoría inicial seguida de recaída; cura sostenida con ertapenem post-fago</t>
  </si>
  <si>
    <t>Sin recurrencia de infección a 2 años de seguimiento</t>
  </si>
  <si>
    <t>No es un caso de terapia con fagos</t>
  </si>
  <si>
    <t>No es un caso clínico; es protocolo de estudio</t>
  </si>
  <si>
    <t>Gimeno2024</t>
  </si>
  <si>
    <t>Reducción de carga bacteriana + mejoría de calidad de vida</t>
  </si>
  <si>
    <t>Hayakawa2025</t>
  </si>
  <si>
    <t>INTRODUCCION</t>
  </si>
  <si>
    <t>INTRODUCCION Y RESULTADOS</t>
  </si>
  <si>
    <t>Kumar2026</t>
  </si>
  <si>
    <t>Cicatrización completa de la herida + resolución de la infección + retención de la prótesis</t>
  </si>
  <si>
    <t>japon</t>
  </si>
  <si>
    <t>Aslam2020</t>
  </si>
  <si>
    <t>Resolución o control de la infección recalcitrante</t>
  </si>
  <si>
    <t>Zaldastanishvili2021</t>
  </si>
  <si>
    <t>Mejoría de la enfermedad a pesar de la persistencia bacteriana</t>
  </si>
  <si>
    <t>Ferry2024</t>
  </si>
  <si>
    <t>Evolución clínica favorable</t>
  </si>
  <si>
    <t>francia</t>
  </si>
  <si>
    <t>Bochkareva2017</t>
  </si>
  <si>
    <t>Aslam2019</t>
  </si>
  <si>
    <t>Respuesta clínica + alta hospitalaria sin soporte ventilatorio</t>
  </si>
  <si>
    <t>Remisión o recuperación</t>
  </si>
  <si>
    <t>Gupta2019</t>
  </si>
  <si>
    <t>abstracto</t>
  </si>
  <si>
    <t>Doub2023</t>
  </si>
  <si>
    <t>Control de infección + salvamento de extremidad / retención de prótesis</t>
  </si>
  <si>
    <t>Letkiewicz2021</t>
  </si>
  <si>
    <t>El paper se centra en la respuesta de anticuerpos, no en desglosar resultados clínicos por germen. Número exacto de pacientes con P. aeruginosa no está claro.</t>
  </si>
  <si>
    <t>Tkhilaishvili2022</t>
  </si>
  <si>
    <t>Szelachowska2016</t>
  </si>
  <si>
    <t>Onsea2019</t>
  </si>
  <si>
    <t>Ausencia de recurrencia de la infección con las cepas causantes</t>
  </si>
  <si>
    <t>belgica</t>
  </si>
  <si>
    <t>Patel2019</t>
  </si>
  <si>
    <t>FU2026</t>
  </si>
  <si>
    <t>Paskhalova2025</t>
  </si>
  <si>
    <t>Paskhalova2026</t>
  </si>
  <si>
    <t>Dobretsov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</si>
</sst>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rgb="FFFFFFFF"/>
      <name val="Calibri"/>
    </font>
    <font>
      <u/>
      <sz val="11"/>
      <color rgb="FF0563C1"/>
      <name val="Calibri"/>
    </font>
    <font>
      <sz val="8"/>
      <name val="Calibri"/>
      <family val="2"/>
      <scheme val="minor"/>
    </font>
    <font>
      <sz val="8"/>
      <name val="Calibri"/>
      <family val="2"/>
    </font>
    <font>
      <u/>
      <sz val="11"/>
      <color rgb="FF0563C1"/>
      <name val="Calibri"/>
      <family val="2"/>
    </font>
  </fonts>
  <fills count="7">
    <fill>
      <patternFill patternType="none"/>
    </fill>
    <fill>
      <patternFill patternType="gray125"/>
    </fill>
    <fill>
      <patternFill patternType="solid">
        <fgColor rgb="FF1F4E79"/>
      </patternFill>
    </fill>
    <fill>
      <patternFill patternType="solid">
        <fgColor rgb="FFEDEDED"/>
      </patternFill>
    </fill>
    <fill>
      <patternFill patternType="solid">
        <fgColor rgb="FFFFF2CC"/>
      </patternFill>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xf numFmtId="0" fontId="0" fillId="4" borderId="0" xfId="0" applyFill="1"/>
    <xf numFmtId="0" fontId="2" fillId="2" borderId="0" xfId="0" applyFont="1" applyFill="1"/>
    <xf numFmtId="0" fontId="0" fillId="0" borderId="0" xfId="0" applyAlignment="1">
      <alignment vertical="top" wrapText="1"/>
    </xf>
    <xf numFmtId="0" fontId="2" fillId="2" borderId="0" xfId="0" applyFont="1" applyFill="1" applyAlignment="1">
      <alignment horizontal="center" vertical="center" wrapText="1"/>
    </xf>
    <xf numFmtId="0" fontId="0" fillId="0" borderId="0" xfId="0" applyAlignment="1">
      <alignment horizontal="center"/>
    </xf>
    <xf numFmtId="0" fontId="0" fillId="3" borderId="0" xfId="0" applyFill="1" applyAlignment="1">
      <alignment horizontal="center"/>
    </xf>
    <xf numFmtId="0" fontId="3" fillId="3" borderId="0" xfId="0" applyFont="1"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4" borderId="0" xfId="0" applyNumberFormat="1" applyFill="1" applyAlignment="1">
      <alignment horizontal="center"/>
    </xf>
    <xf numFmtId="0" fontId="0" fillId="6" borderId="0" xfId="0" applyFill="1" applyAlignment="1">
      <alignment horizontal="center"/>
    </xf>
    <xf numFmtId="0" fontId="3" fillId="5" borderId="0" xfId="0" applyFont="1" applyFill="1" applyAlignment="1">
      <alignment horizontal="center"/>
    </xf>
    <xf numFmtId="0" fontId="5" fillId="0" borderId="1" xfId="0" applyFont="1" applyBorder="1" applyAlignment="1">
      <alignment horizontal="left" vertical="top" wrapText="1"/>
    </xf>
    <xf numFmtId="0" fontId="5" fillId="0" borderId="1" xfId="0" applyFont="1" applyBorder="1" applyAlignment="1">
      <alignment horizontal="left" vertical="top" wrapText="1"/>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A7A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177/23247096231188243" TargetMode="External"/><Relationship Id="rId117" Type="http://schemas.openxmlformats.org/officeDocument/2006/relationships/hyperlink" Target="https://doi.org/10.1016/j.eimc.2025.05.008" TargetMode="External"/><Relationship Id="rId21" Type="http://schemas.openxmlformats.org/officeDocument/2006/relationships/hyperlink" Target="https://pubmed.ncbi.nlm.nih.gov/35175218/" TargetMode="External"/><Relationship Id="rId42" Type="http://schemas.openxmlformats.org/officeDocument/2006/relationships/hyperlink" Target="https://doi.org/10.1016/j.medj.2023.07.002" TargetMode="External"/><Relationship Id="rId47" Type="http://schemas.openxmlformats.org/officeDocument/2006/relationships/hyperlink" Target="https://doi.org/10.1016/j.medj.2024.05.017" TargetMode="External"/><Relationship Id="rId63" Type="http://schemas.openxmlformats.org/officeDocument/2006/relationships/hyperlink" Target="https://doi.org/10.1177/1534734619881076" TargetMode="External"/><Relationship Id="rId68" Type="http://schemas.openxmlformats.org/officeDocument/2006/relationships/hyperlink" Target="https://doi.org/10.3389/fphar.2021.692614" TargetMode="External"/><Relationship Id="rId84" Type="http://schemas.openxmlformats.org/officeDocument/2006/relationships/hyperlink" Target="https://doi.org/10.3389/fmed.2024.1428432" TargetMode="External"/><Relationship Id="rId89" Type="http://schemas.openxmlformats.org/officeDocument/2006/relationships/hyperlink" Target="https://doi.org/10.1111/1751-7915.14217" TargetMode="External"/><Relationship Id="rId112" Type="http://schemas.openxmlformats.org/officeDocument/2006/relationships/hyperlink" Target="https://doi.org/10.20953/1729-9225-2017-4-49-54" TargetMode="External"/><Relationship Id="rId133" Type="http://schemas.openxmlformats.org/officeDocument/2006/relationships/printerSettings" Target="../printerSettings/printerSettings1.bin"/><Relationship Id="rId16" Type="http://schemas.openxmlformats.org/officeDocument/2006/relationships/hyperlink" Target="https://pubmed.ncbi.nlm.nih.gov/32949500/" TargetMode="External"/><Relationship Id="rId107" Type="http://schemas.openxmlformats.org/officeDocument/2006/relationships/hyperlink" Target="https://doi.org/10.1080/1120009x.2025.2547147" TargetMode="External"/><Relationship Id="rId11" Type="http://schemas.openxmlformats.org/officeDocument/2006/relationships/hyperlink" Target="https://pubmed.ncbi.nlm.nih.gov/39740667/" TargetMode="External"/><Relationship Id="rId32" Type="http://schemas.openxmlformats.org/officeDocument/2006/relationships/hyperlink" Target="https://doi.org/10.1128/aac.01728-23" TargetMode="External"/><Relationship Id="rId37" Type="http://schemas.openxmlformats.org/officeDocument/2006/relationships/hyperlink" Target="https://doi.org/10.1007/s12223-020-00835-z" TargetMode="External"/><Relationship Id="rId53" Type="http://schemas.openxmlformats.org/officeDocument/2006/relationships/hyperlink" Target="https://doi.org/10.20953/1729-9225-2017-1-35-40" TargetMode="External"/><Relationship Id="rId58" Type="http://schemas.openxmlformats.org/officeDocument/2006/relationships/hyperlink" Target="https://doi.org/10.3390/antibiotics10060627" TargetMode="External"/><Relationship Id="rId74" Type="http://schemas.openxmlformats.org/officeDocument/2006/relationships/hyperlink" Target="https://doi.org/10.7759/cureus.77681" TargetMode="External"/><Relationship Id="rId79" Type="http://schemas.openxmlformats.org/officeDocument/2006/relationships/hyperlink" Target="https://doi.org/10.2147/idr.s413900" TargetMode="External"/><Relationship Id="rId102" Type="http://schemas.openxmlformats.org/officeDocument/2006/relationships/hyperlink" Target="https://doi.org/10.3390/antibiotics11101310" TargetMode="External"/><Relationship Id="rId123" Type="http://schemas.openxmlformats.org/officeDocument/2006/relationships/hyperlink" Target="https://doi.org/10.1016/j.healun.2019.01.001" TargetMode="External"/><Relationship Id="rId128" Type="http://schemas.openxmlformats.org/officeDocument/2006/relationships/hyperlink" Target="https://doi.org/10.1093/europace/euz319" TargetMode="External"/><Relationship Id="rId5" Type="http://schemas.openxmlformats.org/officeDocument/2006/relationships/hyperlink" Target="https://doi.org/10.1016/j.jddst.2023.104486" TargetMode="External"/><Relationship Id="rId90" Type="http://schemas.openxmlformats.org/officeDocument/2006/relationships/hyperlink" Target="https://doi.org/10.3389/fcimb.2024.1354681" TargetMode="External"/><Relationship Id="rId95" Type="http://schemas.openxmlformats.org/officeDocument/2006/relationships/hyperlink" Target="https://doi.org/10.3390/antibiotics11101358" TargetMode="External"/><Relationship Id="rId14" Type="http://schemas.openxmlformats.org/officeDocument/2006/relationships/hyperlink" Target="https://pubmed.ncbi.nlm.nih.gov/40103254/" TargetMode="External"/><Relationship Id="rId22" Type="http://schemas.openxmlformats.org/officeDocument/2006/relationships/hyperlink" Target="https://trialsearch.who.int/?TrialID=cita:%20Nephrol%20Dial%20Transplant%202020%20(resumen%20de%20congreso)" TargetMode="External"/><Relationship Id="rId27" Type="http://schemas.openxmlformats.org/officeDocument/2006/relationships/hyperlink" Target="https://doi.org/10.3390/antibiotics12121734" TargetMode="External"/><Relationship Id="rId30" Type="http://schemas.openxmlformats.org/officeDocument/2006/relationships/hyperlink" Target="https://doi.org/10.3390/antibiotics9050232" TargetMode="External"/><Relationship Id="rId35" Type="http://schemas.openxmlformats.org/officeDocument/2006/relationships/hyperlink" Target="https://doi.org/10.1038/s41564-024-01705-x" TargetMode="External"/><Relationship Id="rId43" Type="http://schemas.openxmlformats.org/officeDocument/2006/relationships/hyperlink" Target="https://doi.org/10.1016/j.medj.2023.07.002" TargetMode="External"/><Relationship Id="rId48" Type="http://schemas.openxmlformats.org/officeDocument/2006/relationships/hyperlink" Target="https://doi.org/10.1016/j.jiac.2025.102770" TargetMode="External"/><Relationship Id="rId56" Type="http://schemas.openxmlformats.org/officeDocument/2006/relationships/hyperlink" Target="https://doi.org/10.1177/1534734619835115" TargetMode="External"/><Relationship Id="rId64" Type="http://schemas.openxmlformats.org/officeDocument/2006/relationships/hyperlink" Target="https://doi.org/10.1016/j.bjps.2026.06.028" TargetMode="External"/><Relationship Id="rId69" Type="http://schemas.openxmlformats.org/officeDocument/2006/relationships/hyperlink" Target="https://doi.org/10.1038/s41467-022-31837-9" TargetMode="External"/><Relationship Id="rId77" Type="http://schemas.openxmlformats.org/officeDocument/2006/relationships/hyperlink" Target="https://doi.org/10.1128/asmcr.00108-25" TargetMode="External"/><Relationship Id="rId100" Type="http://schemas.openxmlformats.org/officeDocument/2006/relationships/hyperlink" Target="https://doi.org/10.3390/antibiotics11050602" TargetMode="External"/><Relationship Id="rId105" Type="http://schemas.openxmlformats.org/officeDocument/2006/relationships/hyperlink" Target="https://doi.org/10.1016/j.hlife.2025.03.004" TargetMode="External"/><Relationship Id="rId113" Type="http://schemas.openxmlformats.org/officeDocument/2006/relationships/hyperlink" Target="https://doi.org/10.1093/infdis/jiac368" TargetMode="External"/><Relationship Id="rId118" Type="http://schemas.openxmlformats.org/officeDocument/2006/relationships/hyperlink" Target="https://doi.org/10.1097/qco.0000000000000658" TargetMode="External"/><Relationship Id="rId126" Type="http://schemas.openxmlformats.org/officeDocument/2006/relationships/hyperlink" Target="https://doi.org/10.1016/j.jdcr.2026.06.010" TargetMode="External"/><Relationship Id="rId134" Type="http://schemas.openxmlformats.org/officeDocument/2006/relationships/vmlDrawing" Target="../drawings/vmlDrawing1.vml"/><Relationship Id="rId8" Type="http://schemas.openxmlformats.org/officeDocument/2006/relationships/hyperlink" Target="https://doi.org/10.5005/jp-journals-10071-25143" TargetMode="External"/><Relationship Id="rId51" Type="http://schemas.openxmlformats.org/officeDocument/2006/relationships/hyperlink" Target="https://doi.org/10.3390/v13101901" TargetMode="External"/><Relationship Id="rId72" Type="http://schemas.openxmlformats.org/officeDocument/2006/relationships/hyperlink" Target="https://doi.org/10.5582/bst.2022.01147" TargetMode="External"/><Relationship Id="rId80" Type="http://schemas.openxmlformats.org/officeDocument/2006/relationships/hyperlink" Target="https://doi.org/10.1038/s41598-024-52192-3" TargetMode="External"/><Relationship Id="rId85" Type="http://schemas.openxmlformats.org/officeDocument/2006/relationships/hyperlink" Target="https://doi.org/10.3390/antibiotics13100916" TargetMode="External"/><Relationship Id="rId93" Type="http://schemas.openxmlformats.org/officeDocument/2006/relationships/hyperlink" Target="https://doi.org/10.15252/emmm.202113936" TargetMode="External"/><Relationship Id="rId98" Type="http://schemas.openxmlformats.org/officeDocument/2006/relationships/hyperlink" Target="https://doi.org/10.1038/s41467-025-65939-x" TargetMode="External"/><Relationship Id="rId121" Type="http://schemas.openxmlformats.org/officeDocument/2006/relationships/hyperlink" Target="https://doi.org/10.1007/978-1-0716-3523-0_15" TargetMode="External"/><Relationship Id="rId3" Type="http://schemas.openxmlformats.org/officeDocument/2006/relationships/hyperlink" Target="https://pubmed.ncbi.nlm.nih.gov/36578069/" TargetMode="External"/><Relationship Id="rId12" Type="http://schemas.openxmlformats.org/officeDocument/2006/relationships/hyperlink" Target="https://clinicaltrials.gov/study/NCT04684641" TargetMode="External"/><Relationship Id="rId17" Type="http://schemas.openxmlformats.org/officeDocument/2006/relationships/hyperlink" Target="https://doi.org/10.4103/ijpam.ijpam_1_24" TargetMode="External"/><Relationship Id="rId25" Type="http://schemas.openxmlformats.org/officeDocument/2006/relationships/hyperlink" Target="https://doi.org/10.1038/s41591-025-03678-8" TargetMode="External"/><Relationship Id="rId33" Type="http://schemas.openxmlformats.org/officeDocument/2006/relationships/hyperlink" Target="https://doi.org/10.1089/phage.2020.0010" TargetMode="External"/><Relationship Id="rId38" Type="http://schemas.openxmlformats.org/officeDocument/2006/relationships/hyperlink" Target="https://pubmed.ncbi.nlm.nih.gov/30131795/" TargetMode="External"/><Relationship Id="rId46" Type="http://schemas.openxmlformats.org/officeDocument/2006/relationships/hyperlink" Target="https://doi.org/10.1016/j.medj.2023.07.002" TargetMode="External"/><Relationship Id="rId59" Type="http://schemas.openxmlformats.org/officeDocument/2006/relationships/hyperlink" Target="https://doi.org/10.1016/j.healun.2022.01.018" TargetMode="External"/><Relationship Id="rId67" Type="http://schemas.openxmlformats.org/officeDocument/2006/relationships/hyperlink" Target="https://doi.org/10.3390/v16071080" TargetMode="External"/><Relationship Id="rId103" Type="http://schemas.openxmlformats.org/officeDocument/2006/relationships/hyperlink" Target="https://doi.org/10.1007/s15010-019-01319-0" TargetMode="External"/><Relationship Id="rId108" Type="http://schemas.openxmlformats.org/officeDocument/2006/relationships/hyperlink" Target="https://doi.org/10.1093/jpids/pix056" TargetMode="External"/><Relationship Id="rId116" Type="http://schemas.openxmlformats.org/officeDocument/2006/relationships/hyperlink" Target="https://doi.org/10.1016/j.ijantimicag.2025.107629" TargetMode="External"/><Relationship Id="rId124" Type="http://schemas.openxmlformats.org/officeDocument/2006/relationships/hyperlink" Target="https://doi.org/10.17116/hirurgia2023121123" TargetMode="External"/><Relationship Id="rId129" Type="http://schemas.openxmlformats.org/officeDocument/2006/relationships/hyperlink" Target="https://doi.org/10.1093/ejcts/ezz295" TargetMode="External"/><Relationship Id="rId20" Type="http://schemas.openxmlformats.org/officeDocument/2006/relationships/hyperlink" Target="https://trialsearch.who.int/?TrialID=cita:%20Surgical%20Chronicles%202016" TargetMode="External"/><Relationship Id="rId41" Type="http://schemas.openxmlformats.org/officeDocument/2006/relationships/hyperlink" Target="https://doi.org/10.1016/j.virusres.2024.199442" TargetMode="External"/><Relationship Id="rId54" Type="http://schemas.openxmlformats.org/officeDocument/2006/relationships/hyperlink" Target="https://doi.org/10.1111/ajt.15503" TargetMode="External"/><Relationship Id="rId62" Type="http://schemas.openxmlformats.org/officeDocument/2006/relationships/hyperlink" Target="https://doi.org/10.3390/v11100891" TargetMode="External"/><Relationship Id="rId70" Type="http://schemas.openxmlformats.org/officeDocument/2006/relationships/hyperlink" Target="https://doi.org/10.1038/s41598-025-17510-3" TargetMode="External"/><Relationship Id="rId75" Type="http://schemas.openxmlformats.org/officeDocument/2006/relationships/hyperlink" Target="https://doi.org/10.1038/s41467-025-59806-y" TargetMode="External"/><Relationship Id="rId83" Type="http://schemas.openxmlformats.org/officeDocument/2006/relationships/hyperlink" Target="https://doi.org/10.1093/ofid/ofad051" TargetMode="External"/><Relationship Id="rId88" Type="http://schemas.openxmlformats.org/officeDocument/2006/relationships/hyperlink" Target="https://doi.org/10.1038/s41467-022-33294-w" TargetMode="External"/><Relationship Id="rId91" Type="http://schemas.openxmlformats.org/officeDocument/2006/relationships/hyperlink" Target="https://doi.org/10.1093/jacamr/dlaf257" TargetMode="External"/><Relationship Id="rId96" Type="http://schemas.openxmlformats.org/officeDocument/2006/relationships/hyperlink" Target="https://doi.org/10.3390/v15051210" TargetMode="External"/><Relationship Id="rId111" Type="http://schemas.openxmlformats.org/officeDocument/2006/relationships/hyperlink" Target="https://doi.org/10.1016/j.jpeds.2026.115005" TargetMode="External"/><Relationship Id="rId132" Type="http://schemas.openxmlformats.org/officeDocument/2006/relationships/hyperlink" Target="https://doi.org/10.1038/s41564-024-01705-x" TargetMode="External"/><Relationship Id="rId1" Type="http://schemas.openxmlformats.org/officeDocument/2006/relationships/hyperlink" Target="https://pubmed.ncbi.nlm.nih.gov/40593506/" TargetMode="External"/><Relationship Id="rId6" Type="http://schemas.openxmlformats.org/officeDocument/2006/relationships/hyperlink" Target="https://doi.org/10.3390/biomedicines13092103" TargetMode="External"/><Relationship Id="rId15" Type="http://schemas.openxmlformats.org/officeDocument/2006/relationships/hyperlink" Target="https://pubmed.ncbi.nlm.nih.gov/41885494/" TargetMode="External"/><Relationship Id="rId23" Type="http://schemas.openxmlformats.org/officeDocument/2006/relationships/hyperlink" Target="https://doi.org/10.17116/hirurgia202309145" TargetMode="External"/><Relationship Id="rId28" Type="http://schemas.openxmlformats.org/officeDocument/2006/relationships/hyperlink" Target="https://doi.org/10.1002/mlf2.70042" TargetMode="External"/><Relationship Id="rId36" Type="http://schemas.openxmlformats.org/officeDocument/2006/relationships/hyperlink" Target="https://doi.org/10.3390/v11030265" TargetMode="External"/><Relationship Id="rId49" Type="http://schemas.openxmlformats.org/officeDocument/2006/relationships/hyperlink" Target="https://doi.org/10.1016/j.medmic.2026.100178" TargetMode="External"/><Relationship Id="rId57" Type="http://schemas.openxmlformats.org/officeDocument/2006/relationships/hyperlink" Target="https://doi.org/10.1093/cid/ciac694" TargetMode="External"/><Relationship Id="rId106" Type="http://schemas.openxmlformats.org/officeDocument/2006/relationships/hyperlink" Target="https://doi.org/10.1093/jacamr/dlac046" TargetMode="External"/><Relationship Id="rId114" Type="http://schemas.openxmlformats.org/officeDocument/2006/relationships/hyperlink" Target="https://doi.org/10.1097/mao.0000000000004417" TargetMode="External"/><Relationship Id="rId119" Type="http://schemas.openxmlformats.org/officeDocument/2006/relationships/hyperlink" Target="https://doi.org/10.3390/v13081543" TargetMode="External"/><Relationship Id="rId127" Type="http://schemas.openxmlformats.org/officeDocument/2006/relationships/hyperlink" Target="https://trialsearch.who.int/?TrialID=cita:%20Rev%20Cubana%20Angiol%20Cir%20Vasc%202017" TargetMode="External"/><Relationship Id="rId10" Type="http://schemas.openxmlformats.org/officeDocument/2006/relationships/hyperlink" Target="https://pubmed.ncbi.nlm.nih.gov/36851713/" TargetMode="External"/><Relationship Id="rId31" Type="http://schemas.openxmlformats.org/officeDocument/2006/relationships/hyperlink" Target="https://doi.org/10.15789/1563-0625-pti-2012" TargetMode="External"/><Relationship Id="rId44" Type="http://schemas.openxmlformats.org/officeDocument/2006/relationships/hyperlink" Target="https://doi.org/10.1016/j.medj.2023.07.002" TargetMode="External"/><Relationship Id="rId52" Type="http://schemas.openxmlformats.org/officeDocument/2006/relationships/hyperlink" Target="https://doi.org/10.1016/j.ijantimicag.2024.107372" TargetMode="External"/><Relationship Id="rId60" Type="http://schemas.openxmlformats.org/officeDocument/2006/relationships/hyperlink" Target="https://doi.org/10.2217/fmb-2016-0156" TargetMode="External"/><Relationship Id="rId65" Type="http://schemas.openxmlformats.org/officeDocument/2006/relationships/hyperlink" Target="https://doi.org/10.3389/fmed.2021.569159" TargetMode="External"/><Relationship Id="rId73" Type="http://schemas.openxmlformats.org/officeDocument/2006/relationships/hyperlink" Target="https://doi.org/10.3389/fmed.2022.851310" TargetMode="External"/><Relationship Id="rId78" Type="http://schemas.openxmlformats.org/officeDocument/2006/relationships/hyperlink" Target="https://doi.org/10.1177/11795476251411094" TargetMode="External"/><Relationship Id="rId81" Type="http://schemas.openxmlformats.org/officeDocument/2006/relationships/hyperlink" Target="https://doi.org/10.1186/s13054-017-1709-y" TargetMode="External"/><Relationship Id="rId86" Type="http://schemas.openxmlformats.org/officeDocument/2006/relationships/hyperlink" Target="https://doi.org/10.3390/v17010123" TargetMode="External"/><Relationship Id="rId94" Type="http://schemas.openxmlformats.org/officeDocument/2006/relationships/hyperlink" Target="https://doi.org/10.1093/emph/eoy005" TargetMode="External"/><Relationship Id="rId99" Type="http://schemas.openxmlformats.org/officeDocument/2006/relationships/hyperlink" Target="https://doi.org/10.3389/fmed.2020.00342" TargetMode="External"/><Relationship Id="rId101" Type="http://schemas.openxmlformats.org/officeDocument/2006/relationships/hyperlink" Target="https://doi.org/10.3389/fmed.2023.1238147" TargetMode="External"/><Relationship Id="rId122" Type="http://schemas.openxmlformats.org/officeDocument/2006/relationships/hyperlink" Target="https://doi.org/10.1016/j.ijantimicag.2025.107613" TargetMode="External"/><Relationship Id="rId130" Type="http://schemas.openxmlformats.org/officeDocument/2006/relationships/hyperlink" Target="https://doi.org/10.1038/s41564-024-01705-x" TargetMode="External"/><Relationship Id="rId135" Type="http://schemas.openxmlformats.org/officeDocument/2006/relationships/comments" Target="../comments1.xml"/><Relationship Id="rId4" Type="http://schemas.openxmlformats.org/officeDocument/2006/relationships/hyperlink" Target="https://doi.org/10.1136/bmjresp-2022-001360" TargetMode="External"/><Relationship Id="rId9" Type="http://schemas.openxmlformats.org/officeDocument/2006/relationships/hyperlink" Target="https://doi.org/10.36740/wlek202106129" TargetMode="External"/><Relationship Id="rId13" Type="http://schemas.openxmlformats.org/officeDocument/2006/relationships/hyperlink" Target="https://trialsearch.who.int/?TrialID=cita:%20Int%20J%20Diabetes%20Dev%20Ctries%202025" TargetMode="External"/><Relationship Id="rId18" Type="http://schemas.openxmlformats.org/officeDocument/2006/relationships/hyperlink" Target="https://pubmed.ncbi.nlm.nih.gov/38233034/" TargetMode="External"/><Relationship Id="rId39" Type="http://schemas.openxmlformats.org/officeDocument/2006/relationships/hyperlink" Target="https://doi.org/10.1093/cid/ciad335" TargetMode="External"/><Relationship Id="rId109" Type="http://schemas.openxmlformats.org/officeDocument/2006/relationships/hyperlink" Target="https://doi.org/10.1164/rccm.201904-0839le" TargetMode="External"/><Relationship Id="rId34" Type="http://schemas.openxmlformats.org/officeDocument/2006/relationships/hyperlink" Target="https://doi.org/10.3390/ijms27010172" TargetMode="External"/><Relationship Id="rId50" Type="http://schemas.openxmlformats.org/officeDocument/2006/relationships/hyperlink" Target="https://doi.org/10.1093/ofid/ofaa389" TargetMode="External"/><Relationship Id="rId55" Type="http://schemas.openxmlformats.org/officeDocument/2006/relationships/hyperlink" Target="https://doi.org/10.1093/ofid/ofad221" TargetMode="External"/><Relationship Id="rId76" Type="http://schemas.openxmlformats.org/officeDocument/2006/relationships/hyperlink" Target="https://doi.org/10.1038/s41467-023-39370-z" TargetMode="External"/><Relationship Id="rId97" Type="http://schemas.openxmlformats.org/officeDocument/2006/relationships/hyperlink" Target="https://doi.org/10.3390/antibiotics14020114" TargetMode="External"/><Relationship Id="rId104" Type="http://schemas.openxmlformats.org/officeDocument/2006/relationships/hyperlink" Target="https://doi.org/10.1016/j.ijid.2026.108756" TargetMode="External"/><Relationship Id="rId120" Type="http://schemas.openxmlformats.org/officeDocument/2006/relationships/hyperlink" Target="https://doi.org/10.1093/jac/dky263" TargetMode="External"/><Relationship Id="rId125" Type="http://schemas.openxmlformats.org/officeDocument/2006/relationships/hyperlink" Target="https://doi.org/10.1016/j.avsurg.2024.100302" TargetMode="External"/><Relationship Id="rId7" Type="http://schemas.openxmlformats.org/officeDocument/2006/relationships/hyperlink" Target="https://doi.org/10.1136/bmjopen-2022-065401" TargetMode="External"/><Relationship Id="rId71" Type="http://schemas.openxmlformats.org/officeDocument/2006/relationships/hyperlink" Target="https://doi.org/10.1038/s41467-026-74326-z" TargetMode="External"/><Relationship Id="rId92" Type="http://schemas.openxmlformats.org/officeDocument/2006/relationships/hyperlink" Target="https://doi.org/10.1038/s41467-025-68136-y" TargetMode="External"/><Relationship Id="rId2" Type="http://schemas.openxmlformats.org/officeDocument/2006/relationships/hyperlink" Target="https://pubmed.ncbi.nlm.nih.gov/30292481/" TargetMode="External"/><Relationship Id="rId29" Type="http://schemas.openxmlformats.org/officeDocument/2006/relationships/hyperlink" Target="https://doi.org/10.1097/cu9.0000000000000268" TargetMode="External"/><Relationship Id="rId24" Type="http://schemas.openxmlformats.org/officeDocument/2006/relationships/hyperlink" Target="https://doi.org/10.1038/s41591-025-03678-8" TargetMode="External"/><Relationship Id="rId40" Type="http://schemas.openxmlformats.org/officeDocument/2006/relationships/hyperlink" Target="https://doi.org/10.3390/antibiotics14010087" TargetMode="External"/><Relationship Id="rId45" Type="http://schemas.openxmlformats.org/officeDocument/2006/relationships/hyperlink" Target="https://doi.org/10.1016/j.medj.2023.07.002" TargetMode="External"/><Relationship Id="rId66" Type="http://schemas.openxmlformats.org/officeDocument/2006/relationships/hyperlink" Target="https://doi.org/10.3389/fmed.2023.1199657" TargetMode="External"/><Relationship Id="rId87" Type="http://schemas.openxmlformats.org/officeDocument/2006/relationships/hyperlink" Target="https://doi.org/10.1128/asmcr.00058-24" TargetMode="External"/><Relationship Id="rId110" Type="http://schemas.openxmlformats.org/officeDocument/2006/relationships/hyperlink" Target="https://doi.org/10.1016/s1473-3099(26)00176-3" TargetMode="External"/><Relationship Id="rId115" Type="http://schemas.openxmlformats.org/officeDocument/2006/relationships/hyperlink" Target="https://doi.org/10.3390/v11010018" TargetMode="External"/><Relationship Id="rId131" Type="http://schemas.openxmlformats.org/officeDocument/2006/relationships/hyperlink" Target="https://doi.org/10.1038/s41564-024-01705-x" TargetMode="External"/><Relationship Id="rId61" Type="http://schemas.openxmlformats.org/officeDocument/2006/relationships/hyperlink" Target="https://trialsearch.who.int/?TrialID=cita:%20Eur%20Urol%20Suppl%202016%20(informe%20previo%20del%20grupo%20de%20Leitner)" TargetMode="External"/><Relationship Id="rId82" Type="http://schemas.openxmlformats.org/officeDocument/2006/relationships/hyperlink" Target="https://doi.org/10.1128/aac.00924-19" TargetMode="External"/><Relationship Id="rId19" Type="http://schemas.openxmlformats.org/officeDocument/2006/relationships/hyperlink" Target="https://doi.org/10.1177/153473462110727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heetViews>
  <sheetFormatPr baseColWidth="10" defaultColWidth="8.88671875" defaultRowHeight="14.4" x14ac:dyDescent="0.3"/>
  <cols>
    <col min="1" max="1" width="100" customWidth="1"/>
  </cols>
  <sheetData>
    <row r="1" spans="1:1" x14ac:dyDescent="0.3">
      <c r="A1" s="1" t="s">
        <v>0</v>
      </c>
    </row>
    <row r="2" spans="1:1" x14ac:dyDescent="0.3">
      <c r="A2" t="s">
        <v>1</v>
      </c>
    </row>
    <row r="4" spans="1:1" x14ac:dyDescent="0.3">
      <c r="A4" s="1" t="s">
        <v>2</v>
      </c>
    </row>
    <row r="6" spans="1:1" x14ac:dyDescent="0.3">
      <c r="A6" s="1" t="s">
        <v>3</v>
      </c>
    </row>
    <row r="7" spans="1:1" x14ac:dyDescent="0.3">
      <c r="A7" t="s">
        <v>4</v>
      </c>
    </row>
    <row r="8" spans="1:1" x14ac:dyDescent="0.3">
      <c r="A8" t="s">
        <v>5</v>
      </c>
    </row>
    <row r="9" spans="1:1" x14ac:dyDescent="0.3">
      <c r="A9" t="s">
        <v>6</v>
      </c>
    </row>
    <row r="11" spans="1:1" x14ac:dyDescent="0.3">
      <c r="A11" s="1" t="s">
        <v>7</v>
      </c>
    </row>
    <row r="12" spans="1:1" x14ac:dyDescent="0.3">
      <c r="A12" t="s">
        <v>8</v>
      </c>
    </row>
    <row r="13" spans="1:1" x14ac:dyDescent="0.3">
      <c r="A13" t="s">
        <v>9</v>
      </c>
    </row>
    <row r="14" spans="1:1" x14ac:dyDescent="0.3">
      <c r="A14" t="s">
        <v>10</v>
      </c>
    </row>
    <row r="15" spans="1:1" x14ac:dyDescent="0.3">
      <c r="A15" t="s">
        <v>11</v>
      </c>
    </row>
    <row r="17" spans="1:1" x14ac:dyDescent="0.3">
      <c r="A17" s="1" t="s">
        <v>12</v>
      </c>
    </row>
    <row r="18" spans="1:1" x14ac:dyDescent="0.3">
      <c r="A18" t="s">
        <v>13</v>
      </c>
    </row>
    <row r="19" spans="1:1" x14ac:dyDescent="0.3">
      <c r="A19" t="s">
        <v>14</v>
      </c>
    </row>
    <row r="20" spans="1:1" x14ac:dyDescent="0.3">
      <c r="A20" t="s">
        <v>15</v>
      </c>
    </row>
    <row r="21" spans="1:1" x14ac:dyDescent="0.3">
      <c r="A21" t="s">
        <v>16</v>
      </c>
    </row>
    <row r="23" spans="1:1" x14ac:dyDescent="0.3">
      <c r="A23" s="1" t="s">
        <v>17</v>
      </c>
    </row>
    <row r="24" spans="1:1" x14ac:dyDescent="0.3">
      <c r="A24" t="s">
        <v>18</v>
      </c>
    </row>
    <row r="25" spans="1:1" x14ac:dyDescent="0.3">
      <c r="A25" t="s">
        <v>19</v>
      </c>
    </row>
    <row r="27" spans="1:1" x14ac:dyDescent="0.3">
      <c r="A27" s="1" t="s">
        <v>20</v>
      </c>
    </row>
    <row r="28" spans="1:1" x14ac:dyDescent="0.3">
      <c r="A28" t="s">
        <v>21</v>
      </c>
    </row>
    <row r="29" spans="1:1" x14ac:dyDescent="0.3">
      <c r="A29" t="s">
        <v>22</v>
      </c>
    </row>
    <row r="31" spans="1:1" x14ac:dyDescent="0.3">
      <c r="A31" s="1" t="s">
        <v>23</v>
      </c>
    </row>
    <row r="32" spans="1:1" x14ac:dyDescent="0.3">
      <c r="A3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33"/>
  <sheetViews>
    <sheetView tabSelected="1" topLeftCell="D1" zoomScale="85" zoomScaleNormal="85" workbookViewId="0">
      <pane ySplit="1" topLeftCell="A2" activePane="bottomLeft" state="frozen"/>
      <selection activeCell="F1" sqref="F1"/>
      <selection pane="bottomLeft" activeCell="I1" sqref="I1"/>
    </sheetView>
  </sheetViews>
  <sheetFormatPr baseColWidth="10" defaultColWidth="8.88671875" defaultRowHeight="14.4" x14ac:dyDescent="0.3"/>
  <cols>
    <col min="1" max="1" width="9" style="6" customWidth="1"/>
    <col min="2" max="2" width="7" style="6" customWidth="1"/>
    <col min="3" max="3" width="58" style="6" customWidth="1"/>
    <col min="4" max="4" width="24" style="6" customWidth="1"/>
    <col min="5" max="5" width="6" style="6" customWidth="1"/>
    <col min="6" max="6" width="17" style="6" customWidth="1"/>
    <col min="7" max="7" width="24" style="6" customWidth="1"/>
    <col min="8" max="8" width="16" style="6" customWidth="1"/>
    <col min="9" max="9" width="22" style="6" customWidth="1"/>
    <col min="10" max="10" width="8" style="6" customWidth="1"/>
    <col min="11" max="12" width="18" style="6" customWidth="1"/>
    <col min="13" max="13" width="30.109375" style="6" customWidth="1"/>
    <col min="14" max="26" width="18" style="6" customWidth="1"/>
    <col min="27" max="27" width="42" style="6" customWidth="1"/>
    <col min="28" max="28" width="26" style="6" customWidth="1"/>
    <col min="29" max="29" width="20" style="6" customWidth="1"/>
    <col min="30" max="30" width="32" style="6" customWidth="1"/>
    <col min="31" max="31" width="30" style="6" customWidth="1"/>
    <col min="32" max="16384" width="8.88671875" style="6"/>
  </cols>
  <sheetData>
    <row r="1" spans="1:31" ht="46.2" customHeight="1" x14ac:dyDescent="0.3">
      <c r="A1" s="5" t="s">
        <v>25</v>
      </c>
      <c r="B1" s="5" t="s">
        <v>26</v>
      </c>
      <c r="C1" s="5" t="s">
        <v>27</v>
      </c>
      <c r="D1" s="5" t="s">
        <v>28</v>
      </c>
      <c r="E1" s="5" t="s">
        <v>29</v>
      </c>
      <c r="F1" s="5" t="s">
        <v>30</v>
      </c>
      <c r="G1" s="5" t="s">
        <v>31</v>
      </c>
      <c r="H1" s="5" t="s">
        <v>32</v>
      </c>
      <c r="I1" s="5" t="s">
        <v>33</v>
      </c>
      <c r="J1" s="5" t="s">
        <v>34</v>
      </c>
      <c r="K1" s="5" t="s">
        <v>35</v>
      </c>
      <c r="L1" s="5" t="s">
        <v>36</v>
      </c>
      <c r="M1" s="5" t="s">
        <v>37</v>
      </c>
      <c r="N1" s="5" t="s">
        <v>38</v>
      </c>
      <c r="O1" s="5" t="s">
        <v>39</v>
      </c>
      <c r="P1" s="5" t="s">
        <v>40</v>
      </c>
      <c r="Q1" s="5" t="s">
        <v>41</v>
      </c>
      <c r="R1" s="5" t="s">
        <v>42</v>
      </c>
      <c r="S1" s="5" t="s">
        <v>43</v>
      </c>
      <c r="T1" s="5" t="s">
        <v>44</v>
      </c>
      <c r="U1" s="5" t="s">
        <v>45</v>
      </c>
      <c r="V1" s="5" t="s">
        <v>46</v>
      </c>
      <c r="W1" s="5" t="s">
        <v>47</v>
      </c>
      <c r="X1" s="5" t="s">
        <v>48</v>
      </c>
      <c r="Y1" s="5" t="s">
        <v>49</v>
      </c>
      <c r="Z1" s="5" t="s">
        <v>50</v>
      </c>
      <c r="AA1" s="5" t="s">
        <v>51</v>
      </c>
      <c r="AB1" s="5" t="s">
        <v>52</v>
      </c>
      <c r="AC1" s="5" t="s">
        <v>53</v>
      </c>
      <c r="AD1" s="5" t="s">
        <v>54</v>
      </c>
      <c r="AE1" s="5" t="s">
        <v>55</v>
      </c>
    </row>
    <row r="2" spans="1:31" x14ac:dyDescent="0.3">
      <c r="A2" s="7" t="s">
        <v>56</v>
      </c>
      <c r="B2" s="7">
        <v>12</v>
      </c>
      <c r="C2" s="7" t="s">
        <v>57</v>
      </c>
      <c r="D2" s="7" t="s">
        <v>58</v>
      </c>
      <c r="E2" s="7" t="s">
        <v>59</v>
      </c>
      <c r="F2" s="7" t="s">
        <v>60</v>
      </c>
      <c r="G2" s="7" t="s">
        <v>61</v>
      </c>
      <c r="H2" s="8" t="s">
        <v>62</v>
      </c>
      <c r="I2" s="9" t="s">
        <v>63</v>
      </c>
      <c r="J2" s="9" t="s">
        <v>64</v>
      </c>
      <c r="K2" s="9" t="s">
        <v>65</v>
      </c>
      <c r="L2" s="9" t="s">
        <v>66</v>
      </c>
      <c r="M2" s="9" t="s">
        <v>67</v>
      </c>
      <c r="N2" s="9" t="s">
        <v>248</v>
      </c>
      <c r="O2" s="9" t="s">
        <v>69</v>
      </c>
      <c r="P2" s="9" t="s">
        <v>177</v>
      </c>
      <c r="Q2" s="9" t="s">
        <v>71</v>
      </c>
      <c r="R2" s="9" t="s">
        <v>333</v>
      </c>
      <c r="S2" s="9">
        <v>9</v>
      </c>
      <c r="T2" s="9" t="s">
        <v>249</v>
      </c>
      <c r="U2" s="9">
        <v>0</v>
      </c>
      <c r="V2" s="9">
        <v>0</v>
      </c>
      <c r="W2" s="9">
        <v>0</v>
      </c>
      <c r="X2" s="9" t="s">
        <v>249</v>
      </c>
      <c r="Y2" s="9" t="s">
        <v>73</v>
      </c>
      <c r="Z2" s="9">
        <v>2025</v>
      </c>
      <c r="AA2" s="9" t="s">
        <v>249</v>
      </c>
      <c r="AB2" s="9" t="s">
        <v>617</v>
      </c>
      <c r="AC2" s="9" t="s">
        <v>656</v>
      </c>
      <c r="AD2" s="9" t="s">
        <v>731</v>
      </c>
      <c r="AE2" s="9" t="s">
        <v>639</v>
      </c>
    </row>
    <row r="3" spans="1:31" x14ac:dyDescent="0.3">
      <c r="A3" s="7" t="s">
        <v>76</v>
      </c>
      <c r="B3" s="7">
        <v>54</v>
      </c>
      <c r="C3" s="7" t="s">
        <v>77</v>
      </c>
      <c r="D3" s="7" t="s">
        <v>78</v>
      </c>
      <c r="E3" s="7" t="s">
        <v>79</v>
      </c>
      <c r="F3" s="7" t="s">
        <v>60</v>
      </c>
      <c r="G3" s="7" t="s">
        <v>80</v>
      </c>
      <c r="H3" s="8" t="s">
        <v>62</v>
      </c>
      <c r="I3" s="9" t="s">
        <v>732</v>
      </c>
      <c r="J3" s="9" t="s">
        <v>64</v>
      </c>
      <c r="K3" s="9" t="s">
        <v>733</v>
      </c>
      <c r="L3" s="9" t="s">
        <v>174</v>
      </c>
      <c r="M3" s="9" t="s">
        <v>175</v>
      </c>
      <c r="N3" s="9" t="s">
        <v>248</v>
      </c>
      <c r="O3" s="9" t="s">
        <v>707</v>
      </c>
      <c r="P3" s="9" t="s">
        <v>177</v>
      </c>
      <c r="Q3" s="9" t="s">
        <v>71</v>
      </c>
      <c r="R3" s="9" t="s">
        <v>333</v>
      </c>
      <c r="S3" s="9">
        <v>27</v>
      </c>
      <c r="T3" s="9">
        <v>17</v>
      </c>
      <c r="U3" s="9">
        <v>0</v>
      </c>
      <c r="V3" s="9" t="s">
        <v>249</v>
      </c>
      <c r="W3" s="9">
        <v>0</v>
      </c>
      <c r="X3" s="9" t="s">
        <v>249</v>
      </c>
      <c r="Y3" s="9">
        <v>0</v>
      </c>
      <c r="Z3" s="9">
        <v>2019</v>
      </c>
      <c r="AA3" s="9" t="s">
        <v>734</v>
      </c>
      <c r="AB3" s="9" t="str">
        <f>IFERROR(IF(VLOOKUP(D3,Revistas!$A$21:$C$400,3,FALSE)=0,"",VLOOKUP(D3,Revistas!$A$21:$C$400,3,FALSE)),"")</f>
        <v>alto</v>
      </c>
      <c r="AC3" s="9" t="s">
        <v>655</v>
      </c>
      <c r="AD3" s="9" t="s">
        <v>735</v>
      </c>
      <c r="AE3" s="9" t="s">
        <v>639</v>
      </c>
    </row>
    <row r="4" spans="1:31" x14ac:dyDescent="0.3">
      <c r="A4" s="7" t="s">
        <v>81</v>
      </c>
      <c r="B4" s="7">
        <v>80</v>
      </c>
      <c r="C4" s="7" t="s">
        <v>82</v>
      </c>
      <c r="D4" s="7" t="s">
        <v>83</v>
      </c>
      <c r="E4" s="7" t="s">
        <v>84</v>
      </c>
      <c r="F4" s="7" t="s">
        <v>60</v>
      </c>
      <c r="G4" s="7" t="s">
        <v>85</v>
      </c>
      <c r="H4" s="8" t="s">
        <v>62</v>
      </c>
      <c r="I4" s="9" t="s">
        <v>736</v>
      </c>
      <c r="J4" s="9" t="s">
        <v>64</v>
      </c>
      <c r="K4" s="9" t="s">
        <v>65</v>
      </c>
      <c r="L4" s="9" t="s">
        <v>174</v>
      </c>
      <c r="M4" s="9" t="s">
        <v>175</v>
      </c>
      <c r="N4" s="9" t="s">
        <v>248</v>
      </c>
      <c r="O4" s="9" t="s">
        <v>255</v>
      </c>
      <c r="P4" s="9" t="s">
        <v>70</v>
      </c>
      <c r="Q4" s="9" t="s">
        <v>71</v>
      </c>
      <c r="R4" s="9" t="s">
        <v>737</v>
      </c>
      <c r="S4" s="9" t="s">
        <v>249</v>
      </c>
      <c r="T4" s="9" t="s">
        <v>249</v>
      </c>
      <c r="U4" s="9" t="s">
        <v>73</v>
      </c>
      <c r="V4" s="9" t="s">
        <v>249</v>
      </c>
      <c r="W4" s="9" t="s">
        <v>249</v>
      </c>
      <c r="X4" s="9" t="s">
        <v>249</v>
      </c>
      <c r="Y4" s="9" t="s">
        <v>249</v>
      </c>
      <c r="Z4" s="9">
        <v>2022</v>
      </c>
      <c r="AA4" s="9" t="s">
        <v>738</v>
      </c>
      <c r="AB4" s="9" t="s">
        <v>617</v>
      </c>
      <c r="AC4" s="9" t="s">
        <v>74</v>
      </c>
      <c r="AD4" s="9" t="s">
        <v>739</v>
      </c>
      <c r="AE4" s="9" t="s">
        <v>634</v>
      </c>
    </row>
    <row r="5" spans="1:31" x14ac:dyDescent="0.3">
      <c r="A5" s="7" t="s">
        <v>86</v>
      </c>
      <c r="B5" s="7">
        <v>181</v>
      </c>
      <c r="C5" s="7" t="s">
        <v>87</v>
      </c>
      <c r="D5" s="7" t="s">
        <v>88</v>
      </c>
      <c r="E5" s="7" t="s">
        <v>89</v>
      </c>
      <c r="F5" s="7" t="s">
        <v>60</v>
      </c>
      <c r="G5" s="7" t="s">
        <v>90</v>
      </c>
      <c r="H5" s="8" t="s">
        <v>62</v>
      </c>
      <c r="I5" s="9" t="s">
        <v>740</v>
      </c>
      <c r="J5" s="9" t="s">
        <v>64</v>
      </c>
      <c r="K5" s="9" t="s">
        <v>65</v>
      </c>
      <c r="L5" s="9" t="s">
        <v>66</v>
      </c>
      <c r="M5" s="9" t="s">
        <v>175</v>
      </c>
      <c r="N5" s="9" t="s">
        <v>248</v>
      </c>
      <c r="O5" s="9" t="s">
        <v>69</v>
      </c>
      <c r="P5" s="9" t="s">
        <v>177</v>
      </c>
      <c r="Q5" s="9" t="s">
        <v>741</v>
      </c>
      <c r="R5" s="9" t="s">
        <v>333</v>
      </c>
      <c r="S5" s="9">
        <v>10</v>
      </c>
      <c r="T5" s="9" t="s">
        <v>249</v>
      </c>
      <c r="U5" s="9" t="s">
        <v>73</v>
      </c>
      <c r="V5" s="9" t="s">
        <v>249</v>
      </c>
      <c r="W5" s="9" t="s">
        <v>249</v>
      </c>
      <c r="X5" s="9">
        <v>14</v>
      </c>
      <c r="Y5" s="9" t="s">
        <v>73</v>
      </c>
      <c r="Z5" s="9">
        <v>2023</v>
      </c>
      <c r="AA5" s="9" t="s">
        <v>742</v>
      </c>
      <c r="AB5" s="9" t="s">
        <v>617</v>
      </c>
      <c r="AC5" s="9" t="s">
        <v>628</v>
      </c>
      <c r="AD5" s="9" t="s">
        <v>743</v>
      </c>
      <c r="AE5" s="9" t="s">
        <v>634</v>
      </c>
    </row>
    <row r="6" spans="1:31" x14ac:dyDescent="0.3">
      <c r="A6" s="7" t="s">
        <v>91</v>
      </c>
      <c r="B6" s="7">
        <v>361</v>
      </c>
      <c r="C6" s="7" t="s">
        <v>92</v>
      </c>
      <c r="D6" s="7" t="s">
        <v>93</v>
      </c>
      <c r="E6" s="7" t="s">
        <v>89</v>
      </c>
      <c r="F6" s="7" t="s">
        <v>60</v>
      </c>
      <c r="G6" s="7" t="s">
        <v>94</v>
      </c>
      <c r="H6" s="8" t="s">
        <v>62</v>
      </c>
      <c r="I6" s="9" t="s">
        <v>744</v>
      </c>
      <c r="J6" s="9" t="s">
        <v>64</v>
      </c>
      <c r="K6" s="9" t="s">
        <v>733</v>
      </c>
      <c r="L6" s="9" t="s">
        <v>174</v>
      </c>
      <c r="M6" s="9" t="s">
        <v>175</v>
      </c>
      <c r="N6" s="9" t="s">
        <v>248</v>
      </c>
      <c r="O6" s="9" t="s">
        <v>69</v>
      </c>
      <c r="P6" s="9" t="s">
        <v>177</v>
      </c>
      <c r="Q6" s="9" t="s">
        <v>71</v>
      </c>
      <c r="R6" s="9" t="s">
        <v>72</v>
      </c>
      <c r="S6" s="9">
        <v>30</v>
      </c>
      <c r="T6" s="9">
        <v>28</v>
      </c>
      <c r="U6" s="9">
        <v>0</v>
      </c>
      <c r="V6" s="9">
        <v>26</v>
      </c>
      <c r="W6" s="9">
        <v>1</v>
      </c>
      <c r="X6" s="9">
        <v>6</v>
      </c>
      <c r="Y6" s="9" t="s">
        <v>73</v>
      </c>
      <c r="Z6" s="9">
        <v>2023</v>
      </c>
      <c r="AA6" s="9" t="s">
        <v>745</v>
      </c>
      <c r="AB6" s="9" t="s">
        <v>617</v>
      </c>
      <c r="AC6" s="9" t="s">
        <v>644</v>
      </c>
      <c r="AD6" s="9" t="s">
        <v>746</v>
      </c>
      <c r="AE6" s="9" t="s">
        <v>634</v>
      </c>
    </row>
    <row r="7" spans="1:31" x14ac:dyDescent="0.3">
      <c r="A7" s="7" t="s">
        <v>95</v>
      </c>
      <c r="B7" s="7">
        <v>498</v>
      </c>
      <c r="C7" s="7" t="s">
        <v>96</v>
      </c>
      <c r="D7" s="7" t="s">
        <v>97</v>
      </c>
      <c r="E7" s="7" t="s">
        <v>59</v>
      </c>
      <c r="F7" s="7" t="s">
        <v>60</v>
      </c>
      <c r="G7" s="7" t="s">
        <v>98</v>
      </c>
      <c r="H7" s="8" t="s">
        <v>62</v>
      </c>
      <c r="I7" s="9" t="s">
        <v>747</v>
      </c>
      <c r="J7" s="9" t="s">
        <v>64</v>
      </c>
      <c r="K7" s="9" t="s">
        <v>733</v>
      </c>
      <c r="L7" s="9" t="s">
        <v>174</v>
      </c>
      <c r="M7" s="9" t="s">
        <v>175</v>
      </c>
      <c r="N7" s="9" t="s">
        <v>248</v>
      </c>
      <c r="O7" s="9" t="s">
        <v>69</v>
      </c>
      <c r="P7" s="9" t="s">
        <v>177</v>
      </c>
      <c r="Q7" s="9" t="s">
        <v>71</v>
      </c>
      <c r="R7" s="9" t="s">
        <v>72</v>
      </c>
      <c r="S7" s="9">
        <v>30</v>
      </c>
      <c r="T7" s="9">
        <v>23</v>
      </c>
      <c r="U7" s="9">
        <v>0</v>
      </c>
      <c r="V7" s="9" t="s">
        <v>249</v>
      </c>
      <c r="W7" s="9">
        <v>11</v>
      </c>
      <c r="X7" s="9">
        <v>51</v>
      </c>
      <c r="Y7" s="9" t="s">
        <v>73</v>
      </c>
      <c r="Z7" s="9">
        <v>2025</v>
      </c>
      <c r="AA7" s="9" t="s">
        <v>748</v>
      </c>
      <c r="AB7" s="9" t="s">
        <v>614</v>
      </c>
      <c r="AC7" s="9" t="s">
        <v>644</v>
      </c>
      <c r="AD7" s="9" t="s">
        <v>749</v>
      </c>
      <c r="AE7" s="9" t="s">
        <v>634</v>
      </c>
    </row>
    <row r="8" spans="1:31" x14ac:dyDescent="0.3">
      <c r="A8" s="7" t="s">
        <v>99</v>
      </c>
      <c r="B8" s="7">
        <v>753</v>
      </c>
      <c r="C8" s="7" t="s">
        <v>100</v>
      </c>
      <c r="D8" s="7" t="s">
        <v>101</v>
      </c>
      <c r="E8" s="7" t="s">
        <v>84</v>
      </c>
      <c r="F8" s="7" t="s">
        <v>60</v>
      </c>
      <c r="G8" s="7" t="s">
        <v>102</v>
      </c>
      <c r="H8" s="8" t="s">
        <v>62</v>
      </c>
      <c r="I8" s="9" t="s">
        <v>750</v>
      </c>
      <c r="J8" s="9" t="s">
        <v>64</v>
      </c>
      <c r="K8" s="9" t="s">
        <v>733</v>
      </c>
      <c r="L8" s="9" t="s">
        <v>174</v>
      </c>
      <c r="M8" s="9" t="s">
        <v>175</v>
      </c>
      <c r="N8" s="9" t="s">
        <v>248</v>
      </c>
      <c r="O8" s="9" t="s">
        <v>69</v>
      </c>
      <c r="P8" s="9" t="s">
        <v>177</v>
      </c>
      <c r="Q8" s="9" t="s">
        <v>741</v>
      </c>
      <c r="R8" s="9" t="s">
        <v>737</v>
      </c>
      <c r="S8" s="9" t="s">
        <v>249</v>
      </c>
      <c r="T8" s="9" t="s">
        <v>249</v>
      </c>
      <c r="U8" s="9" t="s">
        <v>73</v>
      </c>
      <c r="V8" s="9" t="s">
        <v>249</v>
      </c>
      <c r="W8" s="9" t="s">
        <v>249</v>
      </c>
      <c r="X8" s="9" t="s">
        <v>249</v>
      </c>
      <c r="Y8" s="9" t="s">
        <v>73</v>
      </c>
      <c r="Z8" s="9">
        <v>2022</v>
      </c>
      <c r="AA8" s="9" t="s">
        <v>751</v>
      </c>
      <c r="AB8" s="9" t="s">
        <v>614</v>
      </c>
      <c r="AC8" s="9" t="s">
        <v>628</v>
      </c>
      <c r="AD8" s="9" t="s">
        <v>752</v>
      </c>
      <c r="AE8" s="9" t="s">
        <v>634</v>
      </c>
    </row>
    <row r="9" spans="1:31" x14ac:dyDescent="0.3">
      <c r="A9" s="7" t="s">
        <v>103</v>
      </c>
      <c r="B9" s="7">
        <v>869</v>
      </c>
      <c r="C9" s="7" t="s">
        <v>104</v>
      </c>
      <c r="D9" s="7" t="s">
        <v>105</v>
      </c>
      <c r="E9" s="7" t="s">
        <v>106</v>
      </c>
      <c r="F9" s="7" t="s">
        <v>60</v>
      </c>
      <c r="G9" s="7" t="s">
        <v>107</v>
      </c>
      <c r="H9" s="8" t="s">
        <v>62</v>
      </c>
      <c r="I9" s="9" t="s">
        <v>753</v>
      </c>
      <c r="J9" s="9" t="s">
        <v>64</v>
      </c>
      <c r="K9" s="9" t="s">
        <v>733</v>
      </c>
      <c r="L9" s="9" t="s">
        <v>174</v>
      </c>
      <c r="M9" s="9" t="s">
        <v>175</v>
      </c>
      <c r="N9" s="9" t="s">
        <v>248</v>
      </c>
      <c r="O9" s="9" t="s">
        <v>707</v>
      </c>
      <c r="P9" s="9" t="s">
        <v>177</v>
      </c>
      <c r="Q9" s="9" t="s">
        <v>71</v>
      </c>
      <c r="R9" s="9" t="s">
        <v>72</v>
      </c>
      <c r="S9" s="9">
        <v>38</v>
      </c>
      <c r="T9" s="9">
        <v>30</v>
      </c>
      <c r="U9" s="9">
        <v>0</v>
      </c>
      <c r="V9" s="9" t="s">
        <v>249</v>
      </c>
      <c r="W9" s="9">
        <v>4</v>
      </c>
      <c r="X9" s="9">
        <v>28</v>
      </c>
      <c r="Y9" s="9" t="s">
        <v>249</v>
      </c>
      <c r="Z9" s="9">
        <v>2026</v>
      </c>
      <c r="AA9" s="9" t="s">
        <v>754</v>
      </c>
      <c r="AB9" s="9" t="s">
        <v>614</v>
      </c>
      <c r="AC9" s="9" t="s">
        <v>643</v>
      </c>
      <c r="AD9" s="9" t="s">
        <v>755</v>
      </c>
      <c r="AE9" s="9" t="s">
        <v>634</v>
      </c>
    </row>
    <row r="10" spans="1:31" x14ac:dyDescent="0.3">
      <c r="A10" s="7" t="s">
        <v>108</v>
      </c>
      <c r="B10" s="7">
        <v>3039</v>
      </c>
      <c r="C10" s="7" t="s">
        <v>109</v>
      </c>
      <c r="D10" s="7" t="s">
        <v>110</v>
      </c>
      <c r="E10" s="7" t="s">
        <v>111</v>
      </c>
      <c r="F10" s="7" t="s">
        <v>60</v>
      </c>
      <c r="G10" s="7" t="s">
        <v>112</v>
      </c>
      <c r="H10" s="8" t="s">
        <v>62</v>
      </c>
      <c r="I10" s="9" t="s">
        <v>756</v>
      </c>
      <c r="J10" s="9" t="s">
        <v>64</v>
      </c>
      <c r="K10" s="9" t="s">
        <v>733</v>
      </c>
      <c r="L10" s="9" t="s">
        <v>66</v>
      </c>
      <c r="M10" s="9" t="s">
        <v>66</v>
      </c>
      <c r="N10" s="9" t="s">
        <v>248</v>
      </c>
      <c r="O10" s="9" t="s">
        <v>342</v>
      </c>
      <c r="P10" s="9" t="s">
        <v>70</v>
      </c>
      <c r="Q10" s="9" t="s">
        <v>71</v>
      </c>
      <c r="R10" s="9" t="s">
        <v>72</v>
      </c>
      <c r="S10" s="9">
        <v>80</v>
      </c>
      <c r="T10" s="9" t="s">
        <v>249</v>
      </c>
      <c r="U10" s="9">
        <v>0</v>
      </c>
      <c r="V10" s="9" t="s">
        <v>249</v>
      </c>
      <c r="W10" s="9" t="s">
        <v>249</v>
      </c>
      <c r="X10" s="9" t="s">
        <v>249</v>
      </c>
      <c r="Y10" s="9" t="s">
        <v>73</v>
      </c>
      <c r="Z10" s="9">
        <v>2021</v>
      </c>
      <c r="AA10" s="9" t="s">
        <v>757</v>
      </c>
      <c r="AB10" s="9" t="s">
        <v>614</v>
      </c>
      <c r="AC10" s="9" t="s">
        <v>657</v>
      </c>
      <c r="AD10" s="9" t="s">
        <v>758</v>
      </c>
      <c r="AE10" s="9" t="s">
        <v>634</v>
      </c>
    </row>
    <row r="11" spans="1:31" x14ac:dyDescent="0.3">
      <c r="A11" s="7" t="s">
        <v>113</v>
      </c>
      <c r="B11" s="7">
        <v>3367</v>
      </c>
      <c r="C11" s="7" t="s">
        <v>114</v>
      </c>
      <c r="D11" s="7" t="s">
        <v>115</v>
      </c>
      <c r="E11" s="7" t="s">
        <v>89</v>
      </c>
      <c r="F11" s="7" t="s">
        <v>60</v>
      </c>
      <c r="G11" s="7" t="s">
        <v>116</v>
      </c>
      <c r="H11" s="8" t="s">
        <v>62</v>
      </c>
      <c r="I11" s="9" t="s">
        <v>759</v>
      </c>
      <c r="J11" s="9" t="s">
        <v>64</v>
      </c>
      <c r="K11" s="9" t="s">
        <v>249</v>
      </c>
      <c r="L11" s="9" t="s">
        <v>66</v>
      </c>
      <c r="M11" s="9" t="s">
        <v>175</v>
      </c>
      <c r="N11" s="9" t="s">
        <v>248</v>
      </c>
      <c r="O11" s="9" t="s">
        <v>342</v>
      </c>
      <c r="P11" s="9" t="s">
        <v>177</v>
      </c>
      <c r="Q11" s="9" t="s">
        <v>741</v>
      </c>
      <c r="R11" s="9" t="s">
        <v>72</v>
      </c>
      <c r="S11" s="9">
        <v>23</v>
      </c>
      <c r="T11" s="9">
        <v>21</v>
      </c>
      <c r="U11" s="9">
        <v>0</v>
      </c>
      <c r="V11" s="9">
        <v>22</v>
      </c>
      <c r="W11" s="9">
        <v>0</v>
      </c>
      <c r="X11" s="9">
        <v>31</v>
      </c>
      <c r="Y11" s="9" t="s">
        <v>73</v>
      </c>
      <c r="Z11" s="9">
        <v>2023</v>
      </c>
      <c r="AA11" s="9" t="s">
        <v>760</v>
      </c>
      <c r="AB11" s="9" t="str">
        <f>IFERROR(IF(VLOOKUP(D11,Revistas!$A$21:$C$400,3,FALSE)=0,"",VLOOKUP(D11,Revistas!$A$21:$C$400,3,FALSE)),"")</f>
        <v>medio</v>
      </c>
      <c r="AC11" s="9" t="s">
        <v>651</v>
      </c>
      <c r="AD11" s="9" t="s">
        <v>743</v>
      </c>
      <c r="AE11" s="9" t="s">
        <v>631</v>
      </c>
    </row>
    <row r="12" spans="1:31" x14ac:dyDescent="0.3">
      <c r="A12" s="7" t="s">
        <v>117</v>
      </c>
      <c r="B12" s="7">
        <v>66</v>
      </c>
      <c r="C12" s="7" t="s">
        <v>118</v>
      </c>
      <c r="D12" s="7" t="s">
        <v>119</v>
      </c>
      <c r="E12" s="7" t="s">
        <v>59</v>
      </c>
      <c r="F12" s="7" t="s">
        <v>60</v>
      </c>
      <c r="G12" s="7" t="s">
        <v>120</v>
      </c>
      <c r="H12" s="8" t="s">
        <v>62</v>
      </c>
      <c r="I12" s="9" t="s">
        <v>761</v>
      </c>
      <c r="J12" s="9" t="s">
        <v>64</v>
      </c>
      <c r="K12" s="9" t="s">
        <v>733</v>
      </c>
      <c r="L12" s="9" t="s">
        <v>66</v>
      </c>
      <c r="M12" s="9" t="s">
        <v>175</v>
      </c>
      <c r="N12" s="9" t="s">
        <v>248</v>
      </c>
      <c r="O12" s="9" t="s">
        <v>707</v>
      </c>
      <c r="P12" s="9" t="s">
        <v>70</v>
      </c>
      <c r="Q12" s="9" t="s">
        <v>71</v>
      </c>
      <c r="R12" s="9" t="s">
        <v>737</v>
      </c>
      <c r="S12" s="9">
        <v>19</v>
      </c>
      <c r="T12" s="9" t="s">
        <v>249</v>
      </c>
      <c r="U12" s="9" t="s">
        <v>73</v>
      </c>
      <c r="V12" s="9" t="s">
        <v>249</v>
      </c>
      <c r="W12" s="9" t="s">
        <v>249</v>
      </c>
      <c r="X12" s="9" t="s">
        <v>249</v>
      </c>
      <c r="Y12" s="9" t="s">
        <v>73</v>
      </c>
      <c r="Z12" s="9">
        <v>2025</v>
      </c>
      <c r="AA12" s="9" t="s">
        <v>249</v>
      </c>
      <c r="AB12" s="9" t="str">
        <f>IFERROR(IF(VLOOKUP(D12,Revistas!$A$21:$C$400,3,FALSE)=0,"",VLOOKUP(D12,Revistas!$A$21:$C$400,3,FALSE)),"")</f>
        <v>alto</v>
      </c>
      <c r="AC12" s="9" t="s">
        <v>252</v>
      </c>
      <c r="AD12" s="9" t="s">
        <v>249</v>
      </c>
      <c r="AE12" s="9" t="s">
        <v>629</v>
      </c>
    </row>
    <row r="13" spans="1:31" x14ac:dyDescent="0.3">
      <c r="A13" s="7" t="s">
        <v>121</v>
      </c>
      <c r="B13" s="7">
        <v>219</v>
      </c>
      <c r="C13" s="7" t="s">
        <v>122</v>
      </c>
      <c r="D13" s="7" t="s">
        <v>123</v>
      </c>
      <c r="E13" s="7" t="s">
        <v>89</v>
      </c>
      <c r="F13" s="7" t="s">
        <v>60</v>
      </c>
      <c r="G13" s="7" t="s">
        <v>124</v>
      </c>
      <c r="H13" s="8" t="s">
        <v>62</v>
      </c>
      <c r="I13" s="9" t="s">
        <v>762</v>
      </c>
      <c r="J13" s="9" t="s">
        <v>64</v>
      </c>
      <c r="K13" s="9" t="s">
        <v>65</v>
      </c>
      <c r="L13" s="9" t="s">
        <v>254</v>
      </c>
      <c r="M13" s="9" t="s">
        <v>175</v>
      </c>
      <c r="N13" s="9" t="s">
        <v>248</v>
      </c>
      <c r="O13" s="9" t="s">
        <v>69</v>
      </c>
      <c r="P13" s="9" t="s">
        <v>70</v>
      </c>
      <c r="Q13" s="9" t="s">
        <v>342</v>
      </c>
      <c r="R13" s="9" t="s">
        <v>72</v>
      </c>
      <c r="S13" s="9">
        <v>24</v>
      </c>
      <c r="T13" s="9" t="s">
        <v>249</v>
      </c>
      <c r="U13" s="9" t="s">
        <v>73</v>
      </c>
      <c r="V13" s="9" t="s">
        <v>249</v>
      </c>
      <c r="W13" s="9" t="s">
        <v>249</v>
      </c>
      <c r="X13" s="9" t="s">
        <v>249</v>
      </c>
      <c r="Y13" s="9" t="s">
        <v>73</v>
      </c>
      <c r="Z13" s="9">
        <v>2022</v>
      </c>
      <c r="AA13" s="9" t="s">
        <v>763</v>
      </c>
      <c r="AB13" s="9" t="s">
        <v>249</v>
      </c>
      <c r="AC13" s="9" t="s">
        <v>379</v>
      </c>
      <c r="AD13" s="9" t="s">
        <v>764</v>
      </c>
      <c r="AE13" s="9" t="s">
        <v>639</v>
      </c>
    </row>
    <row r="14" spans="1:31" x14ac:dyDescent="0.3">
      <c r="A14" s="7" t="s">
        <v>125</v>
      </c>
      <c r="B14" s="7">
        <v>288</v>
      </c>
      <c r="C14" s="7" t="s">
        <v>126</v>
      </c>
      <c r="D14" s="7" t="s">
        <v>127</v>
      </c>
      <c r="E14" s="7" t="s">
        <v>59</v>
      </c>
      <c r="F14" s="7" t="s">
        <v>128</v>
      </c>
      <c r="G14" s="7" t="s">
        <v>129</v>
      </c>
      <c r="H14" s="8" t="s">
        <v>62</v>
      </c>
      <c r="I14" s="9" t="s">
        <v>249</v>
      </c>
      <c r="J14" s="9" t="s">
        <v>64</v>
      </c>
      <c r="K14" s="9" t="s">
        <v>249</v>
      </c>
      <c r="L14" s="9" t="s">
        <v>66</v>
      </c>
      <c r="M14" s="9" t="s">
        <v>66</v>
      </c>
      <c r="N14" s="9" t="s">
        <v>771</v>
      </c>
      <c r="O14" s="9" t="s">
        <v>249</v>
      </c>
      <c r="P14" s="9" t="s">
        <v>249</v>
      </c>
      <c r="Q14" s="9" t="s">
        <v>249</v>
      </c>
      <c r="R14" s="9" t="s">
        <v>737</v>
      </c>
      <c r="S14" s="9" t="s">
        <v>249</v>
      </c>
      <c r="T14" s="9" t="s">
        <v>249</v>
      </c>
      <c r="U14" s="9" t="s">
        <v>73</v>
      </c>
      <c r="V14" s="9" t="s">
        <v>249</v>
      </c>
      <c r="W14" s="9" t="s">
        <v>249</v>
      </c>
      <c r="X14" s="9" t="s">
        <v>249</v>
      </c>
      <c r="Y14" s="9" t="s">
        <v>73</v>
      </c>
      <c r="Z14" s="9" t="s">
        <v>792</v>
      </c>
      <c r="AA14" s="9" t="s">
        <v>249</v>
      </c>
      <c r="AB14" s="9" t="s">
        <v>249</v>
      </c>
      <c r="AC14" s="9" t="s">
        <v>249</v>
      </c>
      <c r="AD14" s="9" t="s">
        <v>249</v>
      </c>
      <c r="AE14" s="9" t="s">
        <v>629</v>
      </c>
    </row>
    <row r="15" spans="1:31" x14ac:dyDescent="0.3">
      <c r="A15" s="7" t="s">
        <v>130</v>
      </c>
      <c r="B15" s="7">
        <v>399</v>
      </c>
      <c r="C15" s="7" t="s">
        <v>131</v>
      </c>
      <c r="D15" s="7" t="s">
        <v>132</v>
      </c>
      <c r="E15" s="7" t="s">
        <v>59</v>
      </c>
      <c r="F15" s="7" t="s">
        <v>60</v>
      </c>
      <c r="G15" s="7" t="s">
        <v>133</v>
      </c>
      <c r="H15" s="8" t="s">
        <v>62</v>
      </c>
      <c r="I15" s="9" t="s">
        <v>941</v>
      </c>
      <c r="J15" s="9" t="s">
        <v>64</v>
      </c>
      <c r="K15" s="9" t="s">
        <v>249</v>
      </c>
      <c r="L15" s="9" t="s">
        <v>66</v>
      </c>
      <c r="M15" s="9" t="s">
        <v>66</v>
      </c>
      <c r="N15" s="9" t="s">
        <v>771</v>
      </c>
      <c r="O15" s="9" t="s">
        <v>249</v>
      </c>
      <c r="P15" s="9" t="s">
        <v>249</v>
      </c>
      <c r="Q15" s="9" t="s">
        <v>249</v>
      </c>
      <c r="R15" s="9" t="s">
        <v>737</v>
      </c>
      <c r="S15" s="9" t="s">
        <v>249</v>
      </c>
      <c r="T15" s="9" t="s">
        <v>249</v>
      </c>
      <c r="U15" s="9" t="s">
        <v>73</v>
      </c>
      <c r="V15" s="9" t="s">
        <v>249</v>
      </c>
      <c r="W15" s="9" t="s">
        <v>249</v>
      </c>
      <c r="X15" s="9" t="s">
        <v>249</v>
      </c>
      <c r="Y15" s="9" t="s">
        <v>73</v>
      </c>
      <c r="Z15" s="9">
        <v>2025</v>
      </c>
      <c r="AA15" s="9" t="s">
        <v>249</v>
      </c>
      <c r="AB15" s="9" t="s">
        <v>249</v>
      </c>
      <c r="AC15" s="9" t="s">
        <v>651</v>
      </c>
      <c r="AD15" s="9" t="s">
        <v>249</v>
      </c>
      <c r="AE15" s="9" t="s">
        <v>629</v>
      </c>
    </row>
    <row r="16" spans="1:31" x14ac:dyDescent="0.3">
      <c r="A16" s="7" t="s">
        <v>134</v>
      </c>
      <c r="B16" s="7">
        <v>506</v>
      </c>
      <c r="C16" s="7" t="s">
        <v>135</v>
      </c>
      <c r="D16" s="7" t="s">
        <v>132</v>
      </c>
      <c r="E16" s="7" t="s">
        <v>106</v>
      </c>
      <c r="F16" s="7" t="s">
        <v>60</v>
      </c>
      <c r="G16" s="7" t="s">
        <v>136</v>
      </c>
      <c r="H16" s="8" t="s">
        <v>62</v>
      </c>
      <c r="I16" s="9" t="s">
        <v>942</v>
      </c>
      <c r="J16" s="9" t="s">
        <v>64</v>
      </c>
      <c r="K16" s="9" t="s">
        <v>249</v>
      </c>
      <c r="L16" s="9" t="s">
        <v>66</v>
      </c>
      <c r="M16" s="9" t="s">
        <v>66</v>
      </c>
      <c r="N16" s="9" t="s">
        <v>771</v>
      </c>
      <c r="O16" s="9" t="s">
        <v>249</v>
      </c>
      <c r="P16" s="9" t="s">
        <v>249</v>
      </c>
      <c r="Q16" s="9" t="s">
        <v>249</v>
      </c>
      <c r="R16" s="9" t="s">
        <v>737</v>
      </c>
      <c r="S16" s="9" t="s">
        <v>249</v>
      </c>
      <c r="T16" s="9" t="s">
        <v>249</v>
      </c>
      <c r="U16" s="9" t="s">
        <v>73</v>
      </c>
      <c r="V16" s="9" t="s">
        <v>249</v>
      </c>
      <c r="W16" s="9" t="s">
        <v>249</v>
      </c>
      <c r="X16" s="9" t="s">
        <v>249</v>
      </c>
      <c r="Y16" s="9" t="s">
        <v>73</v>
      </c>
      <c r="Z16" s="9">
        <v>2026</v>
      </c>
      <c r="AA16" s="9" t="s">
        <v>249</v>
      </c>
      <c r="AB16" s="9" t="s">
        <v>249</v>
      </c>
      <c r="AC16" s="9" t="s">
        <v>651</v>
      </c>
      <c r="AD16" s="9" t="s">
        <v>249</v>
      </c>
      <c r="AE16" s="9" t="s">
        <v>629</v>
      </c>
    </row>
    <row r="17" spans="1:31" x14ac:dyDescent="0.3">
      <c r="A17" s="7" t="s">
        <v>137</v>
      </c>
      <c r="B17" s="7">
        <v>720</v>
      </c>
      <c r="C17" s="7" t="s">
        <v>138</v>
      </c>
      <c r="D17" s="7" t="s">
        <v>78</v>
      </c>
      <c r="E17" s="7" t="s">
        <v>111</v>
      </c>
      <c r="F17" s="7" t="s">
        <v>60</v>
      </c>
      <c r="G17" s="7" t="s">
        <v>139</v>
      </c>
      <c r="H17" s="8" t="s">
        <v>62</v>
      </c>
      <c r="I17" s="9" t="s">
        <v>765</v>
      </c>
      <c r="J17" s="9" t="s">
        <v>64</v>
      </c>
      <c r="K17" s="9" t="s">
        <v>733</v>
      </c>
      <c r="L17" s="9" t="s">
        <v>66</v>
      </c>
      <c r="M17" s="9" t="s">
        <v>175</v>
      </c>
      <c r="N17" s="9" t="s">
        <v>248</v>
      </c>
      <c r="O17" s="9" t="s">
        <v>507</v>
      </c>
      <c r="P17" s="9" t="s">
        <v>70</v>
      </c>
      <c r="Q17" s="9" t="s">
        <v>71</v>
      </c>
      <c r="R17" s="9" t="s">
        <v>333</v>
      </c>
      <c r="S17" s="9">
        <v>27</v>
      </c>
      <c r="T17" s="9" t="s">
        <v>249</v>
      </c>
      <c r="U17" s="9" t="s">
        <v>73</v>
      </c>
      <c r="V17" s="9" t="s">
        <v>249</v>
      </c>
      <c r="W17" s="9" t="s">
        <v>249</v>
      </c>
      <c r="X17" s="9" t="s">
        <v>249</v>
      </c>
      <c r="Y17" s="9" t="s">
        <v>73</v>
      </c>
      <c r="Z17" s="9">
        <v>2017</v>
      </c>
      <c r="AA17" s="9" t="s">
        <v>766</v>
      </c>
      <c r="AB17" s="9" t="str">
        <f>IFERROR(IF(VLOOKUP(D17,Revistas!$A$21:$C$400,3,FALSE)=0,"",VLOOKUP(D17,Revistas!$A$21:$C$400,3,FALSE)),"")</f>
        <v>alto</v>
      </c>
      <c r="AC17" s="9" t="s">
        <v>74</v>
      </c>
      <c r="AD17" s="9" t="s">
        <v>767</v>
      </c>
      <c r="AE17" s="9" t="s">
        <v>639</v>
      </c>
    </row>
    <row r="18" spans="1:31" x14ac:dyDescent="0.3">
      <c r="A18" s="7" t="s">
        <v>140</v>
      </c>
      <c r="B18" s="7">
        <v>787</v>
      </c>
      <c r="C18" s="7" t="s">
        <v>141</v>
      </c>
      <c r="D18" s="7" t="s">
        <v>142</v>
      </c>
      <c r="E18" s="7" t="s">
        <v>143</v>
      </c>
      <c r="F18" s="7" t="s">
        <v>60</v>
      </c>
      <c r="G18" s="7" t="s">
        <v>144</v>
      </c>
      <c r="H18" s="8" t="s">
        <v>62</v>
      </c>
      <c r="I18" s="9" t="s">
        <v>768</v>
      </c>
      <c r="J18" s="9" t="s">
        <v>64</v>
      </c>
      <c r="K18" s="9" t="s">
        <v>249</v>
      </c>
      <c r="L18" s="9" t="s">
        <v>66</v>
      </c>
      <c r="M18" s="9" t="s">
        <v>175</v>
      </c>
      <c r="N18" s="9" t="s">
        <v>248</v>
      </c>
      <c r="O18" s="9" t="s">
        <v>69</v>
      </c>
      <c r="P18" s="9" t="s">
        <v>177</v>
      </c>
      <c r="Q18" s="9" t="s">
        <v>71</v>
      </c>
      <c r="R18" s="9" t="s">
        <v>72</v>
      </c>
      <c r="S18" s="9">
        <v>105</v>
      </c>
      <c r="T18" s="9" t="s">
        <v>249</v>
      </c>
      <c r="U18" s="9" t="s">
        <v>73</v>
      </c>
      <c r="V18" s="9" t="s">
        <v>249</v>
      </c>
      <c r="W18" s="9">
        <v>0</v>
      </c>
      <c r="X18" s="9">
        <v>0</v>
      </c>
      <c r="Y18" s="9" t="s">
        <v>73</v>
      </c>
      <c r="Z18" s="9">
        <v>2024</v>
      </c>
      <c r="AA18" s="9" t="s">
        <v>769</v>
      </c>
      <c r="AB18" s="9" t="s">
        <v>617</v>
      </c>
      <c r="AC18" s="9" t="s">
        <v>657</v>
      </c>
      <c r="AD18" s="9" t="s">
        <v>764</v>
      </c>
      <c r="AE18" s="9" t="s">
        <v>631</v>
      </c>
    </row>
    <row r="19" spans="1:31" x14ac:dyDescent="0.3">
      <c r="A19" s="7" t="s">
        <v>145</v>
      </c>
      <c r="B19" s="7">
        <v>1639</v>
      </c>
      <c r="C19" s="7" t="s">
        <v>146</v>
      </c>
      <c r="D19" s="7" t="s">
        <v>147</v>
      </c>
      <c r="E19" s="7" t="s">
        <v>106</v>
      </c>
      <c r="F19" s="7" t="s">
        <v>60</v>
      </c>
      <c r="G19" s="7" t="s">
        <v>148</v>
      </c>
      <c r="H19" s="8" t="s">
        <v>62</v>
      </c>
      <c r="I19" s="9" t="s">
        <v>770</v>
      </c>
      <c r="J19" s="9" t="s">
        <v>64</v>
      </c>
      <c r="K19" s="9" t="s">
        <v>249</v>
      </c>
      <c r="L19" s="9" t="s">
        <v>66</v>
      </c>
      <c r="M19" s="9" t="s">
        <v>66</v>
      </c>
      <c r="N19" s="9" t="s">
        <v>248</v>
      </c>
      <c r="O19" s="9" t="s">
        <v>342</v>
      </c>
      <c r="P19" s="9" t="s">
        <v>249</v>
      </c>
      <c r="Q19" s="9" t="s">
        <v>249</v>
      </c>
      <c r="R19" s="9" t="s">
        <v>737</v>
      </c>
      <c r="S19" s="9" t="s">
        <v>249</v>
      </c>
      <c r="T19" s="9" t="s">
        <v>249</v>
      </c>
      <c r="U19" s="9" t="s">
        <v>73</v>
      </c>
      <c r="V19" s="9" t="s">
        <v>249</v>
      </c>
      <c r="W19" s="9" t="s">
        <v>249</v>
      </c>
      <c r="X19" s="9" t="s">
        <v>249</v>
      </c>
      <c r="Y19" s="9" t="s">
        <v>73</v>
      </c>
      <c r="Z19" s="9">
        <v>2024</v>
      </c>
      <c r="AA19" s="9" t="s">
        <v>249</v>
      </c>
      <c r="AB19" s="9" t="s">
        <v>614</v>
      </c>
      <c r="AC19" s="9" t="s">
        <v>249</v>
      </c>
      <c r="AD19" s="9" t="s">
        <v>249</v>
      </c>
      <c r="AE19" s="9" t="s">
        <v>629</v>
      </c>
    </row>
    <row r="20" spans="1:31" x14ac:dyDescent="0.3">
      <c r="A20" s="7" t="s">
        <v>149</v>
      </c>
      <c r="B20" s="7">
        <v>2267</v>
      </c>
      <c r="C20" s="7" t="s">
        <v>150</v>
      </c>
      <c r="D20" s="7" t="s">
        <v>147</v>
      </c>
      <c r="E20" s="7" t="s">
        <v>143</v>
      </c>
      <c r="F20" s="7" t="s">
        <v>60</v>
      </c>
      <c r="G20" s="7" t="s">
        <v>151</v>
      </c>
      <c r="H20" s="8" t="s">
        <v>62</v>
      </c>
      <c r="I20" s="9" t="s">
        <v>772</v>
      </c>
      <c r="J20" s="9" t="s">
        <v>64</v>
      </c>
      <c r="K20" s="9" t="s">
        <v>249</v>
      </c>
      <c r="L20" s="9" t="s">
        <v>66</v>
      </c>
      <c r="M20" s="9" t="s">
        <v>66</v>
      </c>
      <c r="N20" s="9" t="s">
        <v>248</v>
      </c>
      <c r="O20" s="9" t="s">
        <v>249</v>
      </c>
      <c r="P20" s="9" t="s">
        <v>249</v>
      </c>
      <c r="Q20" s="9" t="s">
        <v>249</v>
      </c>
      <c r="R20" s="9" t="s">
        <v>737</v>
      </c>
      <c r="S20" s="9" t="s">
        <v>249</v>
      </c>
      <c r="T20" s="9" t="s">
        <v>249</v>
      </c>
      <c r="U20" s="9" t="s">
        <v>73</v>
      </c>
      <c r="V20" s="9" t="s">
        <v>249</v>
      </c>
      <c r="W20" s="9" t="s">
        <v>249</v>
      </c>
      <c r="X20" s="9" t="s">
        <v>249</v>
      </c>
      <c r="Y20" s="9" t="s">
        <v>73</v>
      </c>
      <c r="Z20" s="9">
        <v>2022</v>
      </c>
      <c r="AA20" s="9" t="s">
        <v>249</v>
      </c>
      <c r="AB20" s="9" t="s">
        <v>614</v>
      </c>
      <c r="AC20" s="9" t="s">
        <v>249</v>
      </c>
      <c r="AD20" s="9" t="s">
        <v>249</v>
      </c>
      <c r="AE20" s="9" t="s">
        <v>629</v>
      </c>
    </row>
    <row r="21" spans="1:31" x14ac:dyDescent="0.3">
      <c r="A21" s="7" t="s">
        <v>152</v>
      </c>
      <c r="B21" s="7">
        <v>2761</v>
      </c>
      <c r="C21" s="7" t="s">
        <v>153</v>
      </c>
      <c r="D21" s="7" t="s">
        <v>154</v>
      </c>
      <c r="E21" s="7" t="s">
        <v>155</v>
      </c>
      <c r="F21" s="7" t="s">
        <v>60</v>
      </c>
      <c r="G21" s="7" t="s">
        <v>156</v>
      </c>
      <c r="H21" s="8" t="s">
        <v>62</v>
      </c>
      <c r="I21" s="9" t="s">
        <v>249</v>
      </c>
      <c r="J21" s="9" t="s">
        <v>64</v>
      </c>
      <c r="K21" s="9" t="s">
        <v>249</v>
      </c>
      <c r="L21" s="9" t="s">
        <v>66</v>
      </c>
      <c r="M21" s="9" t="s">
        <v>66</v>
      </c>
      <c r="N21" s="9" t="s">
        <v>771</v>
      </c>
      <c r="O21" s="9" t="s">
        <v>249</v>
      </c>
      <c r="P21" s="9" t="s">
        <v>249</v>
      </c>
      <c r="Q21" s="9" t="s">
        <v>249</v>
      </c>
      <c r="R21" s="9" t="s">
        <v>737</v>
      </c>
      <c r="S21" s="9" t="s">
        <v>249</v>
      </c>
      <c r="T21" s="9" t="s">
        <v>249</v>
      </c>
      <c r="U21" s="9" t="s">
        <v>73</v>
      </c>
      <c r="V21" s="9" t="s">
        <v>249</v>
      </c>
      <c r="W21" s="9" t="s">
        <v>249</v>
      </c>
      <c r="X21" s="9" t="s">
        <v>249</v>
      </c>
      <c r="Y21" s="9" t="s">
        <v>73</v>
      </c>
      <c r="Z21" s="9" t="s">
        <v>792</v>
      </c>
      <c r="AA21" s="9" t="s">
        <v>249</v>
      </c>
      <c r="AB21" s="9" t="s">
        <v>249</v>
      </c>
      <c r="AC21" s="9" t="s">
        <v>249</v>
      </c>
      <c r="AD21" s="9" t="s">
        <v>249</v>
      </c>
      <c r="AE21" s="9" t="s">
        <v>629</v>
      </c>
    </row>
    <row r="22" spans="1:31" x14ac:dyDescent="0.3">
      <c r="A22" s="7" t="s">
        <v>157</v>
      </c>
      <c r="B22" s="7">
        <v>3017</v>
      </c>
      <c r="C22" s="7" t="s">
        <v>158</v>
      </c>
      <c r="D22" s="7" t="s">
        <v>159</v>
      </c>
      <c r="E22" s="7" t="s">
        <v>111</v>
      </c>
      <c r="F22" s="7" t="s">
        <v>60</v>
      </c>
      <c r="G22" s="7" t="s">
        <v>160</v>
      </c>
      <c r="H22" s="8" t="s">
        <v>62</v>
      </c>
      <c r="I22" s="9" t="s">
        <v>943</v>
      </c>
      <c r="J22" s="9" t="s">
        <v>64</v>
      </c>
      <c r="K22" s="9" t="s">
        <v>249</v>
      </c>
      <c r="L22" s="9" t="s">
        <v>66</v>
      </c>
      <c r="M22" s="9" t="s">
        <v>66</v>
      </c>
      <c r="N22" s="9" t="s">
        <v>771</v>
      </c>
      <c r="O22" s="9" t="s">
        <v>249</v>
      </c>
      <c r="P22" s="9" t="s">
        <v>249</v>
      </c>
      <c r="Q22" s="9" t="s">
        <v>249</v>
      </c>
      <c r="R22" s="9" t="s">
        <v>737</v>
      </c>
      <c r="S22" s="9" t="s">
        <v>249</v>
      </c>
      <c r="T22" s="9" t="s">
        <v>249</v>
      </c>
      <c r="U22" s="9" t="s">
        <v>73</v>
      </c>
      <c r="V22" s="9" t="s">
        <v>249</v>
      </c>
      <c r="W22" s="9" t="s">
        <v>249</v>
      </c>
      <c r="X22" s="9" t="s">
        <v>249</v>
      </c>
      <c r="Y22" s="9" t="s">
        <v>73</v>
      </c>
      <c r="Z22" s="9">
        <v>2021</v>
      </c>
      <c r="AA22" s="9" t="s">
        <v>249</v>
      </c>
      <c r="AB22" s="9" t="s">
        <v>249</v>
      </c>
      <c r="AC22" s="9" t="s">
        <v>249</v>
      </c>
      <c r="AD22" s="9" t="s">
        <v>249</v>
      </c>
      <c r="AE22" s="9" t="s">
        <v>629</v>
      </c>
    </row>
    <row r="23" spans="1:31" x14ac:dyDescent="0.3">
      <c r="A23" s="7" t="s">
        <v>161</v>
      </c>
      <c r="B23" s="7">
        <v>4064</v>
      </c>
      <c r="C23" s="7" t="s">
        <v>162</v>
      </c>
      <c r="D23" s="7" t="s">
        <v>163</v>
      </c>
      <c r="E23" s="7" t="s">
        <v>164</v>
      </c>
      <c r="F23" s="7" t="s">
        <v>128</v>
      </c>
      <c r="G23" s="7" t="s">
        <v>165</v>
      </c>
      <c r="H23" s="8" t="s">
        <v>62</v>
      </c>
      <c r="I23" s="9" t="s">
        <v>249</v>
      </c>
      <c r="J23" s="9" t="s">
        <v>64</v>
      </c>
      <c r="K23" s="9" t="s">
        <v>249</v>
      </c>
      <c r="L23" s="9" t="s">
        <v>66</v>
      </c>
      <c r="M23" s="9" t="s">
        <v>66</v>
      </c>
      <c r="N23" s="9" t="s">
        <v>771</v>
      </c>
      <c r="O23" s="9" t="s">
        <v>249</v>
      </c>
      <c r="P23" s="9" t="s">
        <v>249</v>
      </c>
      <c r="Q23" s="9" t="s">
        <v>249</v>
      </c>
      <c r="R23" s="9" t="s">
        <v>737</v>
      </c>
      <c r="S23" s="9" t="s">
        <v>249</v>
      </c>
      <c r="T23" s="9" t="s">
        <v>249</v>
      </c>
      <c r="U23" s="9" t="s">
        <v>73</v>
      </c>
      <c r="V23" s="9" t="s">
        <v>249</v>
      </c>
      <c r="W23" s="9" t="s">
        <v>249</v>
      </c>
      <c r="X23" s="9" t="s">
        <v>249</v>
      </c>
      <c r="Y23" s="9" t="s">
        <v>73</v>
      </c>
      <c r="Z23" s="9" t="s">
        <v>792</v>
      </c>
      <c r="AA23" s="9" t="s">
        <v>249</v>
      </c>
      <c r="AB23" s="9" t="s">
        <v>249</v>
      </c>
      <c r="AC23" s="9" t="s">
        <v>249</v>
      </c>
      <c r="AD23" s="9" t="s">
        <v>249</v>
      </c>
      <c r="AE23" s="9" t="s">
        <v>629</v>
      </c>
    </row>
    <row r="24" spans="1:31" x14ac:dyDescent="0.3">
      <c r="A24" s="7" t="s">
        <v>166</v>
      </c>
      <c r="B24" s="7">
        <v>11138</v>
      </c>
      <c r="C24" s="7" t="s">
        <v>167</v>
      </c>
      <c r="D24" s="7" t="s">
        <v>132</v>
      </c>
      <c r="E24" s="7" t="s">
        <v>89</v>
      </c>
      <c r="F24" s="7" t="s">
        <v>60</v>
      </c>
      <c r="G24" s="7" t="s">
        <v>168</v>
      </c>
      <c r="H24" s="8" t="s">
        <v>62</v>
      </c>
      <c r="I24" s="9" t="s">
        <v>249</v>
      </c>
      <c r="J24" s="9" t="s">
        <v>64</v>
      </c>
      <c r="K24" s="9" t="s">
        <v>249</v>
      </c>
      <c r="L24" s="9" t="s">
        <v>66</v>
      </c>
      <c r="M24" s="9" t="s">
        <v>66</v>
      </c>
      <c r="N24" s="9" t="s">
        <v>771</v>
      </c>
      <c r="O24" s="9" t="s">
        <v>249</v>
      </c>
      <c r="P24" s="9" t="s">
        <v>249</v>
      </c>
      <c r="Q24" s="9" t="s">
        <v>249</v>
      </c>
      <c r="R24" s="9" t="s">
        <v>737</v>
      </c>
      <c r="S24" s="9" t="s">
        <v>249</v>
      </c>
      <c r="T24" s="9" t="s">
        <v>249</v>
      </c>
      <c r="U24" s="9" t="s">
        <v>73</v>
      </c>
      <c r="V24" s="9" t="s">
        <v>249</v>
      </c>
      <c r="W24" s="9" t="s">
        <v>249</v>
      </c>
      <c r="X24" s="9" t="s">
        <v>249</v>
      </c>
      <c r="Y24" s="9" t="s">
        <v>73</v>
      </c>
      <c r="Z24" s="9" t="s">
        <v>792</v>
      </c>
      <c r="AA24" s="9" t="s">
        <v>249</v>
      </c>
      <c r="AB24" s="9" t="s">
        <v>249</v>
      </c>
      <c r="AC24" s="9" t="s">
        <v>249</v>
      </c>
      <c r="AD24" s="9" t="s">
        <v>249</v>
      </c>
      <c r="AE24" s="9" t="s">
        <v>629</v>
      </c>
    </row>
    <row r="25" spans="1:31" x14ac:dyDescent="0.3">
      <c r="A25" s="7" t="s">
        <v>169</v>
      </c>
      <c r="B25" s="7">
        <v>4</v>
      </c>
      <c r="C25" s="7" t="s">
        <v>170</v>
      </c>
      <c r="D25" s="7" t="s">
        <v>171</v>
      </c>
      <c r="E25" s="7" t="s">
        <v>59</v>
      </c>
      <c r="F25" s="7" t="s">
        <v>60</v>
      </c>
      <c r="G25" s="7" t="s">
        <v>172</v>
      </c>
      <c r="H25" s="8" t="s">
        <v>62</v>
      </c>
      <c r="I25" s="9" t="s">
        <v>173</v>
      </c>
      <c r="J25" s="9" t="s">
        <v>64</v>
      </c>
      <c r="K25" s="9" t="s">
        <v>65</v>
      </c>
      <c r="L25" s="9" t="s">
        <v>174</v>
      </c>
      <c r="M25" s="9" t="s">
        <v>175</v>
      </c>
      <c r="N25" s="9" t="s">
        <v>176</v>
      </c>
      <c r="O25" s="9" t="s">
        <v>69</v>
      </c>
      <c r="P25" s="9" t="s">
        <v>177</v>
      </c>
      <c r="Q25" s="9" t="s">
        <v>178</v>
      </c>
      <c r="R25" s="9" t="s">
        <v>72</v>
      </c>
      <c r="S25" s="9">
        <v>7</v>
      </c>
      <c r="T25" s="9">
        <v>7</v>
      </c>
      <c r="U25" s="9">
        <v>0</v>
      </c>
      <c r="V25" s="9">
        <v>7</v>
      </c>
      <c r="W25" s="9">
        <v>0</v>
      </c>
      <c r="X25" s="9" t="s">
        <v>73</v>
      </c>
      <c r="Y25" s="9" t="s">
        <v>73</v>
      </c>
      <c r="Z25" s="9">
        <v>2025</v>
      </c>
      <c r="AA25" s="9" t="s">
        <v>773</v>
      </c>
      <c r="AB25" s="9" t="str">
        <f>IFERROR(IF(VLOOKUP(D25,Revistas!$A$21:$C$400,3,FALSE)=0,"",VLOOKUP(D25,Revistas!$A$21:$C$400,3,FALSE)),"")</f>
        <v>alto</v>
      </c>
      <c r="AC25" s="9" t="s">
        <v>74</v>
      </c>
      <c r="AD25" s="9" t="s">
        <v>179</v>
      </c>
      <c r="AE25" s="9" t="s">
        <v>73</v>
      </c>
    </row>
    <row r="26" spans="1:31" x14ac:dyDescent="0.3">
      <c r="A26" s="7" t="s">
        <v>169</v>
      </c>
      <c r="B26" s="7">
        <v>4</v>
      </c>
      <c r="C26" s="7" t="s">
        <v>170</v>
      </c>
      <c r="D26" s="7" t="s">
        <v>171</v>
      </c>
      <c r="E26" s="7" t="s">
        <v>59</v>
      </c>
      <c r="F26" s="7" t="s">
        <v>60</v>
      </c>
      <c r="G26" s="7" t="s">
        <v>172</v>
      </c>
      <c r="H26" s="8" t="s">
        <v>62</v>
      </c>
      <c r="I26" s="9" t="s">
        <v>173</v>
      </c>
      <c r="J26" s="9" t="s">
        <v>180</v>
      </c>
      <c r="K26" s="9" t="s">
        <v>65</v>
      </c>
      <c r="L26" s="9" t="s">
        <v>181</v>
      </c>
      <c r="M26" s="9" t="s">
        <v>175</v>
      </c>
      <c r="N26" s="9" t="s">
        <v>176</v>
      </c>
      <c r="O26" s="9" t="s">
        <v>69</v>
      </c>
      <c r="P26" s="9" t="s">
        <v>177</v>
      </c>
      <c r="Q26" s="9" t="s">
        <v>178</v>
      </c>
      <c r="R26" s="9" t="s">
        <v>72</v>
      </c>
      <c r="S26" s="9">
        <v>2</v>
      </c>
      <c r="T26" s="9">
        <v>2</v>
      </c>
      <c r="U26" s="9">
        <v>0</v>
      </c>
      <c r="V26" s="9">
        <v>2</v>
      </c>
      <c r="W26" s="9">
        <v>0</v>
      </c>
      <c r="X26" s="9" t="s">
        <v>73</v>
      </c>
      <c r="Y26" s="9" t="s">
        <v>73</v>
      </c>
      <c r="Z26" s="9">
        <v>2025</v>
      </c>
      <c r="AA26" s="9" t="s">
        <v>773</v>
      </c>
      <c r="AB26" s="9" t="str">
        <f>IFERROR(IF(VLOOKUP(D26,Revistas!$A$21:$C$400,3,FALSE)=0,"",VLOOKUP(D26,Revistas!$A$21:$C$400,3,FALSE)),"")</f>
        <v>alto</v>
      </c>
      <c r="AC26" s="9" t="s">
        <v>74</v>
      </c>
      <c r="AD26" s="9" t="s">
        <v>179</v>
      </c>
      <c r="AE26" s="9" t="s">
        <v>73</v>
      </c>
    </row>
    <row r="27" spans="1:31" x14ac:dyDescent="0.3">
      <c r="A27" s="7" t="s">
        <v>182</v>
      </c>
      <c r="B27" s="7">
        <v>47</v>
      </c>
      <c r="C27" s="7" t="s">
        <v>183</v>
      </c>
      <c r="D27" s="7" t="s">
        <v>184</v>
      </c>
      <c r="E27" s="7" t="s">
        <v>89</v>
      </c>
      <c r="F27" s="7" t="s">
        <v>60</v>
      </c>
      <c r="G27" s="7" t="s">
        <v>185</v>
      </c>
      <c r="H27" s="8" t="s">
        <v>62</v>
      </c>
      <c r="I27" s="9" t="s">
        <v>774</v>
      </c>
      <c r="J27" s="9" t="s">
        <v>64</v>
      </c>
      <c r="K27" s="9" t="s">
        <v>65</v>
      </c>
      <c r="L27" s="9" t="s">
        <v>181</v>
      </c>
      <c r="M27" s="9" t="s">
        <v>175</v>
      </c>
      <c r="N27" s="9" t="s">
        <v>775</v>
      </c>
      <c r="O27" s="9" t="s">
        <v>69</v>
      </c>
      <c r="P27" s="9" t="s">
        <v>177</v>
      </c>
      <c r="Q27" s="9" t="s">
        <v>332</v>
      </c>
      <c r="R27" s="9" t="s">
        <v>72</v>
      </c>
      <c r="S27" s="9">
        <v>2</v>
      </c>
      <c r="T27" s="9">
        <v>2</v>
      </c>
      <c r="U27" s="9">
        <v>1</v>
      </c>
      <c r="V27" s="9">
        <v>0</v>
      </c>
      <c r="W27" s="9">
        <v>1</v>
      </c>
      <c r="X27" s="9">
        <v>7</v>
      </c>
      <c r="Y27" s="9" t="s">
        <v>73</v>
      </c>
      <c r="Z27" s="9">
        <v>2023</v>
      </c>
      <c r="AA27" s="9" t="s">
        <v>776</v>
      </c>
      <c r="AB27" s="9" t="str">
        <f>IFERROR(IF(VLOOKUP(D27,Revistas!$A$21:$C$400,3,FALSE)=0,"",VLOOKUP(D27,Revistas!$A$21:$C$400,3,FALSE)),"")</f>
        <v>medio</v>
      </c>
      <c r="AC27" s="9" t="s">
        <v>74</v>
      </c>
      <c r="AD27" s="9" t="s">
        <v>767</v>
      </c>
      <c r="AE27" s="9" t="s">
        <v>249</v>
      </c>
    </row>
    <row r="28" spans="1:31" x14ac:dyDescent="0.3">
      <c r="A28" s="7" t="s">
        <v>186</v>
      </c>
      <c r="B28" s="7">
        <v>97</v>
      </c>
      <c r="C28" s="7" t="s">
        <v>187</v>
      </c>
      <c r="D28" s="7" t="s">
        <v>188</v>
      </c>
      <c r="E28" s="7" t="s">
        <v>89</v>
      </c>
      <c r="F28" s="7" t="s">
        <v>60</v>
      </c>
      <c r="G28" s="7" t="s">
        <v>189</v>
      </c>
      <c r="H28" s="8" t="s">
        <v>62</v>
      </c>
      <c r="I28" s="9" t="s">
        <v>777</v>
      </c>
      <c r="J28" s="9" t="s">
        <v>64</v>
      </c>
      <c r="K28" s="9" t="s">
        <v>733</v>
      </c>
      <c r="L28" s="9" t="s">
        <v>174</v>
      </c>
      <c r="M28" s="9" t="s">
        <v>175</v>
      </c>
      <c r="N28" s="9" t="s">
        <v>176</v>
      </c>
      <c r="O28" s="9" t="s">
        <v>69</v>
      </c>
      <c r="P28" s="9" t="s">
        <v>70</v>
      </c>
      <c r="Q28" s="9" t="s">
        <v>250</v>
      </c>
      <c r="R28" s="9" t="s">
        <v>72</v>
      </c>
      <c r="S28" s="9">
        <v>3</v>
      </c>
      <c r="T28" s="9">
        <v>3</v>
      </c>
      <c r="U28" s="9">
        <v>0</v>
      </c>
      <c r="V28" s="9">
        <v>3</v>
      </c>
      <c r="W28" s="9">
        <v>0</v>
      </c>
      <c r="X28" s="9">
        <v>28</v>
      </c>
      <c r="Y28" s="9">
        <v>0</v>
      </c>
      <c r="Z28" s="9">
        <v>2023</v>
      </c>
      <c r="AA28" s="9" t="s">
        <v>778</v>
      </c>
      <c r="AB28" s="9" t="str">
        <f>IFERROR(IF(VLOOKUP(D28,Revistas!$A$21:$C$400,3,FALSE)=0,"",VLOOKUP(D28,Revistas!$A$21:$C$400,3,FALSE)),"")</f>
        <v>medio</v>
      </c>
      <c r="AC28" s="9" t="s">
        <v>651</v>
      </c>
      <c r="AD28" s="9" t="s">
        <v>767</v>
      </c>
      <c r="AE28" s="9" t="s">
        <v>249</v>
      </c>
    </row>
    <row r="29" spans="1:31" x14ac:dyDescent="0.3">
      <c r="A29" s="7" t="s">
        <v>190</v>
      </c>
      <c r="B29" s="7">
        <v>110</v>
      </c>
      <c r="C29" s="7" t="s">
        <v>191</v>
      </c>
      <c r="D29" s="7" t="s">
        <v>192</v>
      </c>
      <c r="E29" s="7" t="s">
        <v>59</v>
      </c>
      <c r="F29" s="7" t="s">
        <v>60</v>
      </c>
      <c r="G29" s="7" t="s">
        <v>193</v>
      </c>
      <c r="H29" s="8" t="s">
        <v>62</v>
      </c>
      <c r="I29" s="9" t="s">
        <v>779</v>
      </c>
      <c r="J29" s="9" t="s">
        <v>64</v>
      </c>
      <c r="K29" s="9" t="s">
        <v>65</v>
      </c>
      <c r="L29" s="9" t="s">
        <v>181</v>
      </c>
      <c r="M29" s="9" t="s">
        <v>175</v>
      </c>
      <c r="N29" s="9" t="s">
        <v>176</v>
      </c>
      <c r="O29" s="9" t="s">
        <v>342</v>
      </c>
      <c r="P29" s="9" t="s">
        <v>177</v>
      </c>
      <c r="Q29" s="9" t="s">
        <v>332</v>
      </c>
      <c r="R29" s="9" t="s">
        <v>72</v>
      </c>
      <c r="S29" s="9">
        <v>2</v>
      </c>
      <c r="T29" s="9">
        <v>2</v>
      </c>
      <c r="U29" s="9">
        <v>0</v>
      </c>
      <c r="V29" s="9">
        <v>1</v>
      </c>
      <c r="W29" s="9">
        <v>0</v>
      </c>
      <c r="X29" s="9" t="s">
        <v>249</v>
      </c>
      <c r="Y29" s="9" t="s">
        <v>249</v>
      </c>
      <c r="Z29" s="9">
        <v>2025</v>
      </c>
      <c r="AA29" s="9" t="s">
        <v>780</v>
      </c>
      <c r="AB29" s="9" t="str">
        <f>IFERROR(IF(VLOOKUP(D29,Revistas!$A$21:$C$400,3,FALSE)=0,"",VLOOKUP(D29,Revistas!$A$21:$C$400,3,FALSE)),"")</f>
        <v>medio</v>
      </c>
      <c r="AC29" s="9" t="s">
        <v>372</v>
      </c>
      <c r="AD29" s="9" t="s">
        <v>767</v>
      </c>
      <c r="AE29" s="9" t="s">
        <v>249</v>
      </c>
    </row>
    <row r="30" spans="1:31" x14ac:dyDescent="0.3">
      <c r="A30" s="7" t="s">
        <v>194</v>
      </c>
      <c r="B30" s="7">
        <v>138</v>
      </c>
      <c r="C30" s="7" t="s">
        <v>195</v>
      </c>
      <c r="D30" s="7" t="s">
        <v>196</v>
      </c>
      <c r="E30" s="7" t="s">
        <v>59</v>
      </c>
      <c r="F30" s="7" t="s">
        <v>60</v>
      </c>
      <c r="G30" s="7" t="s">
        <v>197</v>
      </c>
      <c r="H30" s="8" t="s">
        <v>62</v>
      </c>
      <c r="I30" s="9" t="s">
        <v>781</v>
      </c>
      <c r="J30" s="9" t="s">
        <v>64</v>
      </c>
      <c r="K30" s="9" t="s">
        <v>249</v>
      </c>
      <c r="L30" s="9" t="s">
        <v>174</v>
      </c>
      <c r="M30" s="9" t="s">
        <v>175</v>
      </c>
      <c r="N30" s="9" t="s">
        <v>248</v>
      </c>
      <c r="O30" s="9" t="s">
        <v>782</v>
      </c>
      <c r="P30" s="9" t="s">
        <v>70</v>
      </c>
      <c r="Q30" s="9" t="s">
        <v>178</v>
      </c>
      <c r="R30" s="9" t="s">
        <v>737</v>
      </c>
      <c r="S30" s="9">
        <v>45</v>
      </c>
      <c r="T30" s="9" t="s">
        <v>249</v>
      </c>
      <c r="U30" s="9">
        <v>0</v>
      </c>
      <c r="V30" s="9" t="s">
        <v>249</v>
      </c>
      <c r="W30" s="9">
        <v>0</v>
      </c>
      <c r="X30" s="9">
        <v>0</v>
      </c>
      <c r="Y30" s="9">
        <v>0</v>
      </c>
      <c r="Z30" s="9">
        <v>2025</v>
      </c>
      <c r="AA30" s="9" t="s">
        <v>783</v>
      </c>
      <c r="AB30" s="9" t="s">
        <v>614</v>
      </c>
      <c r="AC30" s="9" t="s">
        <v>651</v>
      </c>
      <c r="AD30" s="9" t="s">
        <v>767</v>
      </c>
      <c r="AE30" s="9" t="s">
        <v>634</v>
      </c>
    </row>
    <row r="31" spans="1:31" x14ac:dyDescent="0.3">
      <c r="A31" s="7" t="s">
        <v>198</v>
      </c>
      <c r="B31" s="7">
        <v>259</v>
      </c>
      <c r="C31" s="7" t="s">
        <v>199</v>
      </c>
      <c r="D31" s="7" t="s">
        <v>200</v>
      </c>
      <c r="E31" s="7" t="s">
        <v>164</v>
      </c>
      <c r="F31" s="7" t="s">
        <v>60</v>
      </c>
      <c r="G31" s="7" t="s">
        <v>201</v>
      </c>
      <c r="H31" s="8" t="s">
        <v>62</v>
      </c>
      <c r="I31" s="9" t="s">
        <v>784</v>
      </c>
      <c r="J31" s="9" t="s">
        <v>64</v>
      </c>
      <c r="K31" s="9" t="s">
        <v>733</v>
      </c>
      <c r="L31" s="9" t="s">
        <v>174</v>
      </c>
      <c r="M31" s="9" t="s">
        <v>175</v>
      </c>
      <c r="N31" s="9" t="s">
        <v>248</v>
      </c>
      <c r="O31" s="9" t="s">
        <v>342</v>
      </c>
      <c r="P31" s="9" t="s">
        <v>177</v>
      </c>
      <c r="Q31" s="9" t="s">
        <v>250</v>
      </c>
      <c r="R31" s="9" t="s">
        <v>737</v>
      </c>
      <c r="S31" s="9">
        <v>8</v>
      </c>
      <c r="T31" s="9">
        <v>7</v>
      </c>
      <c r="U31" s="9">
        <v>0</v>
      </c>
      <c r="V31" s="9">
        <v>7</v>
      </c>
      <c r="W31" s="9">
        <v>3</v>
      </c>
      <c r="X31" s="9" t="s">
        <v>249</v>
      </c>
      <c r="Y31" s="9">
        <v>0</v>
      </c>
      <c r="Z31" s="9">
        <v>2020</v>
      </c>
      <c r="AA31" s="9" t="s">
        <v>785</v>
      </c>
      <c r="AB31" s="9" t="s">
        <v>617</v>
      </c>
      <c r="AC31" s="9" t="s">
        <v>627</v>
      </c>
      <c r="AD31" s="9" t="s">
        <v>767</v>
      </c>
      <c r="AE31" s="9" t="s">
        <v>637</v>
      </c>
    </row>
    <row r="32" spans="1:31" x14ac:dyDescent="0.3">
      <c r="A32" s="7" t="s">
        <v>202</v>
      </c>
      <c r="B32" s="7">
        <v>264</v>
      </c>
      <c r="C32" s="7" t="s">
        <v>786</v>
      </c>
      <c r="D32" s="7" t="s">
        <v>203</v>
      </c>
      <c r="E32" s="7" t="s">
        <v>111</v>
      </c>
      <c r="F32" s="7" t="s">
        <v>60</v>
      </c>
      <c r="G32" s="7" t="s">
        <v>204</v>
      </c>
      <c r="H32" s="8" t="s">
        <v>62</v>
      </c>
      <c r="I32" s="9" t="s">
        <v>787</v>
      </c>
      <c r="J32" s="9" t="s">
        <v>64</v>
      </c>
      <c r="K32" s="9" t="s">
        <v>249</v>
      </c>
      <c r="L32" s="9" t="s">
        <v>174</v>
      </c>
      <c r="M32" s="9" t="s">
        <v>175</v>
      </c>
      <c r="N32" s="9" t="s">
        <v>248</v>
      </c>
      <c r="O32" s="9" t="s">
        <v>249</v>
      </c>
      <c r="P32" s="9" t="s">
        <v>177</v>
      </c>
      <c r="Q32" s="9" t="s">
        <v>71</v>
      </c>
      <c r="R32" s="9" t="s">
        <v>737</v>
      </c>
      <c r="S32" s="9">
        <v>19</v>
      </c>
      <c r="T32" s="9">
        <v>19</v>
      </c>
      <c r="U32" s="9" t="s">
        <v>249</v>
      </c>
      <c r="V32" s="9">
        <v>19</v>
      </c>
      <c r="W32" s="9" t="s">
        <v>249</v>
      </c>
      <c r="X32" s="9" t="s">
        <v>249</v>
      </c>
      <c r="Y32" s="9" t="s">
        <v>249</v>
      </c>
      <c r="Z32" s="9">
        <v>2021</v>
      </c>
      <c r="AA32" s="9" t="s">
        <v>788</v>
      </c>
      <c r="AB32" s="9" t="s">
        <v>614</v>
      </c>
      <c r="AC32" s="9" t="s">
        <v>651</v>
      </c>
      <c r="AD32" s="9" t="s">
        <v>789</v>
      </c>
      <c r="AE32" s="9" t="s">
        <v>637</v>
      </c>
    </row>
    <row r="33" spans="1:31" x14ac:dyDescent="0.3">
      <c r="A33" s="7" t="s">
        <v>205</v>
      </c>
      <c r="B33" s="7">
        <v>278</v>
      </c>
      <c r="C33" s="7" t="s">
        <v>206</v>
      </c>
      <c r="D33" s="7" t="s">
        <v>207</v>
      </c>
      <c r="E33" s="7" t="s">
        <v>143</v>
      </c>
      <c r="F33" s="7" t="s">
        <v>60</v>
      </c>
      <c r="G33" s="7" t="s">
        <v>208</v>
      </c>
      <c r="H33" s="8" t="s">
        <v>62</v>
      </c>
      <c r="I33" s="9" t="s">
        <v>790</v>
      </c>
      <c r="J33" s="9" t="s">
        <v>64</v>
      </c>
      <c r="K33" s="9" t="s">
        <v>65</v>
      </c>
      <c r="L33" s="9" t="s">
        <v>174</v>
      </c>
      <c r="M33" s="9" t="s">
        <v>175</v>
      </c>
      <c r="N33" s="9" t="s">
        <v>248</v>
      </c>
      <c r="O33" s="9" t="s">
        <v>255</v>
      </c>
      <c r="P33" s="9" t="s">
        <v>177</v>
      </c>
      <c r="Q33" s="9" t="s">
        <v>791</v>
      </c>
      <c r="R33" s="9" t="s">
        <v>72</v>
      </c>
      <c r="S33" s="9">
        <v>4</v>
      </c>
      <c r="T33" s="9">
        <v>0</v>
      </c>
      <c r="U33" s="9">
        <v>3</v>
      </c>
      <c r="V33" s="9">
        <v>0</v>
      </c>
      <c r="W33" s="9">
        <v>2</v>
      </c>
      <c r="X33" s="9" t="s">
        <v>249</v>
      </c>
      <c r="Y33" s="9" t="s">
        <v>73</v>
      </c>
      <c r="Z33" s="9">
        <v>2024</v>
      </c>
      <c r="AA33" s="9" t="s">
        <v>793</v>
      </c>
      <c r="AB33" s="9" t="str">
        <f>IFERROR(IF(VLOOKUP(D33,Revistas!$A$21:$C$400,3,FALSE)=0,"",VLOOKUP(D33,Revistas!$A$21:$C$400,3,FALSE)),"")</f>
        <v>medio</v>
      </c>
      <c r="AC33" s="9" t="s">
        <v>656</v>
      </c>
      <c r="AD33" s="9" t="s">
        <v>746</v>
      </c>
      <c r="AE33" s="9" t="s">
        <v>249</v>
      </c>
    </row>
    <row r="34" spans="1:31" x14ac:dyDescent="0.3">
      <c r="A34" s="7" t="s">
        <v>209</v>
      </c>
      <c r="B34" s="7">
        <v>321</v>
      </c>
      <c r="C34" s="7" t="s">
        <v>210</v>
      </c>
      <c r="D34" s="7" t="s">
        <v>211</v>
      </c>
      <c r="E34" s="7" t="s">
        <v>164</v>
      </c>
      <c r="F34" s="7" t="s">
        <v>60</v>
      </c>
      <c r="G34" s="7" t="s">
        <v>212</v>
      </c>
      <c r="H34" s="8" t="s">
        <v>62</v>
      </c>
      <c r="I34" s="9" t="s">
        <v>794</v>
      </c>
      <c r="J34" s="9" t="s">
        <v>64</v>
      </c>
      <c r="K34" s="9" t="s">
        <v>65</v>
      </c>
      <c r="L34" s="9" t="s">
        <v>174</v>
      </c>
      <c r="M34" s="9" t="s">
        <v>175</v>
      </c>
      <c r="N34" s="9" t="s">
        <v>248</v>
      </c>
      <c r="O34" s="9" t="s">
        <v>782</v>
      </c>
      <c r="P34" s="9" t="s">
        <v>70</v>
      </c>
      <c r="Q34" s="9" t="s">
        <v>791</v>
      </c>
      <c r="R34" s="9" t="s">
        <v>72</v>
      </c>
      <c r="S34" s="9">
        <v>1</v>
      </c>
      <c r="T34" s="9">
        <v>1</v>
      </c>
      <c r="U34" s="9">
        <v>0</v>
      </c>
      <c r="V34" s="9" t="s">
        <v>249</v>
      </c>
      <c r="W34" s="9">
        <v>0</v>
      </c>
      <c r="X34" s="9" t="s">
        <v>249</v>
      </c>
      <c r="Y34" s="9">
        <v>0</v>
      </c>
      <c r="Z34" s="9">
        <v>2020</v>
      </c>
      <c r="AA34" s="9" t="s">
        <v>795</v>
      </c>
      <c r="AB34" s="9" t="s">
        <v>617</v>
      </c>
      <c r="AC34" s="9" t="s">
        <v>74</v>
      </c>
      <c r="AD34" s="9" t="s">
        <v>796</v>
      </c>
      <c r="AE34" s="9" t="s">
        <v>634</v>
      </c>
    </row>
    <row r="35" spans="1:31" x14ac:dyDescent="0.3">
      <c r="A35" s="7" t="s">
        <v>213</v>
      </c>
      <c r="B35" s="7">
        <v>387</v>
      </c>
      <c r="C35" s="7" t="s">
        <v>214</v>
      </c>
      <c r="D35" s="7" t="s">
        <v>215</v>
      </c>
      <c r="E35" s="7" t="s">
        <v>59</v>
      </c>
      <c r="F35" s="7" t="s">
        <v>60</v>
      </c>
      <c r="G35" s="7" t="s">
        <v>216</v>
      </c>
      <c r="H35" s="8" t="s">
        <v>62</v>
      </c>
      <c r="I35" s="9" t="s">
        <v>797</v>
      </c>
      <c r="J35" s="9" t="s">
        <v>64</v>
      </c>
      <c r="K35" s="9" t="s">
        <v>733</v>
      </c>
      <c r="L35" s="9" t="s">
        <v>66</v>
      </c>
      <c r="M35" s="9" t="s">
        <v>175</v>
      </c>
      <c r="N35" s="9" t="s">
        <v>248</v>
      </c>
      <c r="O35" s="9" t="s">
        <v>342</v>
      </c>
      <c r="P35" s="9" t="s">
        <v>70</v>
      </c>
      <c r="Q35" s="9" t="s">
        <v>342</v>
      </c>
      <c r="R35" s="9" t="s">
        <v>72</v>
      </c>
      <c r="S35" s="9">
        <v>10</v>
      </c>
      <c r="T35" s="9">
        <v>4</v>
      </c>
      <c r="U35" s="9">
        <v>0</v>
      </c>
      <c r="V35" s="9" t="s">
        <v>249</v>
      </c>
      <c r="W35" s="9">
        <v>0</v>
      </c>
      <c r="X35" s="9">
        <v>29</v>
      </c>
      <c r="Y35" s="9">
        <v>0</v>
      </c>
      <c r="Z35" s="9">
        <v>2026</v>
      </c>
      <c r="AA35" s="9" t="s">
        <v>799</v>
      </c>
      <c r="AB35" s="9" t="s">
        <v>617</v>
      </c>
      <c r="AC35" s="9" t="s">
        <v>649</v>
      </c>
      <c r="AD35" s="9" t="s">
        <v>798</v>
      </c>
      <c r="AE35" s="9" t="s">
        <v>631</v>
      </c>
    </row>
    <row r="36" spans="1:31" x14ac:dyDescent="0.3">
      <c r="A36" s="7" t="s">
        <v>217</v>
      </c>
      <c r="B36" s="7">
        <v>606</v>
      </c>
      <c r="C36" s="7" t="s">
        <v>218</v>
      </c>
      <c r="D36" s="7" t="s">
        <v>219</v>
      </c>
      <c r="E36" s="7" t="s">
        <v>143</v>
      </c>
      <c r="F36" s="7" t="s">
        <v>60</v>
      </c>
      <c r="G36" s="7" t="s">
        <v>220</v>
      </c>
      <c r="H36" s="8" t="s">
        <v>62</v>
      </c>
      <c r="I36" s="9" t="s">
        <v>800</v>
      </c>
      <c r="J36" s="9" t="s">
        <v>64</v>
      </c>
      <c r="K36" s="9" t="s">
        <v>733</v>
      </c>
      <c r="L36" s="9" t="s">
        <v>254</v>
      </c>
      <c r="M36" s="9" t="s">
        <v>175</v>
      </c>
      <c r="N36" s="9" t="s">
        <v>248</v>
      </c>
      <c r="O36" s="9" t="s">
        <v>342</v>
      </c>
      <c r="P36" s="9" t="s">
        <v>177</v>
      </c>
      <c r="Q36" s="9" t="s">
        <v>791</v>
      </c>
      <c r="R36" s="9" t="s">
        <v>72</v>
      </c>
      <c r="S36" s="9">
        <v>20</v>
      </c>
      <c r="T36" s="9" t="s">
        <v>249</v>
      </c>
      <c r="U36" s="9" t="s">
        <v>73</v>
      </c>
      <c r="V36" s="9" t="s">
        <v>249</v>
      </c>
      <c r="W36" s="9" t="s">
        <v>249</v>
      </c>
      <c r="X36" s="9" t="s">
        <v>249</v>
      </c>
      <c r="Y36" s="9">
        <v>0</v>
      </c>
      <c r="Z36" s="9">
        <v>2024</v>
      </c>
      <c r="AA36" s="9" t="s">
        <v>801</v>
      </c>
      <c r="AB36" s="9" t="str">
        <f>IFERROR(IF(VLOOKUP(D36,Revistas!$A$21:$C$400,3,FALSE)=0,"",VLOOKUP(D36,Revistas!$A$21:$C$400,3,FALSE)),"")</f>
        <v>alto</v>
      </c>
      <c r="AC36" s="9" t="s">
        <v>655</v>
      </c>
      <c r="AD36" s="9" t="s">
        <v>802</v>
      </c>
      <c r="AE36" s="9" t="s">
        <v>634</v>
      </c>
    </row>
    <row r="37" spans="1:31" x14ac:dyDescent="0.3">
      <c r="A37" s="7" t="s">
        <v>217</v>
      </c>
      <c r="B37" s="7">
        <v>606</v>
      </c>
      <c r="C37" s="7" t="s">
        <v>218</v>
      </c>
      <c r="D37" s="7" t="s">
        <v>219</v>
      </c>
      <c r="E37" s="7" t="s">
        <v>143</v>
      </c>
      <c r="F37" s="7" t="s">
        <v>60</v>
      </c>
      <c r="G37" s="7" t="s">
        <v>220</v>
      </c>
      <c r="H37" s="8" t="s">
        <v>62</v>
      </c>
      <c r="I37" s="9" t="s">
        <v>800</v>
      </c>
      <c r="J37" s="9" t="s">
        <v>180</v>
      </c>
      <c r="K37" s="9" t="s">
        <v>733</v>
      </c>
      <c r="L37" s="9" t="s">
        <v>174</v>
      </c>
      <c r="M37" s="9" t="s">
        <v>175</v>
      </c>
      <c r="N37" s="9" t="s">
        <v>248</v>
      </c>
      <c r="O37" s="9" t="s">
        <v>342</v>
      </c>
      <c r="P37" s="9" t="s">
        <v>177</v>
      </c>
      <c r="Q37" s="9" t="s">
        <v>791</v>
      </c>
      <c r="R37" s="9" t="s">
        <v>72</v>
      </c>
      <c r="S37" s="9">
        <v>17</v>
      </c>
      <c r="T37" s="9" t="s">
        <v>249</v>
      </c>
      <c r="U37" s="9" t="s">
        <v>73</v>
      </c>
      <c r="V37" s="9" t="s">
        <v>249</v>
      </c>
      <c r="W37" s="9" t="s">
        <v>249</v>
      </c>
      <c r="X37" s="9" t="s">
        <v>249</v>
      </c>
      <c r="Y37" s="9">
        <v>3</v>
      </c>
      <c r="Z37" s="9">
        <v>2024</v>
      </c>
      <c r="AA37" s="9" t="s">
        <v>801</v>
      </c>
      <c r="AB37" s="9" t="str">
        <f>IFERROR(IF(VLOOKUP(D37,Revistas!$A$21:$C$400,3,FALSE)=0,"",VLOOKUP(D37,Revistas!$A$21:$C$400,3,FALSE)),"")</f>
        <v>alto</v>
      </c>
      <c r="AC37" s="9" t="s">
        <v>655</v>
      </c>
      <c r="AD37" s="9" t="s">
        <v>803</v>
      </c>
      <c r="AE37" s="9" t="s">
        <v>634</v>
      </c>
    </row>
    <row r="38" spans="1:31" x14ac:dyDescent="0.3">
      <c r="A38" s="7" t="s">
        <v>217</v>
      </c>
      <c r="B38" s="7">
        <v>606</v>
      </c>
      <c r="C38" s="7" t="s">
        <v>218</v>
      </c>
      <c r="D38" s="7" t="s">
        <v>219</v>
      </c>
      <c r="E38" s="7" t="s">
        <v>143</v>
      </c>
      <c r="F38" s="7" t="s">
        <v>60</v>
      </c>
      <c r="G38" s="7" t="s">
        <v>220</v>
      </c>
      <c r="H38" s="8" t="s">
        <v>62</v>
      </c>
      <c r="I38" s="9" t="s">
        <v>800</v>
      </c>
      <c r="J38" s="9" t="s">
        <v>256</v>
      </c>
      <c r="K38" s="9" t="s">
        <v>733</v>
      </c>
      <c r="L38" s="9" t="s">
        <v>258</v>
      </c>
      <c r="M38" s="9" t="s">
        <v>175</v>
      </c>
      <c r="N38" s="9" t="s">
        <v>248</v>
      </c>
      <c r="O38" s="9" t="s">
        <v>342</v>
      </c>
      <c r="P38" s="9" t="s">
        <v>177</v>
      </c>
      <c r="Q38" s="9" t="s">
        <v>791</v>
      </c>
      <c r="R38" s="9" t="s">
        <v>72</v>
      </c>
      <c r="S38" s="9">
        <v>11</v>
      </c>
      <c r="T38" s="9" t="s">
        <v>249</v>
      </c>
      <c r="U38" s="9" t="s">
        <v>73</v>
      </c>
      <c r="V38" s="9" t="s">
        <v>249</v>
      </c>
      <c r="W38" s="9" t="s">
        <v>249</v>
      </c>
      <c r="X38" s="9" t="s">
        <v>249</v>
      </c>
      <c r="Y38" s="9">
        <v>3</v>
      </c>
      <c r="Z38" s="9">
        <v>2024</v>
      </c>
      <c r="AA38" s="9" t="s">
        <v>801</v>
      </c>
      <c r="AB38" s="9" t="str">
        <f>IFERROR(IF(VLOOKUP(D38,Revistas!$A$21:$C$400,3,FALSE)=0,"",VLOOKUP(D38,Revistas!$A$21:$C$400,3,FALSE)),"")</f>
        <v>alto</v>
      </c>
      <c r="AC38" s="9" t="s">
        <v>655</v>
      </c>
      <c r="AD38" s="9" t="s">
        <v>804</v>
      </c>
      <c r="AE38" s="9" t="s">
        <v>634</v>
      </c>
    </row>
    <row r="39" spans="1:31" x14ac:dyDescent="0.3">
      <c r="A39" s="7" t="s">
        <v>217</v>
      </c>
      <c r="B39" s="7">
        <v>606</v>
      </c>
      <c r="C39" s="7" t="s">
        <v>218</v>
      </c>
      <c r="D39" s="7" t="s">
        <v>219</v>
      </c>
      <c r="E39" s="7" t="s">
        <v>143</v>
      </c>
      <c r="F39" s="7" t="s">
        <v>60</v>
      </c>
      <c r="G39" s="7" t="s">
        <v>220</v>
      </c>
      <c r="H39" s="8" t="s">
        <v>62</v>
      </c>
      <c r="I39" s="9" t="s">
        <v>800</v>
      </c>
      <c r="J39" s="9" t="s">
        <v>257</v>
      </c>
      <c r="K39" s="9" t="s">
        <v>733</v>
      </c>
      <c r="L39" s="9" t="s">
        <v>181</v>
      </c>
      <c r="M39" s="9" t="s">
        <v>175</v>
      </c>
      <c r="N39" s="9" t="s">
        <v>248</v>
      </c>
      <c r="O39" s="9" t="s">
        <v>342</v>
      </c>
      <c r="P39" s="9" t="s">
        <v>177</v>
      </c>
      <c r="Q39" s="9" t="s">
        <v>791</v>
      </c>
      <c r="R39" s="9" t="s">
        <v>72</v>
      </c>
      <c r="S39" s="9">
        <v>2</v>
      </c>
      <c r="T39" s="9" t="s">
        <v>249</v>
      </c>
      <c r="U39" s="9" t="s">
        <v>73</v>
      </c>
      <c r="V39" s="9" t="s">
        <v>249</v>
      </c>
      <c r="W39" s="9" t="s">
        <v>249</v>
      </c>
      <c r="X39" s="9" t="s">
        <v>249</v>
      </c>
      <c r="Y39" s="9">
        <v>0</v>
      </c>
      <c r="Z39" s="9">
        <v>2024</v>
      </c>
      <c r="AA39" s="9" t="s">
        <v>801</v>
      </c>
      <c r="AB39" s="9" t="str">
        <f>IFERROR(IF(VLOOKUP(D39,Revistas!$A$21:$C$400,3,FALSE)=0,"",VLOOKUP(D39,Revistas!$A$21:$C$400,3,FALSE)),"")</f>
        <v>alto</v>
      </c>
      <c r="AC39" s="9" t="s">
        <v>655</v>
      </c>
      <c r="AD39" s="9" t="s">
        <v>805</v>
      </c>
      <c r="AE39" s="9" t="s">
        <v>634</v>
      </c>
    </row>
    <row r="40" spans="1:31" x14ac:dyDescent="0.3">
      <c r="A40" s="7" t="s">
        <v>221</v>
      </c>
      <c r="B40" s="7">
        <v>687</v>
      </c>
      <c r="C40" s="7" t="s">
        <v>222</v>
      </c>
      <c r="D40" s="7" t="s">
        <v>115</v>
      </c>
      <c r="E40" s="7" t="s">
        <v>79</v>
      </c>
      <c r="F40" s="7" t="s">
        <v>60</v>
      </c>
      <c r="G40" s="7" t="s">
        <v>223</v>
      </c>
      <c r="H40" s="8" t="s">
        <v>62</v>
      </c>
      <c r="I40" s="9" t="s">
        <v>806</v>
      </c>
      <c r="J40" s="9" t="s">
        <v>64</v>
      </c>
      <c r="K40" s="9" t="s">
        <v>733</v>
      </c>
      <c r="L40" s="9" t="s">
        <v>174</v>
      </c>
      <c r="M40" s="9" t="s">
        <v>175</v>
      </c>
      <c r="N40" s="9" t="s">
        <v>248</v>
      </c>
      <c r="O40" s="9" t="s">
        <v>342</v>
      </c>
      <c r="P40" s="9" t="s">
        <v>177</v>
      </c>
      <c r="Q40" s="9" t="s">
        <v>741</v>
      </c>
      <c r="R40" s="9" t="s">
        <v>72</v>
      </c>
      <c r="S40" s="9">
        <v>260</v>
      </c>
      <c r="T40" s="9" t="s">
        <v>249</v>
      </c>
      <c r="U40" s="9" t="s">
        <v>73</v>
      </c>
      <c r="V40" s="9" t="s">
        <v>249</v>
      </c>
      <c r="W40" s="9" t="s">
        <v>249</v>
      </c>
      <c r="X40" s="9" t="s">
        <v>249</v>
      </c>
      <c r="Y40" s="9" t="s">
        <v>73</v>
      </c>
      <c r="Z40" s="9">
        <v>2019</v>
      </c>
      <c r="AA40" s="9" t="s">
        <v>249</v>
      </c>
      <c r="AB40" s="9" t="str">
        <f>IFERROR(IF(VLOOKUP(D40,Revistas!$A$21:$C$400,3,FALSE)=0,"",VLOOKUP(D40,Revistas!$A$21:$C$400,3,FALSE)),"")</f>
        <v>medio</v>
      </c>
      <c r="AC40" s="9" t="s">
        <v>630</v>
      </c>
      <c r="AD40" s="9" t="s">
        <v>789</v>
      </c>
      <c r="AE40" s="9" t="s">
        <v>631</v>
      </c>
    </row>
    <row r="41" spans="1:31" x14ac:dyDescent="0.3">
      <c r="A41" s="7" t="s">
        <v>224</v>
      </c>
      <c r="B41" s="7">
        <v>708</v>
      </c>
      <c r="C41" s="7" t="s">
        <v>225</v>
      </c>
      <c r="D41" s="7" t="s">
        <v>226</v>
      </c>
      <c r="E41" s="7" t="s">
        <v>111</v>
      </c>
      <c r="F41" s="7" t="s">
        <v>60</v>
      </c>
      <c r="G41" s="7" t="s">
        <v>227</v>
      </c>
      <c r="H41" s="8" t="s">
        <v>62</v>
      </c>
      <c r="I41" s="9" t="s">
        <v>807</v>
      </c>
      <c r="J41" s="9" t="s">
        <v>64</v>
      </c>
      <c r="K41" s="9" t="s">
        <v>733</v>
      </c>
      <c r="L41" s="9" t="s">
        <v>66</v>
      </c>
      <c r="M41" s="9" t="s">
        <v>175</v>
      </c>
      <c r="N41" s="9" t="s">
        <v>248</v>
      </c>
      <c r="O41" s="9" t="s">
        <v>782</v>
      </c>
      <c r="P41" s="9" t="s">
        <v>70</v>
      </c>
      <c r="Q41" s="9" t="s">
        <v>250</v>
      </c>
      <c r="R41" s="9" t="s">
        <v>72</v>
      </c>
      <c r="S41" s="9">
        <v>1</v>
      </c>
      <c r="T41" s="9">
        <v>1</v>
      </c>
      <c r="U41" s="9" t="s">
        <v>73</v>
      </c>
      <c r="V41" s="9" t="s">
        <v>249</v>
      </c>
      <c r="W41" s="9">
        <v>0</v>
      </c>
      <c r="X41" s="9" t="s">
        <v>249</v>
      </c>
      <c r="Y41" s="9" t="s">
        <v>73</v>
      </c>
      <c r="Z41" s="9">
        <v>2021</v>
      </c>
      <c r="AA41" s="9" t="s">
        <v>809</v>
      </c>
      <c r="AB41" s="9" t="s">
        <v>614</v>
      </c>
      <c r="AC41" s="9" t="s">
        <v>649</v>
      </c>
      <c r="AD41" s="9" t="s">
        <v>789</v>
      </c>
      <c r="AE41" s="9" t="s">
        <v>634</v>
      </c>
    </row>
    <row r="42" spans="1:31" x14ac:dyDescent="0.3">
      <c r="A42" s="7" t="s">
        <v>228</v>
      </c>
      <c r="B42" s="7">
        <v>896</v>
      </c>
      <c r="C42" s="7" t="s">
        <v>229</v>
      </c>
      <c r="D42" s="7" t="s">
        <v>230</v>
      </c>
      <c r="E42" s="7" t="s">
        <v>231</v>
      </c>
      <c r="F42" s="7" t="s">
        <v>60</v>
      </c>
      <c r="G42" s="7" t="s">
        <v>232</v>
      </c>
      <c r="H42" s="8" t="s">
        <v>62</v>
      </c>
      <c r="I42" s="9" t="s">
        <v>810</v>
      </c>
      <c r="J42" s="9" t="s">
        <v>64</v>
      </c>
      <c r="K42" s="9" t="s">
        <v>733</v>
      </c>
      <c r="L42" s="9" t="s">
        <v>66</v>
      </c>
      <c r="M42" s="9" t="s">
        <v>175</v>
      </c>
      <c r="N42" s="9" t="s">
        <v>248</v>
      </c>
      <c r="O42" s="9" t="s">
        <v>507</v>
      </c>
      <c r="P42" s="9" t="s">
        <v>249</v>
      </c>
      <c r="Q42" s="9" t="s">
        <v>178</v>
      </c>
      <c r="R42" s="9" t="s">
        <v>72</v>
      </c>
      <c r="S42" s="9">
        <v>9</v>
      </c>
      <c r="T42" s="9">
        <v>6</v>
      </c>
      <c r="U42" s="9">
        <v>0</v>
      </c>
      <c r="V42" s="9">
        <v>6</v>
      </c>
      <c r="W42" s="9">
        <v>0</v>
      </c>
      <c r="X42" s="9" t="s">
        <v>249</v>
      </c>
      <c r="Y42" s="9" t="s">
        <v>73</v>
      </c>
      <c r="Z42" s="9">
        <v>2018</v>
      </c>
      <c r="AA42" s="9" t="s">
        <v>813</v>
      </c>
      <c r="AB42" s="9" t="s">
        <v>617</v>
      </c>
      <c r="AC42" s="9" t="s">
        <v>653</v>
      </c>
      <c r="AD42" s="9" t="s">
        <v>789</v>
      </c>
      <c r="AE42" s="9" t="s">
        <v>631</v>
      </c>
    </row>
    <row r="43" spans="1:31" x14ac:dyDescent="0.3">
      <c r="A43" s="7" t="s">
        <v>233</v>
      </c>
      <c r="B43" s="7">
        <v>1239</v>
      </c>
      <c r="C43" s="7" t="s">
        <v>234</v>
      </c>
      <c r="D43" s="7" t="s">
        <v>235</v>
      </c>
      <c r="E43" s="7" t="s">
        <v>89</v>
      </c>
      <c r="F43" s="7" t="s">
        <v>60</v>
      </c>
      <c r="G43" s="7" t="s">
        <v>236</v>
      </c>
      <c r="H43" s="8" t="s">
        <v>62</v>
      </c>
      <c r="I43" s="9" t="s">
        <v>811</v>
      </c>
      <c r="J43" s="9" t="s">
        <v>64</v>
      </c>
      <c r="K43" s="9" t="s">
        <v>733</v>
      </c>
      <c r="L43" s="9" t="s">
        <v>66</v>
      </c>
      <c r="M43" s="9" t="s">
        <v>175</v>
      </c>
      <c r="N43" s="9" t="s">
        <v>248</v>
      </c>
      <c r="O43" s="9" t="s">
        <v>342</v>
      </c>
      <c r="P43" s="9" t="s">
        <v>177</v>
      </c>
      <c r="Q43" s="9" t="s">
        <v>791</v>
      </c>
      <c r="R43" s="9" t="s">
        <v>72</v>
      </c>
      <c r="S43" s="9">
        <v>12</v>
      </c>
      <c r="T43" s="9">
        <v>7</v>
      </c>
      <c r="U43" s="9">
        <v>0</v>
      </c>
      <c r="V43" s="9">
        <v>5</v>
      </c>
      <c r="W43" s="9">
        <v>0</v>
      </c>
      <c r="X43" s="9" t="s">
        <v>249</v>
      </c>
      <c r="Y43" s="9" t="s">
        <v>73</v>
      </c>
      <c r="Z43" s="9">
        <v>2023</v>
      </c>
      <c r="AA43" s="9" t="s">
        <v>814</v>
      </c>
      <c r="AB43" s="9" t="str">
        <f>IFERROR(IF(VLOOKUP(D43,Revistas!$A$21:$C$400,3,FALSE)=0,"",VLOOKUP(D43,Revistas!$A$21:$C$400,3,FALSE)),"")</f>
        <v>alto</v>
      </c>
      <c r="AC43" s="9" t="s">
        <v>379</v>
      </c>
      <c r="AD43" s="9" t="s">
        <v>789</v>
      </c>
      <c r="AE43" s="9" t="s">
        <v>631</v>
      </c>
    </row>
    <row r="44" spans="1:31" x14ac:dyDescent="0.3">
      <c r="A44" s="7" t="s">
        <v>237</v>
      </c>
      <c r="B44" s="7">
        <v>1410</v>
      </c>
      <c r="C44" s="7" t="s">
        <v>238</v>
      </c>
      <c r="D44" s="7" t="s">
        <v>188</v>
      </c>
      <c r="E44" s="7" t="s">
        <v>59</v>
      </c>
      <c r="F44" s="7" t="s">
        <v>60</v>
      </c>
      <c r="G44" s="7" t="s">
        <v>239</v>
      </c>
      <c r="H44" s="8" t="s">
        <v>62</v>
      </c>
      <c r="I44" s="9" t="s">
        <v>808</v>
      </c>
      <c r="J44" s="9" t="s">
        <v>64</v>
      </c>
      <c r="K44" s="9" t="s">
        <v>733</v>
      </c>
      <c r="L44" s="9" t="s">
        <v>66</v>
      </c>
      <c r="M44" s="9" t="s">
        <v>175</v>
      </c>
      <c r="N44" s="9" t="s">
        <v>248</v>
      </c>
      <c r="O44" s="9" t="s">
        <v>342</v>
      </c>
      <c r="P44" s="9" t="s">
        <v>249</v>
      </c>
      <c r="Q44" s="9" t="s">
        <v>791</v>
      </c>
      <c r="R44" s="9" t="s">
        <v>72</v>
      </c>
      <c r="S44" s="9" t="s">
        <v>249</v>
      </c>
      <c r="T44" s="9" t="s">
        <v>249</v>
      </c>
      <c r="U44" s="9" t="s">
        <v>73</v>
      </c>
      <c r="V44" s="9">
        <v>0</v>
      </c>
      <c r="W44" s="9" t="s">
        <v>249</v>
      </c>
      <c r="X44" s="9" t="s">
        <v>249</v>
      </c>
      <c r="Y44" s="9" t="s">
        <v>73</v>
      </c>
      <c r="Z44" s="9">
        <v>2025</v>
      </c>
      <c r="AA44" s="9" t="s">
        <v>814</v>
      </c>
      <c r="AB44" s="9" t="str">
        <f>IFERROR(IF(VLOOKUP(D44,Revistas!$A$21:$C$400,3,FALSE)=0,"",VLOOKUP(D44,Revistas!$A$21:$C$400,3,FALSE)),"")</f>
        <v>medio</v>
      </c>
      <c r="AC44" s="9" t="s">
        <v>649</v>
      </c>
      <c r="AD44" s="9" t="s">
        <v>789</v>
      </c>
      <c r="AE44" s="9" t="s">
        <v>631</v>
      </c>
    </row>
    <row r="45" spans="1:31" x14ac:dyDescent="0.3">
      <c r="A45" s="7" t="s">
        <v>240</v>
      </c>
      <c r="B45" s="7">
        <v>2315</v>
      </c>
      <c r="C45" s="7" t="s">
        <v>241</v>
      </c>
      <c r="D45" s="7" t="s">
        <v>242</v>
      </c>
      <c r="E45" s="7" t="s">
        <v>143</v>
      </c>
      <c r="F45" s="7" t="s">
        <v>60</v>
      </c>
      <c r="G45" s="7" t="s">
        <v>243</v>
      </c>
      <c r="H45" s="8" t="s">
        <v>62</v>
      </c>
      <c r="I45" s="9" t="s">
        <v>812</v>
      </c>
      <c r="J45" s="9" t="s">
        <v>64</v>
      </c>
      <c r="K45" s="9" t="s">
        <v>65</v>
      </c>
      <c r="L45" s="9" t="s">
        <v>66</v>
      </c>
      <c r="M45" s="9" t="s">
        <v>175</v>
      </c>
      <c r="N45" s="9" t="s">
        <v>248</v>
      </c>
      <c r="O45" s="9" t="s">
        <v>255</v>
      </c>
      <c r="P45" s="9" t="s">
        <v>177</v>
      </c>
      <c r="Q45" s="9" t="s">
        <v>250</v>
      </c>
      <c r="R45" s="9" t="s">
        <v>72</v>
      </c>
      <c r="S45" s="9">
        <v>2</v>
      </c>
      <c r="T45" s="9">
        <v>2</v>
      </c>
      <c r="U45" s="9">
        <v>0</v>
      </c>
      <c r="V45" s="9">
        <v>1</v>
      </c>
      <c r="W45" s="9">
        <v>0</v>
      </c>
      <c r="X45" s="9">
        <v>14</v>
      </c>
      <c r="Y45" s="9" t="s">
        <v>73</v>
      </c>
      <c r="Z45" s="9">
        <v>2024</v>
      </c>
      <c r="AA45" s="9" t="s">
        <v>815</v>
      </c>
      <c r="AB45" s="9" t="s">
        <v>617</v>
      </c>
      <c r="AC45" s="9" t="s">
        <v>628</v>
      </c>
      <c r="AD45" s="9" t="s">
        <v>789</v>
      </c>
      <c r="AE45" s="9" t="s">
        <v>639</v>
      </c>
    </row>
    <row r="46" spans="1:31" x14ac:dyDescent="0.3">
      <c r="A46" s="7" t="s">
        <v>244</v>
      </c>
      <c r="B46" s="7">
        <v>3</v>
      </c>
      <c r="C46" s="7" t="s">
        <v>245</v>
      </c>
      <c r="D46" s="7" t="s">
        <v>119</v>
      </c>
      <c r="E46" s="7" t="s">
        <v>89</v>
      </c>
      <c r="F46" s="7" t="s">
        <v>60</v>
      </c>
      <c r="G46" s="7" t="s">
        <v>246</v>
      </c>
      <c r="H46" s="8" t="s">
        <v>62</v>
      </c>
      <c r="I46" s="9" t="s">
        <v>247</v>
      </c>
      <c r="J46" s="9" t="s">
        <v>64</v>
      </c>
      <c r="K46" s="9" t="s">
        <v>65</v>
      </c>
      <c r="L46" s="9" t="s">
        <v>66</v>
      </c>
      <c r="M46" s="9" t="s">
        <v>175</v>
      </c>
      <c r="N46" s="9" t="s">
        <v>248</v>
      </c>
      <c r="O46" s="9" t="s">
        <v>249</v>
      </c>
      <c r="P46" s="9" t="s">
        <v>249</v>
      </c>
      <c r="Q46" s="9" t="s">
        <v>250</v>
      </c>
      <c r="R46" s="9" t="s">
        <v>72</v>
      </c>
      <c r="S46" s="9">
        <v>1</v>
      </c>
      <c r="T46" s="9" t="s">
        <v>73</v>
      </c>
      <c r="U46" s="9" t="s">
        <v>73</v>
      </c>
      <c r="V46" s="9" t="s">
        <v>73</v>
      </c>
      <c r="W46" s="9" t="s">
        <v>73</v>
      </c>
      <c r="X46" s="9" t="s">
        <v>73</v>
      </c>
      <c r="Y46" s="9" t="s">
        <v>73</v>
      </c>
      <c r="Z46" s="9">
        <v>2023</v>
      </c>
      <c r="AA46" s="9" t="s">
        <v>251</v>
      </c>
      <c r="AB46" s="9" t="str">
        <f>IFERROR(IF(VLOOKUP(D46,Revistas!$A$21:$C$400,3,FALSE)=0,"",VLOOKUP(D46,Revistas!$A$21:$C$400,3,FALSE)),"")</f>
        <v>alto</v>
      </c>
      <c r="AC46" s="9" t="s">
        <v>252</v>
      </c>
      <c r="AD46" s="9" t="s">
        <v>253</v>
      </c>
      <c r="AE46" s="9" t="s">
        <v>73</v>
      </c>
    </row>
    <row r="47" spans="1:31" x14ac:dyDescent="0.3">
      <c r="A47" s="7" t="s">
        <v>244</v>
      </c>
      <c r="B47" s="7">
        <v>3</v>
      </c>
      <c r="C47" s="7" t="s">
        <v>245</v>
      </c>
      <c r="D47" s="7" t="s">
        <v>119</v>
      </c>
      <c r="E47" s="7" t="s">
        <v>89</v>
      </c>
      <c r="F47" s="7" t="s">
        <v>60</v>
      </c>
      <c r="G47" s="7" t="s">
        <v>246</v>
      </c>
      <c r="H47" s="8" t="s">
        <v>62</v>
      </c>
      <c r="I47" s="9" t="s">
        <v>247</v>
      </c>
      <c r="J47" s="9" t="s">
        <v>180</v>
      </c>
      <c r="K47" s="9" t="s">
        <v>65</v>
      </c>
      <c r="L47" s="9" t="s">
        <v>254</v>
      </c>
      <c r="M47" s="9" t="s">
        <v>175</v>
      </c>
      <c r="N47" s="9" t="s">
        <v>248</v>
      </c>
      <c r="O47" s="9" t="s">
        <v>255</v>
      </c>
      <c r="P47" s="9" t="s">
        <v>177</v>
      </c>
      <c r="Q47" s="9" t="s">
        <v>250</v>
      </c>
      <c r="R47" s="9" t="s">
        <v>72</v>
      </c>
      <c r="S47" s="9">
        <v>5</v>
      </c>
      <c r="T47" s="9">
        <v>5</v>
      </c>
      <c r="U47" s="9">
        <v>0</v>
      </c>
      <c r="V47" s="9">
        <v>5</v>
      </c>
      <c r="W47" s="9">
        <v>0</v>
      </c>
      <c r="X47" s="9" t="s">
        <v>73</v>
      </c>
      <c r="Y47" s="9" t="s">
        <v>73</v>
      </c>
      <c r="Z47" s="9">
        <v>2023</v>
      </c>
      <c r="AA47" s="9" t="s">
        <v>251</v>
      </c>
      <c r="AB47" s="9" t="str">
        <f>IFERROR(IF(VLOOKUP(D47,Revistas!$A$21:$C$400,3,FALSE)=0,"",VLOOKUP(D47,Revistas!$A$21:$C$400,3,FALSE)),"")</f>
        <v>alto</v>
      </c>
      <c r="AC47" s="9" t="s">
        <v>252</v>
      </c>
      <c r="AD47" s="9" t="s">
        <v>253</v>
      </c>
      <c r="AE47" s="9" t="s">
        <v>73</v>
      </c>
    </row>
    <row r="48" spans="1:31" x14ac:dyDescent="0.3">
      <c r="A48" s="7" t="s">
        <v>244</v>
      </c>
      <c r="B48" s="7">
        <v>3</v>
      </c>
      <c r="C48" s="7" t="s">
        <v>245</v>
      </c>
      <c r="D48" s="7" t="s">
        <v>119</v>
      </c>
      <c r="E48" s="7" t="s">
        <v>89</v>
      </c>
      <c r="F48" s="7" t="s">
        <v>60</v>
      </c>
      <c r="G48" s="7" t="s">
        <v>246</v>
      </c>
      <c r="H48" s="8" t="s">
        <v>62</v>
      </c>
      <c r="I48" s="9" t="s">
        <v>247</v>
      </c>
      <c r="J48" s="9" t="s">
        <v>256</v>
      </c>
      <c r="K48" s="9" t="s">
        <v>65</v>
      </c>
      <c r="L48" s="9" t="s">
        <v>174</v>
      </c>
      <c r="M48" s="9" t="s">
        <v>175</v>
      </c>
      <c r="N48" s="9" t="s">
        <v>248</v>
      </c>
      <c r="O48" s="9" t="s">
        <v>255</v>
      </c>
      <c r="P48" s="9" t="s">
        <v>177</v>
      </c>
      <c r="Q48" s="9" t="s">
        <v>250</v>
      </c>
      <c r="R48" s="9" t="s">
        <v>72</v>
      </c>
      <c r="S48" s="9">
        <v>5</v>
      </c>
      <c r="T48" s="9">
        <v>4</v>
      </c>
      <c r="U48" s="9">
        <v>2</v>
      </c>
      <c r="V48" s="9">
        <v>4</v>
      </c>
      <c r="W48" s="9">
        <v>1</v>
      </c>
      <c r="X48" s="9" t="s">
        <v>73</v>
      </c>
      <c r="Y48" s="9" t="s">
        <v>73</v>
      </c>
      <c r="Z48" s="9">
        <v>2023</v>
      </c>
      <c r="AA48" s="9" t="s">
        <v>251</v>
      </c>
      <c r="AB48" s="9" t="str">
        <f>IFERROR(IF(VLOOKUP(D48,Revistas!$A$21:$C$400,3,FALSE)=0,"",VLOOKUP(D48,Revistas!$A$21:$C$400,3,FALSE)),"")</f>
        <v>alto</v>
      </c>
      <c r="AC48" s="9" t="s">
        <v>252</v>
      </c>
      <c r="AD48" s="9" t="s">
        <v>253</v>
      </c>
      <c r="AE48" s="9" t="s">
        <v>73</v>
      </c>
    </row>
    <row r="49" spans="1:32" x14ac:dyDescent="0.3">
      <c r="A49" s="7" t="s">
        <v>244</v>
      </c>
      <c r="B49" s="7">
        <v>3</v>
      </c>
      <c r="C49" s="7" t="s">
        <v>245</v>
      </c>
      <c r="D49" s="7" t="s">
        <v>119</v>
      </c>
      <c r="E49" s="7" t="s">
        <v>89</v>
      </c>
      <c r="F49" s="7" t="s">
        <v>60</v>
      </c>
      <c r="G49" s="7" t="s">
        <v>246</v>
      </c>
      <c r="H49" s="8" t="s">
        <v>62</v>
      </c>
      <c r="I49" s="9" t="s">
        <v>247</v>
      </c>
      <c r="J49" s="9" t="s">
        <v>257</v>
      </c>
      <c r="K49" s="9" t="s">
        <v>65</v>
      </c>
      <c r="L49" s="9" t="s">
        <v>258</v>
      </c>
      <c r="M49" s="9" t="s">
        <v>175</v>
      </c>
      <c r="N49" s="9" t="s">
        <v>248</v>
      </c>
      <c r="O49" s="9" t="s">
        <v>255</v>
      </c>
      <c r="P49" s="9" t="s">
        <v>177</v>
      </c>
      <c r="Q49" s="9" t="s">
        <v>250</v>
      </c>
      <c r="R49" s="9" t="s">
        <v>72</v>
      </c>
      <c r="S49" s="9">
        <v>4</v>
      </c>
      <c r="T49" s="9">
        <v>3</v>
      </c>
      <c r="U49" s="9">
        <v>2</v>
      </c>
      <c r="V49" s="9">
        <v>3</v>
      </c>
      <c r="W49" s="9">
        <v>1</v>
      </c>
      <c r="X49" s="9" t="s">
        <v>73</v>
      </c>
      <c r="Y49" s="9" t="s">
        <v>73</v>
      </c>
      <c r="Z49" s="9">
        <v>2023</v>
      </c>
      <c r="AA49" s="9" t="s">
        <v>251</v>
      </c>
      <c r="AB49" s="9" t="str">
        <f>IFERROR(IF(VLOOKUP(D49,Revistas!$A$21:$C$400,3,FALSE)=0,"",VLOOKUP(D49,Revistas!$A$21:$C$400,3,FALSE)),"")</f>
        <v>alto</v>
      </c>
      <c r="AC49" s="9" t="s">
        <v>252</v>
      </c>
      <c r="AD49" s="9" t="s">
        <v>253</v>
      </c>
      <c r="AE49" s="9" t="s">
        <v>73</v>
      </c>
    </row>
    <row r="50" spans="1:32" x14ac:dyDescent="0.3">
      <c r="A50" s="7" t="s">
        <v>244</v>
      </c>
      <c r="B50" s="7">
        <v>3</v>
      </c>
      <c r="C50" s="7" t="s">
        <v>245</v>
      </c>
      <c r="D50" s="7" t="s">
        <v>119</v>
      </c>
      <c r="E50" s="7" t="s">
        <v>89</v>
      </c>
      <c r="F50" s="7" t="s">
        <v>60</v>
      </c>
      <c r="G50" s="7" t="s">
        <v>246</v>
      </c>
      <c r="H50" s="8" t="s">
        <v>62</v>
      </c>
      <c r="I50" s="9" t="s">
        <v>247</v>
      </c>
      <c r="J50" s="9" t="s">
        <v>259</v>
      </c>
      <c r="K50" s="9" t="s">
        <v>65</v>
      </c>
      <c r="L50" s="9" t="s">
        <v>181</v>
      </c>
      <c r="M50" s="9" t="s">
        <v>175</v>
      </c>
      <c r="N50" s="9" t="s">
        <v>248</v>
      </c>
      <c r="O50" s="9" t="s">
        <v>255</v>
      </c>
      <c r="P50" s="9" t="s">
        <v>177</v>
      </c>
      <c r="Q50" s="9" t="s">
        <v>250</v>
      </c>
      <c r="R50" s="9" t="s">
        <v>72</v>
      </c>
      <c r="S50" s="9">
        <v>1</v>
      </c>
      <c r="T50" s="9">
        <v>1</v>
      </c>
      <c r="U50" s="9">
        <v>0</v>
      </c>
      <c r="V50" s="9">
        <v>1</v>
      </c>
      <c r="W50" s="9">
        <v>0</v>
      </c>
      <c r="X50" s="9" t="s">
        <v>73</v>
      </c>
      <c r="Y50" s="9" t="s">
        <v>73</v>
      </c>
      <c r="Z50" s="9">
        <v>2023</v>
      </c>
      <c r="AA50" s="9" t="s">
        <v>251</v>
      </c>
      <c r="AB50" s="9" t="str">
        <f>IFERROR(IF(VLOOKUP(D50,Revistas!$A$21:$C$400,3,FALSE)=0,"",VLOOKUP(D50,Revistas!$A$21:$C$400,3,FALSE)),"")</f>
        <v>alto</v>
      </c>
      <c r="AC50" s="9" t="s">
        <v>252</v>
      </c>
      <c r="AD50" s="9" t="s">
        <v>253</v>
      </c>
      <c r="AE50" s="9" t="s">
        <v>73</v>
      </c>
    </row>
    <row r="51" spans="1:32" x14ac:dyDescent="0.3">
      <c r="A51" s="7" t="s">
        <v>260</v>
      </c>
      <c r="B51" s="7">
        <v>35</v>
      </c>
      <c r="C51" s="7" t="s">
        <v>261</v>
      </c>
      <c r="D51" s="7" t="s">
        <v>119</v>
      </c>
      <c r="E51" s="7" t="s">
        <v>143</v>
      </c>
      <c r="F51" s="7" t="s">
        <v>60</v>
      </c>
      <c r="G51" s="7" t="s">
        <v>262</v>
      </c>
      <c r="H51" s="8" t="s">
        <v>62</v>
      </c>
      <c r="I51" s="9" t="s">
        <v>909</v>
      </c>
      <c r="J51" s="9" t="s">
        <v>64</v>
      </c>
      <c r="K51" s="9" t="s">
        <v>733</v>
      </c>
      <c r="L51" s="9" t="s">
        <v>174</v>
      </c>
      <c r="M51" s="9" t="s">
        <v>175</v>
      </c>
      <c r="N51" s="9" t="s">
        <v>248</v>
      </c>
      <c r="O51" s="9" t="s">
        <v>69</v>
      </c>
      <c r="P51" s="9" t="s">
        <v>177</v>
      </c>
      <c r="Q51" s="9" t="s">
        <v>250</v>
      </c>
      <c r="R51" s="9" t="s">
        <v>737</v>
      </c>
      <c r="S51" s="9">
        <v>2</v>
      </c>
      <c r="T51" s="9">
        <v>1</v>
      </c>
      <c r="U51" s="9">
        <v>0</v>
      </c>
      <c r="V51" s="9">
        <v>0</v>
      </c>
      <c r="W51" s="9">
        <v>0</v>
      </c>
      <c r="X51" s="9" t="s">
        <v>249</v>
      </c>
      <c r="Y51" s="9" t="s">
        <v>73</v>
      </c>
      <c r="Z51" s="9">
        <v>2024</v>
      </c>
      <c r="AA51" s="9" t="s">
        <v>910</v>
      </c>
      <c r="AB51" s="9" t="str">
        <f>IFERROR(IF(VLOOKUP(D51,Revistas!$A$21:$C$400,3,FALSE)=0,"",VLOOKUP(D51,Revistas!$A$21:$C$400,3,FALSE)),"")</f>
        <v>alto</v>
      </c>
      <c r="AC51" s="9" t="s">
        <v>344</v>
      </c>
      <c r="AD51" s="9" t="s">
        <v>789</v>
      </c>
      <c r="AE51" s="9" t="s">
        <v>634</v>
      </c>
    </row>
    <row r="52" spans="1:32" x14ac:dyDescent="0.3">
      <c r="A52" s="7" t="s">
        <v>263</v>
      </c>
      <c r="B52" s="7">
        <v>64</v>
      </c>
      <c r="C52" s="7" t="s">
        <v>264</v>
      </c>
      <c r="D52" s="7" t="s">
        <v>265</v>
      </c>
      <c r="E52" s="7" t="s">
        <v>59</v>
      </c>
      <c r="F52" s="7" t="s">
        <v>60</v>
      </c>
      <c r="G52" s="7" t="s">
        <v>266</v>
      </c>
      <c r="H52" s="8" t="s">
        <v>62</v>
      </c>
      <c r="I52" s="9" t="s">
        <v>911</v>
      </c>
      <c r="J52" s="9" t="s">
        <v>64</v>
      </c>
      <c r="K52" s="9" t="s">
        <v>733</v>
      </c>
      <c r="L52" s="9" t="s">
        <v>174</v>
      </c>
      <c r="M52" s="9" t="s">
        <v>175</v>
      </c>
      <c r="N52" s="9" t="s">
        <v>775</v>
      </c>
      <c r="O52" s="9" t="s">
        <v>249</v>
      </c>
      <c r="P52" s="9" t="s">
        <v>177</v>
      </c>
      <c r="Q52" s="9" t="s">
        <v>342</v>
      </c>
      <c r="R52" s="9" t="s">
        <v>737</v>
      </c>
      <c r="S52" s="9">
        <v>30</v>
      </c>
      <c r="T52" s="9" t="s">
        <v>249</v>
      </c>
      <c r="U52" s="9" t="s">
        <v>73</v>
      </c>
      <c r="V52" s="9" t="s">
        <v>249</v>
      </c>
      <c r="W52" s="9">
        <v>6</v>
      </c>
      <c r="X52" s="9" t="s">
        <v>249</v>
      </c>
      <c r="Y52" s="9" t="s">
        <v>73</v>
      </c>
      <c r="Z52" s="9">
        <v>2025</v>
      </c>
      <c r="AA52" s="9" t="s">
        <v>249</v>
      </c>
      <c r="AB52" s="9" t="s">
        <v>614</v>
      </c>
      <c r="AC52" s="9" t="s">
        <v>916</v>
      </c>
      <c r="AD52" s="9" t="s">
        <v>913</v>
      </c>
      <c r="AE52" s="9" t="s">
        <v>629</v>
      </c>
    </row>
    <row r="53" spans="1:32" x14ac:dyDescent="0.3">
      <c r="A53" s="7" t="s">
        <v>267</v>
      </c>
      <c r="B53" s="7">
        <v>68</v>
      </c>
      <c r="C53" s="7" t="s">
        <v>268</v>
      </c>
      <c r="D53" s="7" t="s">
        <v>269</v>
      </c>
      <c r="E53" s="7" t="s">
        <v>106</v>
      </c>
      <c r="F53" s="7" t="s">
        <v>60</v>
      </c>
      <c r="G53" s="7" t="s">
        <v>270</v>
      </c>
      <c r="H53" s="8" t="s">
        <v>62</v>
      </c>
      <c r="I53" s="9" t="s">
        <v>914</v>
      </c>
      <c r="J53" s="9" t="s">
        <v>64</v>
      </c>
      <c r="K53" s="9" t="s">
        <v>65</v>
      </c>
      <c r="L53" s="9" t="s">
        <v>174</v>
      </c>
      <c r="M53" s="9" t="s">
        <v>175</v>
      </c>
      <c r="N53" s="9" t="s">
        <v>176</v>
      </c>
      <c r="O53" s="9" t="s">
        <v>707</v>
      </c>
      <c r="P53" s="9" t="s">
        <v>70</v>
      </c>
      <c r="Q53" s="9" t="s">
        <v>250</v>
      </c>
      <c r="R53" s="9" t="s">
        <v>72</v>
      </c>
      <c r="S53" s="9">
        <v>1</v>
      </c>
      <c r="T53" s="9">
        <v>1</v>
      </c>
      <c r="U53" s="9">
        <v>0</v>
      </c>
      <c r="V53" s="9">
        <v>1</v>
      </c>
      <c r="W53" s="9">
        <v>0</v>
      </c>
      <c r="X53" s="9" t="s">
        <v>249</v>
      </c>
      <c r="Y53" s="9" t="s">
        <v>249</v>
      </c>
      <c r="Z53" s="9">
        <v>2026</v>
      </c>
      <c r="AA53" s="9" t="s">
        <v>915</v>
      </c>
      <c r="AB53" s="9" t="s">
        <v>614</v>
      </c>
      <c r="AC53" s="9" t="s">
        <v>643</v>
      </c>
      <c r="AD53" s="9" t="s">
        <v>913</v>
      </c>
      <c r="AE53" s="9" t="s">
        <v>249</v>
      </c>
    </row>
    <row r="54" spans="1:32" x14ac:dyDescent="0.3">
      <c r="A54" s="7" t="s">
        <v>271</v>
      </c>
      <c r="B54" s="7">
        <v>75</v>
      </c>
      <c r="C54" s="7" t="s">
        <v>272</v>
      </c>
      <c r="D54" s="7" t="s">
        <v>273</v>
      </c>
      <c r="E54" s="7" t="s">
        <v>164</v>
      </c>
      <c r="F54" s="7" t="s">
        <v>60</v>
      </c>
      <c r="G54" s="7" t="s">
        <v>274</v>
      </c>
      <c r="H54" s="8" t="s">
        <v>62</v>
      </c>
      <c r="I54" s="9" t="s">
        <v>917</v>
      </c>
      <c r="J54" s="9" t="s">
        <v>64</v>
      </c>
      <c r="K54" s="9" t="s">
        <v>733</v>
      </c>
      <c r="L54" s="9" t="s">
        <v>174</v>
      </c>
      <c r="M54" s="9" t="s">
        <v>175</v>
      </c>
      <c r="N54" s="9" t="s">
        <v>248</v>
      </c>
      <c r="O54" s="9" t="s">
        <v>830</v>
      </c>
      <c r="P54" s="9" t="s">
        <v>177</v>
      </c>
      <c r="Q54" s="9" t="s">
        <v>791</v>
      </c>
      <c r="R54" s="9" t="s">
        <v>737</v>
      </c>
      <c r="S54" s="9">
        <v>10</v>
      </c>
      <c r="T54" s="9">
        <v>7</v>
      </c>
      <c r="U54" s="9">
        <v>0</v>
      </c>
      <c r="V54" s="9" t="s">
        <v>249</v>
      </c>
      <c r="W54" s="9" t="s">
        <v>249</v>
      </c>
      <c r="X54" s="9" t="s">
        <v>249</v>
      </c>
      <c r="Y54" s="9" t="s">
        <v>249</v>
      </c>
      <c r="Z54" s="9">
        <v>2020</v>
      </c>
      <c r="AA54" s="9" t="s">
        <v>918</v>
      </c>
      <c r="AB54" s="9" t="str">
        <f>IFERROR(IF(VLOOKUP(D54,Revistas!$A$21:$C$400,3,FALSE)=0,"",VLOOKUP(D54,Revistas!$A$21:$C$400,3,FALSE)),"")</f>
        <v>medio</v>
      </c>
      <c r="AC54" s="9" t="s">
        <v>74</v>
      </c>
      <c r="AD54" s="9" t="s">
        <v>913</v>
      </c>
      <c r="AE54" s="9" t="s">
        <v>631</v>
      </c>
    </row>
    <row r="55" spans="1:32" x14ac:dyDescent="0.3">
      <c r="A55" s="7" t="s">
        <v>275</v>
      </c>
      <c r="B55" s="7">
        <v>95</v>
      </c>
      <c r="C55" s="7" t="s">
        <v>276</v>
      </c>
      <c r="D55" s="7" t="s">
        <v>115</v>
      </c>
      <c r="E55" s="7" t="s">
        <v>111</v>
      </c>
      <c r="F55" s="7" t="s">
        <v>60</v>
      </c>
      <c r="G55" s="7" t="s">
        <v>277</v>
      </c>
      <c r="H55" s="8" t="s">
        <v>62</v>
      </c>
      <c r="I55" s="9" t="s">
        <v>919</v>
      </c>
      <c r="J55" s="9" t="s">
        <v>64</v>
      </c>
      <c r="K55" s="9" t="s">
        <v>65</v>
      </c>
      <c r="L55" s="9" t="s">
        <v>66</v>
      </c>
      <c r="M55" s="9" t="s">
        <v>175</v>
      </c>
      <c r="N55" s="9" t="s">
        <v>248</v>
      </c>
      <c r="O55" s="9" t="s">
        <v>69</v>
      </c>
      <c r="P55" s="9" t="s">
        <v>177</v>
      </c>
      <c r="Q55" s="9" t="s">
        <v>791</v>
      </c>
      <c r="R55" s="9" t="s">
        <v>72</v>
      </c>
      <c r="S55" s="9">
        <v>2</v>
      </c>
      <c r="T55" s="9">
        <v>0</v>
      </c>
      <c r="U55" s="9">
        <v>0</v>
      </c>
      <c r="V55" s="9">
        <v>0</v>
      </c>
      <c r="W55" s="9">
        <v>0</v>
      </c>
      <c r="X55" s="9" t="s">
        <v>249</v>
      </c>
      <c r="Y55" s="9" t="s">
        <v>73</v>
      </c>
      <c r="Z55" s="9">
        <v>2021</v>
      </c>
      <c r="AA55" s="9" t="s">
        <v>920</v>
      </c>
      <c r="AB55" s="9" t="str">
        <f>IFERROR(IF(VLOOKUP(D55,Revistas!$A$21:$C$400,3,FALSE)=0,"",VLOOKUP(D55,Revistas!$A$21:$C$400,3,FALSE)),"")</f>
        <v>medio</v>
      </c>
      <c r="AC55" s="9" t="s">
        <v>379</v>
      </c>
      <c r="AD55" s="9" t="s">
        <v>913</v>
      </c>
      <c r="AE55" s="9" t="s">
        <v>634</v>
      </c>
    </row>
    <row r="56" spans="1:32" x14ac:dyDescent="0.3">
      <c r="A56" s="7" t="s">
        <v>278</v>
      </c>
      <c r="B56" s="7">
        <v>130</v>
      </c>
      <c r="C56" s="7" t="s">
        <v>279</v>
      </c>
      <c r="D56" s="7" t="s">
        <v>280</v>
      </c>
      <c r="E56" s="7" t="s">
        <v>143</v>
      </c>
      <c r="F56" s="7" t="s">
        <v>60</v>
      </c>
      <c r="G56" s="7" t="s">
        <v>281</v>
      </c>
      <c r="H56" s="8" t="s">
        <v>62</v>
      </c>
      <c r="I56" s="9" t="s">
        <v>921</v>
      </c>
      <c r="J56" s="9" t="s">
        <v>64</v>
      </c>
      <c r="K56" s="9" t="s">
        <v>733</v>
      </c>
      <c r="L56" s="9" t="s">
        <v>66</v>
      </c>
      <c r="M56" s="9" t="s">
        <v>175</v>
      </c>
      <c r="N56" s="9" t="s">
        <v>248</v>
      </c>
      <c r="O56" s="9" t="s">
        <v>707</v>
      </c>
      <c r="P56" s="9" t="s">
        <v>177</v>
      </c>
      <c r="Q56" s="9" t="s">
        <v>791</v>
      </c>
      <c r="R56" s="9" t="s">
        <v>333</v>
      </c>
      <c r="S56" s="9">
        <v>26</v>
      </c>
      <c r="T56" s="9">
        <v>18</v>
      </c>
      <c r="U56" s="9" t="s">
        <v>73</v>
      </c>
      <c r="V56" s="9">
        <v>18</v>
      </c>
      <c r="W56" s="9" t="s">
        <v>249</v>
      </c>
      <c r="X56" s="9" t="s">
        <v>249</v>
      </c>
      <c r="Y56" s="9" t="s">
        <v>73</v>
      </c>
      <c r="Z56" s="9">
        <v>2024</v>
      </c>
      <c r="AA56" s="9" t="s">
        <v>922</v>
      </c>
      <c r="AB56" s="9" t="s">
        <v>614</v>
      </c>
      <c r="AC56" s="9" t="s">
        <v>923</v>
      </c>
      <c r="AD56" s="9" t="s">
        <v>913</v>
      </c>
      <c r="AE56" s="9" t="s">
        <v>631</v>
      </c>
    </row>
    <row r="57" spans="1:32" x14ac:dyDescent="0.3">
      <c r="A57" s="7" t="s">
        <v>282</v>
      </c>
      <c r="B57" s="7">
        <v>151</v>
      </c>
      <c r="C57" s="7" t="s">
        <v>283</v>
      </c>
      <c r="D57" s="7" t="s">
        <v>284</v>
      </c>
      <c r="E57" s="7" t="s">
        <v>285</v>
      </c>
      <c r="F57" s="7" t="s">
        <v>60</v>
      </c>
      <c r="G57" s="7" t="s">
        <v>286</v>
      </c>
      <c r="H57" s="8" t="s">
        <v>62</v>
      </c>
      <c r="I57" s="9" t="s">
        <v>924</v>
      </c>
      <c r="J57" s="9" t="s">
        <v>64</v>
      </c>
      <c r="K57" s="9" t="s">
        <v>733</v>
      </c>
      <c r="L57" s="9" t="s">
        <v>66</v>
      </c>
      <c r="M57" s="9" t="s">
        <v>175</v>
      </c>
      <c r="N57" s="9" t="s">
        <v>248</v>
      </c>
      <c r="O57" s="9" t="s">
        <v>249</v>
      </c>
      <c r="P57" s="9" t="s">
        <v>249</v>
      </c>
      <c r="Q57" s="9" t="s">
        <v>249</v>
      </c>
      <c r="R57" s="9" t="s">
        <v>737</v>
      </c>
      <c r="S57" s="9" t="s">
        <v>249</v>
      </c>
      <c r="T57" s="9" t="s">
        <v>249</v>
      </c>
      <c r="U57" s="9" t="s">
        <v>73</v>
      </c>
      <c r="V57" s="9" t="s">
        <v>249</v>
      </c>
      <c r="W57" s="9" t="s">
        <v>249</v>
      </c>
      <c r="X57" s="9" t="s">
        <v>249</v>
      </c>
      <c r="Y57" s="9" t="s">
        <v>73</v>
      </c>
      <c r="Z57" s="9">
        <v>2017</v>
      </c>
      <c r="AA57" s="9" t="s">
        <v>249</v>
      </c>
      <c r="AB57" s="9" t="s">
        <v>614</v>
      </c>
      <c r="AC57" s="9" t="s">
        <v>651</v>
      </c>
      <c r="AD57" s="9" t="s">
        <v>913</v>
      </c>
      <c r="AE57" s="9" t="s">
        <v>629</v>
      </c>
    </row>
    <row r="58" spans="1:32" x14ac:dyDescent="0.3">
      <c r="A58" s="7" t="s">
        <v>287</v>
      </c>
      <c r="B58" s="7">
        <v>156</v>
      </c>
      <c r="C58" s="7" t="s">
        <v>288</v>
      </c>
      <c r="D58" s="7" t="s">
        <v>289</v>
      </c>
      <c r="E58" s="7" t="s">
        <v>79</v>
      </c>
      <c r="F58" s="7" t="s">
        <v>60</v>
      </c>
      <c r="G58" s="7" t="s">
        <v>290</v>
      </c>
      <c r="H58" s="8" t="s">
        <v>62</v>
      </c>
      <c r="I58" s="9" t="s">
        <v>925</v>
      </c>
      <c r="J58" s="9" t="s">
        <v>64</v>
      </c>
      <c r="K58" s="9" t="s">
        <v>65</v>
      </c>
      <c r="L58" s="9" t="s">
        <v>174</v>
      </c>
      <c r="M58" s="9" t="s">
        <v>175</v>
      </c>
      <c r="N58" s="9" t="s">
        <v>248</v>
      </c>
      <c r="O58" s="9" t="s">
        <v>830</v>
      </c>
      <c r="P58" s="9" t="s">
        <v>177</v>
      </c>
      <c r="Q58" s="9" t="s">
        <v>250</v>
      </c>
      <c r="R58" s="9" t="s">
        <v>72</v>
      </c>
      <c r="S58" s="9">
        <v>2</v>
      </c>
      <c r="T58" s="9">
        <v>2</v>
      </c>
      <c r="U58" s="9">
        <v>0</v>
      </c>
      <c r="V58" s="9" t="s">
        <v>249</v>
      </c>
      <c r="W58" s="9">
        <v>0</v>
      </c>
      <c r="X58" s="9" t="s">
        <v>249</v>
      </c>
      <c r="Y58" s="9" t="s">
        <v>73</v>
      </c>
      <c r="Z58" s="9">
        <v>2019</v>
      </c>
      <c r="AA58" s="9" t="s">
        <v>926</v>
      </c>
      <c r="AB58" s="9" t="str">
        <f>IFERROR(IF(VLOOKUP(D58,Revistas!$A$21:$C$400,3,FALSE)=0,"",VLOOKUP(D58,Revistas!$A$21:$C$400,3,FALSE)),"")</f>
        <v>alto</v>
      </c>
      <c r="AC58" s="9" t="s">
        <v>379</v>
      </c>
      <c r="AD58" s="9" t="s">
        <v>913</v>
      </c>
      <c r="AE58" s="9" t="s">
        <v>634</v>
      </c>
    </row>
    <row r="59" spans="1:32" x14ac:dyDescent="0.3">
      <c r="A59" s="7" t="s">
        <v>291</v>
      </c>
      <c r="B59" s="7">
        <v>220</v>
      </c>
      <c r="C59" s="7" t="s">
        <v>292</v>
      </c>
      <c r="D59" s="7" t="s">
        <v>293</v>
      </c>
      <c r="E59" s="7" t="s">
        <v>89</v>
      </c>
      <c r="F59" s="7" t="s">
        <v>60</v>
      </c>
      <c r="G59" s="7" t="s">
        <v>294</v>
      </c>
      <c r="H59" s="8" t="s">
        <v>62</v>
      </c>
      <c r="I59" s="9" t="s">
        <v>247</v>
      </c>
      <c r="J59" s="9" t="s">
        <v>64</v>
      </c>
      <c r="K59" s="9" t="s">
        <v>733</v>
      </c>
      <c r="L59" s="9" t="s">
        <v>174</v>
      </c>
      <c r="M59" s="9" t="s">
        <v>175</v>
      </c>
      <c r="N59" s="9" t="s">
        <v>248</v>
      </c>
      <c r="O59" s="9" t="s">
        <v>342</v>
      </c>
      <c r="P59" s="9" t="s">
        <v>177</v>
      </c>
      <c r="Q59" s="9" t="s">
        <v>791</v>
      </c>
      <c r="R59" s="9" t="s">
        <v>72</v>
      </c>
      <c r="S59" s="9">
        <v>18</v>
      </c>
      <c r="T59" s="9">
        <v>14</v>
      </c>
      <c r="U59" s="9" t="s">
        <v>73</v>
      </c>
      <c r="V59" s="9" t="s">
        <v>249</v>
      </c>
      <c r="W59" s="9" t="s">
        <v>249</v>
      </c>
      <c r="X59" s="9" t="s">
        <v>249</v>
      </c>
      <c r="Y59" s="9" t="s">
        <v>249</v>
      </c>
      <c r="Z59" s="9">
        <v>2023</v>
      </c>
      <c r="AA59" s="9" t="s">
        <v>927</v>
      </c>
      <c r="AB59" s="9" t="str">
        <f>IFERROR(IF(VLOOKUP(D59,Revistas!$A$21:$C$400,3,FALSE)=0,"",VLOOKUP(D59,Revistas!$A$21:$C$400,3,FALSE)),"")</f>
        <v>medio</v>
      </c>
      <c r="AC59" s="9" t="s">
        <v>252</v>
      </c>
      <c r="AD59" s="9" t="s">
        <v>913</v>
      </c>
      <c r="AE59" s="9" t="s">
        <v>631</v>
      </c>
    </row>
    <row r="60" spans="1:32" x14ac:dyDescent="0.3">
      <c r="A60" s="7" t="s">
        <v>295</v>
      </c>
      <c r="B60" s="7">
        <v>253</v>
      </c>
      <c r="C60" s="7" t="s">
        <v>296</v>
      </c>
      <c r="D60" s="7" t="s">
        <v>147</v>
      </c>
      <c r="E60" s="7" t="s">
        <v>79</v>
      </c>
      <c r="F60" s="7" t="s">
        <v>60</v>
      </c>
      <c r="G60" s="7" t="s">
        <v>297</v>
      </c>
      <c r="H60" s="8" t="s">
        <v>62</v>
      </c>
      <c r="I60" s="9" t="s">
        <v>928</v>
      </c>
      <c r="J60" s="9" t="s">
        <v>64</v>
      </c>
      <c r="K60" s="9" t="s">
        <v>733</v>
      </c>
      <c r="L60" s="9" t="s">
        <v>66</v>
      </c>
      <c r="M60" s="9" t="s">
        <v>175</v>
      </c>
      <c r="N60" s="9" t="s">
        <v>248</v>
      </c>
      <c r="O60" s="9" t="s">
        <v>707</v>
      </c>
      <c r="P60" s="9" t="s">
        <v>177</v>
      </c>
      <c r="Q60" s="9" t="s">
        <v>342</v>
      </c>
      <c r="R60" s="9" t="s">
        <v>737</v>
      </c>
      <c r="S60" s="9">
        <v>20</v>
      </c>
      <c r="T60" s="9" t="s">
        <v>249</v>
      </c>
      <c r="U60" s="9" t="s">
        <v>73</v>
      </c>
      <c r="V60" s="9" t="s">
        <v>249</v>
      </c>
      <c r="W60" s="9" t="s">
        <v>249</v>
      </c>
      <c r="X60" s="9" t="s">
        <v>249</v>
      </c>
      <c r="Y60" s="9" t="s">
        <v>73</v>
      </c>
      <c r="Z60" s="9">
        <v>2019</v>
      </c>
      <c r="AA60" s="9" t="s">
        <v>249</v>
      </c>
      <c r="AB60" s="9" t="s">
        <v>614</v>
      </c>
      <c r="AC60" s="9" t="s">
        <v>249</v>
      </c>
      <c r="AD60" s="9" t="s">
        <v>929</v>
      </c>
      <c r="AE60" s="9" t="s">
        <v>629</v>
      </c>
    </row>
    <row r="61" spans="1:32" x14ac:dyDescent="0.3">
      <c r="A61" s="7" t="s">
        <v>298</v>
      </c>
      <c r="B61" s="7">
        <v>274</v>
      </c>
      <c r="C61" s="7" t="s">
        <v>299</v>
      </c>
      <c r="D61" s="7" t="s">
        <v>235</v>
      </c>
      <c r="E61" s="7" t="s">
        <v>89</v>
      </c>
      <c r="F61" s="7" t="s">
        <v>60</v>
      </c>
      <c r="G61" s="7" t="s">
        <v>300</v>
      </c>
      <c r="H61" s="8" t="s">
        <v>62</v>
      </c>
      <c r="I61" s="9" t="s">
        <v>930</v>
      </c>
      <c r="J61" s="9" t="s">
        <v>64</v>
      </c>
      <c r="K61" s="9" t="s">
        <v>249</v>
      </c>
      <c r="L61" s="9" t="s">
        <v>66</v>
      </c>
      <c r="M61" s="9" t="s">
        <v>175</v>
      </c>
      <c r="N61" s="9" t="s">
        <v>248</v>
      </c>
      <c r="O61" s="9" t="s">
        <v>830</v>
      </c>
      <c r="P61" s="9" t="s">
        <v>177</v>
      </c>
      <c r="Q61" s="9" t="s">
        <v>250</v>
      </c>
      <c r="R61" s="9" t="s">
        <v>72</v>
      </c>
      <c r="S61" s="9">
        <v>10</v>
      </c>
      <c r="T61" s="9">
        <v>0</v>
      </c>
      <c r="U61" s="9" t="s">
        <v>73</v>
      </c>
      <c r="V61" s="9" t="s">
        <v>249</v>
      </c>
      <c r="W61" s="9" t="s">
        <v>249</v>
      </c>
      <c r="X61" s="9" t="s">
        <v>249</v>
      </c>
      <c r="Y61" s="9" t="s">
        <v>73</v>
      </c>
      <c r="Z61" s="9">
        <v>2023</v>
      </c>
      <c r="AA61" s="9" t="s">
        <v>931</v>
      </c>
      <c r="AB61" s="9" t="str">
        <f>IFERROR(IF(VLOOKUP(D61,Revistas!$A$21:$C$400,3,FALSE)=0,"",VLOOKUP(D61,Revistas!$A$21:$C$400,3,FALSE)),"")</f>
        <v>alto</v>
      </c>
      <c r="AC61" s="9" t="s">
        <v>379</v>
      </c>
      <c r="AD61" s="9" t="s">
        <v>913</v>
      </c>
      <c r="AE61" s="9" t="s">
        <v>631</v>
      </c>
    </row>
    <row r="62" spans="1:32" x14ac:dyDescent="0.3">
      <c r="A62" s="7" t="s">
        <v>301</v>
      </c>
      <c r="B62" s="7">
        <v>443</v>
      </c>
      <c r="C62" s="7" t="s">
        <v>302</v>
      </c>
      <c r="D62" s="7" t="s">
        <v>188</v>
      </c>
      <c r="E62" s="7" t="s">
        <v>111</v>
      </c>
      <c r="F62" s="7" t="s">
        <v>60</v>
      </c>
      <c r="G62" s="7" t="s">
        <v>303</v>
      </c>
      <c r="H62" s="8" t="s">
        <v>62</v>
      </c>
      <c r="I62" s="9" t="s">
        <v>932</v>
      </c>
      <c r="J62" s="9" t="s">
        <v>64</v>
      </c>
      <c r="K62" s="9" t="s">
        <v>733</v>
      </c>
      <c r="L62" s="9" t="s">
        <v>174</v>
      </c>
      <c r="M62" s="9" t="s">
        <v>175</v>
      </c>
      <c r="N62" s="9" t="s">
        <v>248</v>
      </c>
      <c r="O62" s="9" t="s">
        <v>507</v>
      </c>
      <c r="P62" s="9" t="s">
        <v>177</v>
      </c>
      <c r="Q62" s="9" t="s">
        <v>250</v>
      </c>
      <c r="R62" s="9" t="s">
        <v>333</v>
      </c>
      <c r="S62" s="9" t="s">
        <v>249</v>
      </c>
      <c r="T62" s="9" t="s">
        <v>249</v>
      </c>
      <c r="U62" s="9" t="s">
        <v>73</v>
      </c>
      <c r="V62" s="9" t="s">
        <v>249</v>
      </c>
      <c r="W62" s="9" t="s">
        <v>249</v>
      </c>
      <c r="X62" s="9" t="s">
        <v>249</v>
      </c>
      <c r="Y62" s="9" t="s">
        <v>73</v>
      </c>
      <c r="Z62" s="9">
        <v>2021</v>
      </c>
      <c r="AA62" s="9" t="s">
        <v>249</v>
      </c>
      <c r="AB62" s="9" t="str">
        <f>IFERROR(IF(VLOOKUP(D62,Revistas!$A$21:$C$400,3,FALSE)=0,"",VLOOKUP(D62,Revistas!$A$21:$C$400,3,FALSE)),"")</f>
        <v>medio</v>
      </c>
      <c r="AC62" s="9" t="s">
        <v>649</v>
      </c>
      <c r="AD62" s="9" t="s">
        <v>913</v>
      </c>
      <c r="AE62" s="9" t="s">
        <v>641</v>
      </c>
      <c r="AF62" s="6" t="s">
        <v>933</v>
      </c>
    </row>
    <row r="63" spans="1:32" x14ac:dyDescent="0.3">
      <c r="A63" s="7" t="s">
        <v>304</v>
      </c>
      <c r="B63" s="7">
        <v>451</v>
      </c>
      <c r="C63" s="7" t="s">
        <v>305</v>
      </c>
      <c r="D63" s="7" t="s">
        <v>306</v>
      </c>
      <c r="E63" s="7" t="s">
        <v>84</v>
      </c>
      <c r="F63" s="7" t="s">
        <v>60</v>
      </c>
      <c r="G63" s="7" t="s">
        <v>307</v>
      </c>
      <c r="H63" s="16" t="s">
        <v>62</v>
      </c>
      <c r="I63" s="9" t="s">
        <v>934</v>
      </c>
      <c r="J63" s="9" t="s">
        <v>64</v>
      </c>
      <c r="K63" s="9" t="s">
        <v>249</v>
      </c>
      <c r="L63" s="9" t="s">
        <v>66</v>
      </c>
      <c r="M63" s="9" t="s">
        <v>175</v>
      </c>
      <c r="N63" s="9" t="s">
        <v>248</v>
      </c>
      <c r="O63" s="9" t="s">
        <v>830</v>
      </c>
      <c r="P63" s="9" t="s">
        <v>177</v>
      </c>
      <c r="Q63" s="9" t="s">
        <v>249</v>
      </c>
      <c r="R63" s="9" t="s">
        <v>737</v>
      </c>
      <c r="S63" s="9" t="s">
        <v>249</v>
      </c>
      <c r="T63" s="9" t="s">
        <v>249</v>
      </c>
      <c r="U63" s="9" t="s">
        <v>73</v>
      </c>
      <c r="V63" s="9" t="s">
        <v>249</v>
      </c>
      <c r="W63" s="9" t="s">
        <v>249</v>
      </c>
      <c r="X63" s="9" t="s">
        <v>249</v>
      </c>
      <c r="Y63" s="9" t="s">
        <v>73</v>
      </c>
      <c r="Z63" s="9">
        <v>2022</v>
      </c>
      <c r="AA63" s="9" t="s">
        <v>249</v>
      </c>
      <c r="AB63" s="9" t="s">
        <v>617</v>
      </c>
      <c r="AC63" s="9" t="s">
        <v>249</v>
      </c>
      <c r="AD63" s="9" t="s">
        <v>929</v>
      </c>
      <c r="AE63" s="9" t="s">
        <v>629</v>
      </c>
    </row>
    <row r="64" spans="1:32" x14ac:dyDescent="0.3">
      <c r="A64" s="7" t="s">
        <v>308</v>
      </c>
      <c r="B64" s="7">
        <v>666</v>
      </c>
      <c r="C64" s="7" t="s">
        <v>309</v>
      </c>
      <c r="D64" s="7" t="s">
        <v>310</v>
      </c>
      <c r="E64" s="7" t="s">
        <v>285</v>
      </c>
      <c r="F64" s="7" t="s">
        <v>60</v>
      </c>
      <c r="G64" s="7" t="s">
        <v>311</v>
      </c>
      <c r="H64" s="16" t="s">
        <v>62</v>
      </c>
      <c r="I64" s="9" t="s">
        <v>935</v>
      </c>
      <c r="J64" s="9" t="s">
        <v>64</v>
      </c>
      <c r="K64" s="9" t="s">
        <v>249</v>
      </c>
      <c r="L64" s="9" t="s">
        <v>66</v>
      </c>
      <c r="M64" s="9" t="s">
        <v>175</v>
      </c>
      <c r="N64" s="9" t="s">
        <v>248</v>
      </c>
      <c r="O64" s="9" t="s">
        <v>249</v>
      </c>
      <c r="P64" s="9" t="s">
        <v>249</v>
      </c>
      <c r="Q64" s="9" t="s">
        <v>249</v>
      </c>
      <c r="R64" s="9" t="s">
        <v>737</v>
      </c>
      <c r="S64" s="9" t="s">
        <v>249</v>
      </c>
      <c r="T64" s="9" t="s">
        <v>249</v>
      </c>
      <c r="U64" s="9" t="s">
        <v>73</v>
      </c>
      <c r="V64" s="9" t="s">
        <v>249</v>
      </c>
      <c r="W64" s="9" t="s">
        <v>249</v>
      </c>
      <c r="X64" s="9" t="s">
        <v>249</v>
      </c>
      <c r="Y64" s="9" t="s">
        <v>73</v>
      </c>
      <c r="Z64" s="9">
        <v>2016</v>
      </c>
      <c r="AA64" s="9" t="s">
        <v>249</v>
      </c>
      <c r="AB64" s="9" t="s">
        <v>614</v>
      </c>
      <c r="AC64" s="9" t="s">
        <v>249</v>
      </c>
      <c r="AD64" s="9" t="s">
        <v>929</v>
      </c>
      <c r="AE64" s="9" t="s">
        <v>629</v>
      </c>
    </row>
    <row r="65" spans="1:32" x14ac:dyDescent="0.3">
      <c r="A65" s="7" t="s">
        <v>312</v>
      </c>
      <c r="B65" s="7">
        <v>890</v>
      </c>
      <c r="C65" s="7" t="s">
        <v>313</v>
      </c>
      <c r="D65" s="7" t="s">
        <v>314</v>
      </c>
      <c r="E65" s="7" t="s">
        <v>155</v>
      </c>
      <c r="F65" s="7" t="s">
        <v>128</v>
      </c>
      <c r="G65" s="7" t="s">
        <v>315</v>
      </c>
      <c r="H65" s="16" t="s">
        <v>62</v>
      </c>
      <c r="I65" s="9" t="s">
        <v>249</v>
      </c>
      <c r="J65" s="9" t="s">
        <v>64</v>
      </c>
      <c r="K65" s="9" t="s">
        <v>249</v>
      </c>
      <c r="L65" s="9" t="s">
        <v>66</v>
      </c>
      <c r="M65" s="9" t="s">
        <v>66</v>
      </c>
      <c r="N65" s="9" t="s">
        <v>248</v>
      </c>
      <c r="O65" s="9" t="s">
        <v>249</v>
      </c>
      <c r="P65" s="9" t="s">
        <v>249</v>
      </c>
      <c r="Q65" s="9" t="s">
        <v>249</v>
      </c>
      <c r="R65" s="9" t="s">
        <v>737</v>
      </c>
      <c r="S65" s="9" t="s">
        <v>249</v>
      </c>
      <c r="T65" s="9" t="s">
        <v>249</v>
      </c>
      <c r="U65" s="9" t="s">
        <v>73</v>
      </c>
      <c r="V65" s="9" t="s">
        <v>249</v>
      </c>
      <c r="W65" s="9" t="s">
        <v>249</v>
      </c>
      <c r="X65" s="9" t="s">
        <v>249</v>
      </c>
      <c r="Y65" s="9" t="s">
        <v>73</v>
      </c>
      <c r="Z65" s="9" t="s">
        <v>792</v>
      </c>
      <c r="AA65" s="9" t="s">
        <v>249</v>
      </c>
      <c r="AB65" s="9" t="s">
        <v>792</v>
      </c>
      <c r="AC65" s="9" t="s">
        <v>249</v>
      </c>
      <c r="AD65" s="9" t="s">
        <v>249</v>
      </c>
      <c r="AE65" s="9" t="s">
        <v>629</v>
      </c>
    </row>
    <row r="66" spans="1:32" x14ac:dyDescent="0.3">
      <c r="A66" s="7" t="s">
        <v>316</v>
      </c>
      <c r="B66" s="7">
        <v>2083</v>
      </c>
      <c r="C66" s="7" t="s">
        <v>317</v>
      </c>
      <c r="D66" s="7" t="s">
        <v>115</v>
      </c>
      <c r="E66" s="7" t="s">
        <v>79</v>
      </c>
      <c r="F66" s="7" t="s">
        <v>60</v>
      </c>
      <c r="G66" s="7" t="s">
        <v>318</v>
      </c>
      <c r="H66" s="8" t="s">
        <v>62</v>
      </c>
      <c r="I66" s="9" t="s">
        <v>936</v>
      </c>
      <c r="J66" s="9" t="s">
        <v>64</v>
      </c>
      <c r="K66" s="9" t="s">
        <v>733</v>
      </c>
      <c r="L66" s="9" t="s">
        <v>174</v>
      </c>
      <c r="M66" s="9" t="s">
        <v>175</v>
      </c>
      <c r="N66" s="9" t="s">
        <v>176</v>
      </c>
      <c r="O66" s="9" t="s">
        <v>342</v>
      </c>
      <c r="P66" s="9" t="s">
        <v>177</v>
      </c>
      <c r="Q66" s="9" t="s">
        <v>250</v>
      </c>
      <c r="R66" s="9" t="s">
        <v>72</v>
      </c>
      <c r="S66" s="9">
        <v>2</v>
      </c>
      <c r="T66" s="9">
        <v>2</v>
      </c>
      <c r="U66" s="9">
        <v>0</v>
      </c>
      <c r="V66" s="9">
        <v>2</v>
      </c>
      <c r="W66" s="9">
        <v>0</v>
      </c>
      <c r="X66" s="9" t="s">
        <v>249</v>
      </c>
      <c r="Y66" s="9" t="s">
        <v>73</v>
      </c>
      <c r="Z66" s="9">
        <v>2019</v>
      </c>
      <c r="AA66" s="9" t="s">
        <v>937</v>
      </c>
      <c r="AB66" s="9" t="str">
        <f>IFERROR(IF(VLOOKUP(D66,Revistas!$A$21:$C$400,3,FALSE)=0,"",VLOOKUP(D66,Revistas!$A$21:$C$400,3,FALSE)),"")</f>
        <v>medio</v>
      </c>
      <c r="AC66" s="9" t="s">
        <v>938</v>
      </c>
      <c r="AD66" s="9" t="s">
        <v>913</v>
      </c>
      <c r="AE66" s="9" t="s">
        <v>249</v>
      </c>
    </row>
    <row r="67" spans="1:32" x14ac:dyDescent="0.3">
      <c r="A67" s="7" t="s">
        <v>319</v>
      </c>
      <c r="B67" s="7">
        <v>2173</v>
      </c>
      <c r="C67" s="7" t="s">
        <v>320</v>
      </c>
      <c r="D67" s="7" t="s">
        <v>147</v>
      </c>
      <c r="E67" s="7" t="s">
        <v>111</v>
      </c>
      <c r="F67" s="7" t="s">
        <v>60</v>
      </c>
      <c r="G67" s="7" t="s">
        <v>321</v>
      </c>
      <c r="H67" s="8" t="s">
        <v>62</v>
      </c>
      <c r="I67" s="9" t="s">
        <v>939</v>
      </c>
      <c r="J67" s="9" t="s">
        <v>64</v>
      </c>
      <c r="K67" s="9" t="s">
        <v>249</v>
      </c>
      <c r="L67" s="9" t="s">
        <v>66</v>
      </c>
      <c r="M67" s="9" t="s">
        <v>66</v>
      </c>
      <c r="N67" s="9" t="s">
        <v>771</v>
      </c>
      <c r="O67" s="9" t="s">
        <v>249</v>
      </c>
      <c r="P67" s="9" t="s">
        <v>249</v>
      </c>
      <c r="Q67" s="9" t="s">
        <v>249</v>
      </c>
      <c r="R67" s="9" t="s">
        <v>737</v>
      </c>
      <c r="S67" s="9" t="s">
        <v>249</v>
      </c>
      <c r="T67" s="9" t="s">
        <v>249</v>
      </c>
      <c r="U67" s="9" t="s">
        <v>73</v>
      </c>
      <c r="V67" s="9" t="s">
        <v>249</v>
      </c>
      <c r="W67" s="9" t="s">
        <v>249</v>
      </c>
      <c r="X67" s="9" t="s">
        <v>249</v>
      </c>
      <c r="Y67" s="9" t="s">
        <v>73</v>
      </c>
      <c r="Z67" s="9">
        <v>2019</v>
      </c>
      <c r="AA67" s="9" t="s">
        <v>249</v>
      </c>
      <c r="AB67" s="9" t="s">
        <v>614</v>
      </c>
      <c r="AC67" s="9" t="s">
        <v>249</v>
      </c>
      <c r="AD67" s="9" t="s">
        <v>912</v>
      </c>
      <c r="AE67" s="9" t="s">
        <v>629</v>
      </c>
    </row>
    <row r="68" spans="1:32" x14ac:dyDescent="0.3">
      <c r="A68" s="7" t="s">
        <v>322</v>
      </c>
      <c r="B68" s="7">
        <v>3913</v>
      </c>
      <c r="C68" s="7" t="s">
        <v>323</v>
      </c>
      <c r="D68" s="7" t="s">
        <v>324</v>
      </c>
      <c r="E68" s="7" t="s">
        <v>106</v>
      </c>
      <c r="F68" s="7" t="s">
        <v>60</v>
      </c>
      <c r="G68" s="7" t="s">
        <v>325</v>
      </c>
      <c r="H68" s="8" t="s">
        <v>62</v>
      </c>
      <c r="I68" s="9" t="s">
        <v>940</v>
      </c>
      <c r="J68" s="9" t="s">
        <v>64</v>
      </c>
      <c r="K68" s="9" t="s">
        <v>249</v>
      </c>
      <c r="L68" s="9" t="s">
        <v>66</v>
      </c>
      <c r="M68" s="9" t="s">
        <v>66</v>
      </c>
      <c r="N68" s="9" t="s">
        <v>771</v>
      </c>
      <c r="O68" s="9" t="s">
        <v>249</v>
      </c>
      <c r="P68" s="9" t="s">
        <v>249</v>
      </c>
      <c r="Q68" s="9" t="s">
        <v>249</v>
      </c>
      <c r="R68" s="9" t="s">
        <v>737</v>
      </c>
      <c r="S68" s="9" t="s">
        <v>249</v>
      </c>
      <c r="T68" s="9" t="s">
        <v>249</v>
      </c>
      <c r="U68" s="9" t="s">
        <v>73</v>
      </c>
      <c r="V68" s="9" t="s">
        <v>249</v>
      </c>
      <c r="W68" s="9" t="s">
        <v>249</v>
      </c>
      <c r="X68" s="9" t="s">
        <v>249</v>
      </c>
      <c r="Y68" s="9" t="s">
        <v>73</v>
      </c>
      <c r="Z68" s="9">
        <v>2026</v>
      </c>
      <c r="AA68" s="9" t="s">
        <v>249</v>
      </c>
      <c r="AB68" s="9" t="s">
        <v>614</v>
      </c>
      <c r="AC68" s="9" t="s">
        <v>650</v>
      </c>
      <c r="AD68" s="9" t="s">
        <v>913</v>
      </c>
      <c r="AE68" s="9" t="s">
        <v>634</v>
      </c>
    </row>
    <row r="69" spans="1:32" x14ac:dyDescent="0.3">
      <c r="A69" s="7" t="s">
        <v>326</v>
      </c>
      <c r="B69" s="7">
        <v>1</v>
      </c>
      <c r="C69" s="7" t="s">
        <v>327</v>
      </c>
      <c r="D69" s="7" t="s">
        <v>328</v>
      </c>
      <c r="E69" s="7" t="s">
        <v>111</v>
      </c>
      <c r="F69" s="7" t="s">
        <v>60</v>
      </c>
      <c r="G69" s="7" t="s">
        <v>329</v>
      </c>
      <c r="H69" s="8" t="s">
        <v>62</v>
      </c>
      <c r="I69" s="9" t="s">
        <v>330</v>
      </c>
      <c r="J69" s="9" t="s">
        <v>64</v>
      </c>
      <c r="K69" s="9" t="s">
        <v>65</v>
      </c>
      <c r="L69" s="9" t="s">
        <v>254</v>
      </c>
      <c r="M69" s="9" t="s">
        <v>175</v>
      </c>
      <c r="N69" s="9" t="s">
        <v>248</v>
      </c>
      <c r="O69" s="9" t="s">
        <v>331</v>
      </c>
      <c r="P69" s="9" t="s">
        <v>177</v>
      </c>
      <c r="Q69" s="9" t="s">
        <v>332</v>
      </c>
      <c r="R69" s="9" t="s">
        <v>333</v>
      </c>
      <c r="S69" s="9">
        <v>1</v>
      </c>
      <c r="T69" s="9">
        <v>1</v>
      </c>
      <c r="U69" s="9">
        <v>0</v>
      </c>
      <c r="V69" s="9">
        <v>1</v>
      </c>
      <c r="W69" s="9">
        <v>0</v>
      </c>
      <c r="X69" s="9" t="s">
        <v>73</v>
      </c>
      <c r="Y69" s="9" t="s">
        <v>73</v>
      </c>
      <c r="Z69" s="9">
        <v>2021</v>
      </c>
      <c r="AA69" s="9" t="s">
        <v>334</v>
      </c>
      <c r="AB69" s="9" t="str">
        <f>IFERROR(IF(VLOOKUP(D69,Revistas!$A$21:$C$400,3,FALSE)=0,"",VLOOKUP(D69,Revistas!$A$21:$C$400,3,FALSE)),"")</f>
        <v>medio</v>
      </c>
      <c r="AC69" s="9" t="s">
        <v>335</v>
      </c>
      <c r="AD69" s="9" t="s">
        <v>336</v>
      </c>
      <c r="AE69" s="9" t="s">
        <v>337</v>
      </c>
    </row>
    <row r="70" spans="1:32" x14ac:dyDescent="0.3">
      <c r="A70" s="7" t="s">
        <v>338</v>
      </c>
      <c r="B70" s="7">
        <v>2</v>
      </c>
      <c r="C70" s="7" t="s">
        <v>339</v>
      </c>
      <c r="D70" s="7" t="s">
        <v>328</v>
      </c>
      <c r="E70" s="7" t="s">
        <v>89</v>
      </c>
      <c r="F70" s="7" t="s">
        <v>60</v>
      </c>
      <c r="G70" s="7" t="s">
        <v>340</v>
      </c>
      <c r="H70" s="8" t="s">
        <v>62</v>
      </c>
      <c r="I70" s="9" t="s">
        <v>341</v>
      </c>
      <c r="J70" s="9" t="s">
        <v>64</v>
      </c>
      <c r="K70" s="9" t="s">
        <v>65</v>
      </c>
      <c r="L70" s="9" t="s">
        <v>174</v>
      </c>
      <c r="M70" s="9" t="s">
        <v>175</v>
      </c>
      <c r="N70" s="9" t="s">
        <v>248</v>
      </c>
      <c r="O70" s="9" t="s">
        <v>342</v>
      </c>
      <c r="P70" s="9" t="s">
        <v>177</v>
      </c>
      <c r="Q70" s="9" t="s">
        <v>332</v>
      </c>
      <c r="R70" s="9" t="s">
        <v>72</v>
      </c>
      <c r="S70" s="9">
        <v>1</v>
      </c>
      <c r="T70" s="9">
        <v>0</v>
      </c>
      <c r="U70" s="9">
        <v>0</v>
      </c>
      <c r="V70" s="9">
        <v>0</v>
      </c>
      <c r="W70" s="9">
        <v>0</v>
      </c>
      <c r="X70" s="9" t="s">
        <v>73</v>
      </c>
      <c r="Y70" s="9" t="s">
        <v>73</v>
      </c>
      <c r="Z70" s="9">
        <v>2023</v>
      </c>
      <c r="AA70" s="9" t="s">
        <v>343</v>
      </c>
      <c r="AB70" s="9" t="str">
        <f>IFERROR(IF(VLOOKUP(D70,Revistas!$A$21:$C$400,3,FALSE)=0,"",VLOOKUP(D70,Revistas!$A$21:$C$400,3,FALSE)),"")</f>
        <v>medio</v>
      </c>
      <c r="AC70" s="9" t="s">
        <v>344</v>
      </c>
      <c r="AD70" s="9" t="s">
        <v>336</v>
      </c>
      <c r="AE70" s="9" t="s">
        <v>73</v>
      </c>
    </row>
    <row r="71" spans="1:32" x14ac:dyDescent="0.3">
      <c r="A71" s="7" t="s">
        <v>345</v>
      </c>
      <c r="B71" s="7">
        <v>6</v>
      </c>
      <c r="C71" s="7" t="s">
        <v>346</v>
      </c>
      <c r="D71" s="7" t="s">
        <v>115</v>
      </c>
      <c r="E71" s="7" t="s">
        <v>143</v>
      </c>
      <c r="F71" s="7" t="s">
        <v>60</v>
      </c>
      <c r="G71" s="7" t="s">
        <v>347</v>
      </c>
      <c r="H71" s="8" t="s">
        <v>62</v>
      </c>
      <c r="I71" s="9" t="s">
        <v>348</v>
      </c>
      <c r="J71" s="9" t="s">
        <v>64</v>
      </c>
      <c r="K71" s="9" t="s">
        <v>65</v>
      </c>
      <c r="L71" s="9" t="s">
        <v>258</v>
      </c>
      <c r="M71" s="9" t="s">
        <v>175</v>
      </c>
      <c r="N71" s="9" t="s">
        <v>176</v>
      </c>
      <c r="O71" s="9" t="s">
        <v>255</v>
      </c>
      <c r="P71" s="9" t="s">
        <v>177</v>
      </c>
      <c r="Q71" s="9" t="s">
        <v>332</v>
      </c>
      <c r="R71" s="9" t="s">
        <v>72</v>
      </c>
      <c r="S71" s="9">
        <v>1</v>
      </c>
      <c r="T71" s="9">
        <v>1</v>
      </c>
      <c r="U71" s="9">
        <v>0</v>
      </c>
      <c r="V71" s="9">
        <v>1</v>
      </c>
      <c r="W71" s="9">
        <v>0</v>
      </c>
      <c r="X71" s="9" t="s">
        <v>349</v>
      </c>
      <c r="Y71" s="9" t="s">
        <v>73</v>
      </c>
      <c r="Z71" s="9">
        <v>2024</v>
      </c>
      <c r="AA71" s="9" t="s">
        <v>350</v>
      </c>
      <c r="AB71" s="9" t="str">
        <f>IFERROR(IF(VLOOKUP(D71,Revistas!$A$21:$C$400,3,FALSE)=0,"",VLOOKUP(D71,Revistas!$A$21:$C$400,3,FALSE)),"")</f>
        <v>medio</v>
      </c>
      <c r="AC71" s="9" t="s">
        <v>351</v>
      </c>
      <c r="AD71" s="9" t="s">
        <v>352</v>
      </c>
      <c r="AE71" s="9" t="s">
        <v>73</v>
      </c>
    </row>
    <row r="72" spans="1:32" x14ac:dyDescent="0.3">
      <c r="A72" s="7" t="s">
        <v>353</v>
      </c>
      <c r="B72" s="7">
        <v>9</v>
      </c>
      <c r="C72" s="7" t="s">
        <v>354</v>
      </c>
      <c r="D72" s="7" t="s">
        <v>355</v>
      </c>
      <c r="E72" s="7" t="s">
        <v>111</v>
      </c>
      <c r="F72" s="7" t="s">
        <v>60</v>
      </c>
      <c r="G72" s="7" t="s">
        <v>356</v>
      </c>
      <c r="H72" s="8" t="s">
        <v>62</v>
      </c>
      <c r="I72" s="9" t="s">
        <v>357</v>
      </c>
      <c r="J72" s="9" t="s">
        <v>64</v>
      </c>
      <c r="K72" s="9" t="s">
        <v>249</v>
      </c>
      <c r="L72" s="9" t="s">
        <v>66</v>
      </c>
      <c r="M72" s="9" t="s">
        <v>66</v>
      </c>
      <c r="N72" s="9" t="s">
        <v>68</v>
      </c>
      <c r="O72" s="9" t="s">
        <v>249</v>
      </c>
      <c r="P72" s="9" t="s">
        <v>249</v>
      </c>
      <c r="Q72" s="9" t="s">
        <v>332</v>
      </c>
      <c r="R72" s="9" t="s">
        <v>72</v>
      </c>
      <c r="S72" s="9">
        <v>1</v>
      </c>
      <c r="T72" s="9">
        <v>1</v>
      </c>
      <c r="U72" s="9">
        <v>0</v>
      </c>
      <c r="V72" s="9">
        <v>1</v>
      </c>
      <c r="W72" s="9">
        <v>0</v>
      </c>
      <c r="X72" s="9" t="s">
        <v>73</v>
      </c>
      <c r="Y72" s="9" t="s">
        <v>73</v>
      </c>
      <c r="Z72" s="9">
        <v>2021</v>
      </c>
      <c r="AA72" s="9" t="s">
        <v>358</v>
      </c>
      <c r="AB72" s="9" t="str">
        <f>IFERROR(IF(VLOOKUP(D72,Revistas!$A$21:$C$400,3,FALSE)=0,"",VLOOKUP(D72,Revistas!$A$21:$C$400,3,FALSE)),"")</f>
        <v/>
      </c>
      <c r="AC72" s="9" t="s">
        <v>74</v>
      </c>
      <c r="AD72" s="9" t="s">
        <v>359</v>
      </c>
      <c r="AE72" s="9" t="s">
        <v>360</v>
      </c>
    </row>
    <row r="73" spans="1:32" x14ac:dyDescent="0.3">
      <c r="A73" s="7" t="s">
        <v>361</v>
      </c>
      <c r="B73" s="7">
        <v>10</v>
      </c>
      <c r="C73" s="7" t="s">
        <v>362</v>
      </c>
      <c r="D73" s="7" t="s">
        <v>58</v>
      </c>
      <c r="E73" s="7" t="s">
        <v>84</v>
      </c>
      <c r="F73" s="7" t="s">
        <v>60</v>
      </c>
      <c r="G73" s="7" t="s">
        <v>363</v>
      </c>
      <c r="H73" s="8" t="s">
        <v>62</v>
      </c>
      <c r="I73" s="9" t="s">
        <v>364</v>
      </c>
      <c r="J73" s="9" t="s">
        <v>64</v>
      </c>
      <c r="K73" s="9" t="s">
        <v>65</v>
      </c>
      <c r="L73" s="9" t="s">
        <v>181</v>
      </c>
      <c r="M73" s="9" t="s">
        <v>175</v>
      </c>
      <c r="N73" s="9" t="s">
        <v>248</v>
      </c>
      <c r="O73" s="9" t="s">
        <v>331</v>
      </c>
      <c r="P73" s="9" t="s">
        <v>177</v>
      </c>
      <c r="Q73" s="9" t="s">
        <v>332</v>
      </c>
      <c r="R73" s="9" t="s">
        <v>72</v>
      </c>
      <c r="S73" s="9">
        <v>1</v>
      </c>
      <c r="T73" s="9">
        <v>1</v>
      </c>
      <c r="U73" s="9">
        <v>0</v>
      </c>
      <c r="V73" s="9">
        <v>1</v>
      </c>
      <c r="W73" s="9">
        <v>0</v>
      </c>
      <c r="X73" s="9" t="s">
        <v>73</v>
      </c>
      <c r="Y73" s="9" t="s">
        <v>73</v>
      </c>
      <c r="Z73" s="9">
        <v>2022</v>
      </c>
      <c r="AA73" s="9" t="s">
        <v>365</v>
      </c>
      <c r="AB73" s="9" t="str">
        <f>IFERROR(IF(VLOOKUP(D73,Revistas!$A$21:$C$400,3,FALSE)=0,"",VLOOKUP(D73,Revistas!$A$21:$C$400,3,FALSE)),"")</f>
        <v/>
      </c>
      <c r="AC73" s="9" t="s">
        <v>335</v>
      </c>
      <c r="AD73" s="9" t="s">
        <v>75</v>
      </c>
      <c r="AE73" s="9" t="s">
        <v>73</v>
      </c>
    </row>
    <row r="74" spans="1:32" x14ac:dyDescent="0.3">
      <c r="A74" s="7" t="s">
        <v>366</v>
      </c>
      <c r="B74" s="7">
        <v>14</v>
      </c>
      <c r="C74" s="7" t="s">
        <v>367</v>
      </c>
      <c r="D74" s="7" t="s">
        <v>368</v>
      </c>
      <c r="E74" s="7" t="s">
        <v>59</v>
      </c>
      <c r="F74" s="7" t="s">
        <v>60</v>
      </c>
      <c r="G74" s="7" t="s">
        <v>369</v>
      </c>
      <c r="H74" s="8" t="s">
        <v>62</v>
      </c>
      <c r="I74" s="9" t="s">
        <v>370</v>
      </c>
      <c r="J74" s="9" t="s">
        <v>64</v>
      </c>
      <c r="K74" s="9" t="s">
        <v>65</v>
      </c>
      <c r="L74" s="9" t="s">
        <v>174</v>
      </c>
      <c r="M74" s="9" t="s">
        <v>175</v>
      </c>
      <c r="N74" s="9" t="s">
        <v>248</v>
      </c>
      <c r="O74" s="9" t="s">
        <v>69</v>
      </c>
      <c r="P74" s="9" t="s">
        <v>177</v>
      </c>
      <c r="Q74" s="9" t="s">
        <v>332</v>
      </c>
      <c r="R74" s="9" t="s">
        <v>72</v>
      </c>
      <c r="S74" s="9">
        <v>1</v>
      </c>
      <c r="T74" s="9">
        <v>1</v>
      </c>
      <c r="U74" s="9">
        <v>0</v>
      </c>
      <c r="V74" s="9">
        <v>1</v>
      </c>
      <c r="W74" s="9">
        <v>0</v>
      </c>
      <c r="X74" s="9" t="s">
        <v>73</v>
      </c>
      <c r="Y74" s="9" t="s">
        <v>73</v>
      </c>
      <c r="Z74" s="9">
        <v>2025</v>
      </c>
      <c r="AA74" s="9" t="s">
        <v>371</v>
      </c>
      <c r="AB74" s="9" t="str">
        <f>IFERROR(IF(VLOOKUP(D74,Revistas!$A$21:$C$400,3,FALSE)=0,"",VLOOKUP(D74,Revistas!$A$21:$C$400,3,FALSE)),"")</f>
        <v>alto</v>
      </c>
      <c r="AC74" s="9" t="s">
        <v>372</v>
      </c>
      <c r="AD74" s="9" t="s">
        <v>75</v>
      </c>
      <c r="AE74" s="9" t="s">
        <v>73</v>
      </c>
    </row>
    <row r="75" spans="1:32" x14ac:dyDescent="0.3">
      <c r="A75" s="7" t="s">
        <v>373</v>
      </c>
      <c r="B75" s="7">
        <v>15</v>
      </c>
      <c r="C75" s="7" t="s">
        <v>374</v>
      </c>
      <c r="D75" s="7" t="s">
        <v>375</v>
      </c>
      <c r="E75" s="7" t="s">
        <v>106</v>
      </c>
      <c r="F75" s="7" t="s">
        <v>60</v>
      </c>
      <c r="G75" s="7" t="s">
        <v>376</v>
      </c>
      <c r="H75" s="8" t="s">
        <v>62</v>
      </c>
      <c r="I75" s="9" t="s">
        <v>377</v>
      </c>
      <c r="J75" s="9" t="s">
        <v>64</v>
      </c>
      <c r="K75" s="9" t="s">
        <v>65</v>
      </c>
      <c r="L75" s="9" t="s">
        <v>174</v>
      </c>
      <c r="M75" s="9" t="s">
        <v>175</v>
      </c>
      <c r="N75" s="9" t="s">
        <v>248</v>
      </c>
      <c r="O75" s="9" t="s">
        <v>249</v>
      </c>
      <c r="P75" s="9" t="s">
        <v>70</v>
      </c>
      <c r="Q75" s="9" t="s">
        <v>332</v>
      </c>
      <c r="R75" s="9" t="s">
        <v>333</v>
      </c>
      <c r="S75" s="9">
        <v>1</v>
      </c>
      <c r="T75" s="9">
        <v>1</v>
      </c>
      <c r="U75" s="9">
        <v>0</v>
      </c>
      <c r="V75" s="9">
        <v>0</v>
      </c>
      <c r="W75" s="9">
        <v>0</v>
      </c>
      <c r="X75" s="9" t="s">
        <v>73</v>
      </c>
      <c r="Y75" s="9" t="s">
        <v>73</v>
      </c>
      <c r="Z75" s="9">
        <v>2026</v>
      </c>
      <c r="AA75" s="9" t="s">
        <v>378</v>
      </c>
      <c r="AB75" s="9" t="str">
        <f>IFERROR(IF(VLOOKUP(D75,Revistas!$A$21:$C$400,3,FALSE)=0,"",VLOOKUP(D75,Revistas!$A$21:$C$400,3,FALSE)),"")</f>
        <v>alto</v>
      </c>
      <c r="AC75" s="9" t="s">
        <v>379</v>
      </c>
      <c r="AD75" s="9" t="s">
        <v>380</v>
      </c>
      <c r="AE75" s="9" t="s">
        <v>381</v>
      </c>
    </row>
    <row r="76" spans="1:32" x14ac:dyDescent="0.3">
      <c r="A76" s="7" t="s">
        <v>382</v>
      </c>
      <c r="B76" s="7">
        <v>23</v>
      </c>
      <c r="C76" s="7" t="s">
        <v>383</v>
      </c>
      <c r="D76" s="7" t="s">
        <v>384</v>
      </c>
      <c r="E76" s="7" t="s">
        <v>84</v>
      </c>
      <c r="F76" s="7" t="s">
        <v>60</v>
      </c>
      <c r="G76" s="7" t="s">
        <v>385</v>
      </c>
      <c r="H76" s="8" t="s">
        <v>62</v>
      </c>
      <c r="I76" s="9" t="s">
        <v>386</v>
      </c>
      <c r="J76" s="9" t="s">
        <v>64</v>
      </c>
      <c r="K76" s="9" t="s">
        <v>65</v>
      </c>
      <c r="L76" s="9" t="s">
        <v>174</v>
      </c>
      <c r="M76" s="9" t="s">
        <v>175</v>
      </c>
      <c r="N76" s="9" t="s">
        <v>248</v>
      </c>
      <c r="O76" s="9" t="s">
        <v>69</v>
      </c>
      <c r="P76" s="9" t="s">
        <v>177</v>
      </c>
      <c r="Q76" s="9" t="s">
        <v>332</v>
      </c>
      <c r="R76" s="9" t="s">
        <v>333</v>
      </c>
      <c r="S76" s="9">
        <v>1</v>
      </c>
      <c r="T76" s="9">
        <v>1</v>
      </c>
      <c r="U76" s="9">
        <v>0</v>
      </c>
      <c r="V76" s="9">
        <v>1</v>
      </c>
      <c r="W76" s="9">
        <v>0</v>
      </c>
      <c r="X76" s="9" t="s">
        <v>73</v>
      </c>
      <c r="Y76" s="9" t="s">
        <v>73</v>
      </c>
      <c r="Z76" s="9">
        <v>2022</v>
      </c>
      <c r="AA76" s="9" t="s">
        <v>849</v>
      </c>
      <c r="AB76" s="9" t="str">
        <f>IFERROR(IF(VLOOKUP(D76,Revistas!$A$21:$C$400,3,FALSE)=0,"",VLOOKUP(D76,Revistas!$A$21:$C$400,3,FALSE)),"")</f>
        <v>medio</v>
      </c>
      <c r="AC76" s="9" t="s">
        <v>372</v>
      </c>
      <c r="AD76" s="9" t="s">
        <v>380</v>
      </c>
      <c r="AE76" s="9" t="s">
        <v>249</v>
      </c>
    </row>
    <row r="77" spans="1:32" x14ac:dyDescent="0.3">
      <c r="A77" s="7" t="s">
        <v>387</v>
      </c>
      <c r="B77" s="7">
        <v>25</v>
      </c>
      <c r="C77" s="7" t="s">
        <v>388</v>
      </c>
      <c r="D77" s="7" t="s">
        <v>328</v>
      </c>
      <c r="E77" s="7" t="s">
        <v>84</v>
      </c>
      <c r="F77" s="7" t="s">
        <v>60</v>
      </c>
      <c r="G77" s="7" t="s">
        <v>389</v>
      </c>
      <c r="H77" s="8" t="s">
        <v>62</v>
      </c>
      <c r="I77" s="9" t="s">
        <v>816</v>
      </c>
      <c r="J77" s="9" t="s">
        <v>64</v>
      </c>
      <c r="K77" s="9" t="s">
        <v>65</v>
      </c>
      <c r="L77" s="9" t="s">
        <v>174</v>
      </c>
      <c r="M77" s="9" t="s">
        <v>175</v>
      </c>
      <c r="N77" s="9" t="s">
        <v>775</v>
      </c>
      <c r="O77" s="9" t="s">
        <v>707</v>
      </c>
      <c r="P77" s="9" t="s">
        <v>177</v>
      </c>
      <c r="Q77" s="9" t="s">
        <v>250</v>
      </c>
      <c r="R77" s="9" t="s">
        <v>72</v>
      </c>
      <c r="S77" s="9">
        <v>1</v>
      </c>
      <c r="T77" s="9">
        <v>0</v>
      </c>
      <c r="U77" s="9">
        <v>0</v>
      </c>
      <c r="V77" s="9">
        <v>0</v>
      </c>
      <c r="W77" s="9">
        <v>0</v>
      </c>
      <c r="X77" s="9" t="s">
        <v>249</v>
      </c>
      <c r="Y77" s="9">
        <v>0</v>
      </c>
      <c r="Z77" s="9">
        <v>2022</v>
      </c>
      <c r="AA77" s="9" t="s">
        <v>831</v>
      </c>
      <c r="AB77" s="9" t="str">
        <f>IFERROR(IF(VLOOKUP(D77,Revistas!$A$21:$C$400,3,FALSE)=0,"",VLOOKUP(D77,Revistas!$A$21:$C$400,3,FALSE)),"")</f>
        <v>medio</v>
      </c>
      <c r="AC77" s="9" t="s">
        <v>647</v>
      </c>
      <c r="AD77" s="9" t="s">
        <v>789</v>
      </c>
      <c r="AE77" s="9" t="s">
        <v>634</v>
      </c>
    </row>
    <row r="78" spans="1:32" x14ac:dyDescent="0.3">
      <c r="A78" s="7" t="s">
        <v>390</v>
      </c>
      <c r="B78" s="7">
        <v>29</v>
      </c>
      <c r="C78" s="7" t="s">
        <v>391</v>
      </c>
      <c r="D78" s="7" t="s">
        <v>392</v>
      </c>
      <c r="E78" s="7" t="s">
        <v>59</v>
      </c>
      <c r="F78" s="7" t="s">
        <v>60</v>
      </c>
      <c r="G78" s="7" t="s">
        <v>393</v>
      </c>
      <c r="H78" s="8" t="s">
        <v>62</v>
      </c>
      <c r="I78" s="9" t="s">
        <v>817</v>
      </c>
      <c r="J78" s="9" t="s">
        <v>64</v>
      </c>
      <c r="K78" s="9" t="s">
        <v>733</v>
      </c>
      <c r="L78" s="9" t="s">
        <v>174</v>
      </c>
      <c r="M78" s="9" t="s">
        <v>175</v>
      </c>
      <c r="N78" s="9" t="s">
        <v>176</v>
      </c>
      <c r="O78" s="9" t="s">
        <v>342</v>
      </c>
      <c r="P78" s="9" t="s">
        <v>249</v>
      </c>
      <c r="Q78" s="9" t="s">
        <v>250</v>
      </c>
      <c r="R78" s="9" t="s">
        <v>72</v>
      </c>
      <c r="S78" s="9">
        <v>1</v>
      </c>
      <c r="T78" s="9">
        <v>1</v>
      </c>
      <c r="U78" s="9">
        <v>0</v>
      </c>
      <c r="V78" s="9">
        <v>1</v>
      </c>
      <c r="W78" s="9">
        <v>0</v>
      </c>
      <c r="X78" s="9" t="s">
        <v>249</v>
      </c>
      <c r="Y78" s="9">
        <v>0</v>
      </c>
      <c r="Z78" s="9">
        <v>2025</v>
      </c>
      <c r="AA78" s="9" t="s">
        <v>832</v>
      </c>
      <c r="AB78" s="9" t="s">
        <v>617</v>
      </c>
      <c r="AC78" s="9" t="s">
        <v>74</v>
      </c>
      <c r="AD78" s="9" t="s">
        <v>789</v>
      </c>
      <c r="AE78" s="9" t="s">
        <v>634</v>
      </c>
    </row>
    <row r="79" spans="1:32" x14ac:dyDescent="0.3">
      <c r="A79" s="7" t="s">
        <v>394</v>
      </c>
      <c r="B79" s="7">
        <v>36</v>
      </c>
      <c r="C79" s="7" t="s">
        <v>395</v>
      </c>
      <c r="D79" s="7" t="s">
        <v>58</v>
      </c>
      <c r="E79" s="7" t="s">
        <v>59</v>
      </c>
      <c r="F79" s="7" t="s">
        <v>60</v>
      </c>
      <c r="G79" s="7" t="s">
        <v>396</v>
      </c>
      <c r="H79" s="8" t="s">
        <v>62</v>
      </c>
      <c r="I79" s="9" t="s">
        <v>818</v>
      </c>
      <c r="J79" s="9" t="s">
        <v>64</v>
      </c>
      <c r="K79" s="9" t="s">
        <v>65</v>
      </c>
      <c r="L79" s="9" t="s">
        <v>174</v>
      </c>
      <c r="M79" s="9" t="s">
        <v>175</v>
      </c>
      <c r="N79" s="9" t="s">
        <v>248</v>
      </c>
      <c r="O79" s="9" t="s">
        <v>342</v>
      </c>
      <c r="P79" s="9" t="s">
        <v>177</v>
      </c>
      <c r="Q79" s="9" t="s">
        <v>342</v>
      </c>
      <c r="R79" s="9" t="s">
        <v>72</v>
      </c>
      <c r="S79" s="9" t="s">
        <v>249</v>
      </c>
      <c r="T79" s="9">
        <v>0</v>
      </c>
      <c r="U79" s="9">
        <v>0</v>
      </c>
      <c r="V79" s="9">
        <v>0</v>
      </c>
      <c r="W79" s="9" t="s">
        <v>249</v>
      </c>
      <c r="X79" s="9" t="s">
        <v>249</v>
      </c>
      <c r="Y79" s="9" t="s">
        <v>249</v>
      </c>
      <c r="Z79" s="9">
        <v>2025</v>
      </c>
      <c r="AA79" s="9" t="s">
        <v>833</v>
      </c>
      <c r="AB79" s="9" t="s">
        <v>617</v>
      </c>
      <c r="AC79" s="9" t="s">
        <v>627</v>
      </c>
      <c r="AD79" s="9" t="s">
        <v>789</v>
      </c>
      <c r="AE79" s="9" t="s">
        <v>641</v>
      </c>
      <c r="AF79" s="6" t="s">
        <v>848</v>
      </c>
    </row>
    <row r="80" spans="1:32" x14ac:dyDescent="0.3">
      <c r="A80" s="7" t="s">
        <v>397</v>
      </c>
      <c r="B80" s="7">
        <v>60</v>
      </c>
      <c r="C80" s="7" t="s">
        <v>398</v>
      </c>
      <c r="D80" s="7" t="s">
        <v>375</v>
      </c>
      <c r="E80" s="7" t="s">
        <v>89</v>
      </c>
      <c r="F80" s="7" t="s">
        <v>60</v>
      </c>
      <c r="G80" s="7" t="s">
        <v>399</v>
      </c>
      <c r="H80" s="8" t="s">
        <v>62</v>
      </c>
      <c r="I80" s="9" t="s">
        <v>819</v>
      </c>
      <c r="J80" s="9" t="s">
        <v>64</v>
      </c>
      <c r="K80" s="9" t="s">
        <v>65</v>
      </c>
      <c r="L80" s="9" t="s">
        <v>174</v>
      </c>
      <c r="M80" s="9" t="s">
        <v>175</v>
      </c>
      <c r="N80" s="9" t="s">
        <v>176</v>
      </c>
      <c r="O80" s="9" t="s">
        <v>69</v>
      </c>
      <c r="P80" s="9" t="s">
        <v>177</v>
      </c>
      <c r="Q80" s="9" t="s">
        <v>250</v>
      </c>
      <c r="R80" s="9" t="s">
        <v>72</v>
      </c>
      <c r="S80" s="9">
        <v>1</v>
      </c>
      <c r="T80" s="9">
        <v>1</v>
      </c>
      <c r="U80" s="9">
        <v>0</v>
      </c>
      <c r="V80" s="9">
        <v>0</v>
      </c>
      <c r="W80" s="9">
        <v>0</v>
      </c>
      <c r="X80" s="9" t="s">
        <v>249</v>
      </c>
      <c r="Y80" s="9">
        <v>0</v>
      </c>
      <c r="Z80" s="9">
        <v>2023</v>
      </c>
      <c r="AA80" s="9" t="s">
        <v>834</v>
      </c>
      <c r="AB80" s="9" t="str">
        <f>IFERROR(IF(VLOOKUP(D80,Revistas!$A$21:$C$400,3,FALSE)=0,"",VLOOKUP(D80,Revistas!$A$21:$C$400,3,FALSE)),"")</f>
        <v>alto</v>
      </c>
      <c r="AC80" s="9" t="s">
        <v>653</v>
      </c>
      <c r="AD80" s="9" t="s">
        <v>789</v>
      </c>
      <c r="AE80" s="9" t="s">
        <v>634</v>
      </c>
    </row>
    <row r="81" spans="1:32" x14ac:dyDescent="0.3">
      <c r="A81" s="7" t="s">
        <v>400</v>
      </c>
      <c r="B81" s="7">
        <v>67</v>
      </c>
      <c r="C81" s="7" t="s">
        <v>401</v>
      </c>
      <c r="D81" s="7" t="s">
        <v>402</v>
      </c>
      <c r="E81" s="7" t="s">
        <v>106</v>
      </c>
      <c r="F81" s="7" t="s">
        <v>60</v>
      </c>
      <c r="G81" s="7" t="s">
        <v>403</v>
      </c>
      <c r="H81" s="8" t="s">
        <v>62</v>
      </c>
      <c r="I81" s="9" t="s">
        <v>820</v>
      </c>
      <c r="J81" s="9" t="s">
        <v>64</v>
      </c>
      <c r="K81" s="9" t="s">
        <v>65</v>
      </c>
      <c r="L81" s="9" t="s">
        <v>258</v>
      </c>
      <c r="M81" s="9" t="s">
        <v>175</v>
      </c>
      <c r="N81" s="9" t="s">
        <v>176</v>
      </c>
      <c r="O81" s="9" t="s">
        <v>255</v>
      </c>
      <c r="P81" s="9" t="s">
        <v>177</v>
      </c>
      <c r="Q81" s="9" t="s">
        <v>250</v>
      </c>
      <c r="R81" s="9" t="s">
        <v>72</v>
      </c>
      <c r="S81" s="9">
        <v>1</v>
      </c>
      <c r="T81" s="9">
        <v>1</v>
      </c>
      <c r="U81" s="9">
        <v>0</v>
      </c>
      <c r="V81" s="9">
        <v>1</v>
      </c>
      <c r="W81" s="9">
        <v>0</v>
      </c>
      <c r="X81" s="9" t="s">
        <v>249</v>
      </c>
      <c r="Y81" s="9">
        <v>0</v>
      </c>
      <c r="Z81" s="9">
        <v>2025</v>
      </c>
      <c r="AA81" s="9" t="s">
        <v>835</v>
      </c>
      <c r="AB81" s="9" t="str">
        <f>IFERROR(IF(VLOOKUP(D81,Revistas!$A$21:$C$400,3,FALSE)=0,"",VLOOKUP(D81,Revistas!$A$21:$C$400,3,FALSE)),"")</f>
        <v>medio</v>
      </c>
      <c r="AC81" s="9" t="s">
        <v>74</v>
      </c>
      <c r="AD81" s="9" t="s">
        <v>789</v>
      </c>
      <c r="AE81" s="9" t="s">
        <v>634</v>
      </c>
    </row>
    <row r="82" spans="1:32" x14ac:dyDescent="0.3">
      <c r="A82" s="7" t="s">
        <v>404</v>
      </c>
      <c r="B82" s="7">
        <v>88</v>
      </c>
      <c r="C82" s="7" t="s">
        <v>405</v>
      </c>
      <c r="D82" s="7" t="s">
        <v>406</v>
      </c>
      <c r="E82" s="7" t="s">
        <v>106</v>
      </c>
      <c r="F82" s="7" t="s">
        <v>60</v>
      </c>
      <c r="G82" s="7" t="s">
        <v>407</v>
      </c>
      <c r="H82" s="8" t="s">
        <v>62</v>
      </c>
      <c r="I82" s="9" t="s">
        <v>821</v>
      </c>
      <c r="J82" s="9" t="s">
        <v>64</v>
      </c>
      <c r="K82" s="9" t="s">
        <v>65</v>
      </c>
      <c r="L82" s="9" t="s">
        <v>181</v>
      </c>
      <c r="M82" s="9" t="s">
        <v>175</v>
      </c>
      <c r="N82" s="9" t="s">
        <v>176</v>
      </c>
      <c r="O82" s="9" t="s">
        <v>255</v>
      </c>
      <c r="P82" s="9" t="s">
        <v>177</v>
      </c>
      <c r="Q82" s="9" t="s">
        <v>250</v>
      </c>
      <c r="R82" s="9" t="s">
        <v>72</v>
      </c>
      <c r="S82" s="9">
        <v>1</v>
      </c>
      <c r="T82" s="9">
        <v>0</v>
      </c>
      <c r="U82" s="9">
        <v>0</v>
      </c>
      <c r="V82" s="9">
        <v>0</v>
      </c>
      <c r="W82" s="9">
        <v>1</v>
      </c>
      <c r="X82" s="9" t="s">
        <v>249</v>
      </c>
      <c r="Y82" s="9">
        <v>0</v>
      </c>
      <c r="Z82" s="9">
        <v>2026</v>
      </c>
      <c r="AA82" s="9" t="s">
        <v>836</v>
      </c>
      <c r="AB82" s="9" t="s">
        <v>614</v>
      </c>
      <c r="AC82" s="9" t="s">
        <v>643</v>
      </c>
      <c r="AD82" s="9" t="s">
        <v>789</v>
      </c>
      <c r="AE82" s="9" t="s">
        <v>634</v>
      </c>
    </row>
    <row r="83" spans="1:32" x14ac:dyDescent="0.3">
      <c r="A83" s="7" t="s">
        <v>408</v>
      </c>
      <c r="B83" s="7">
        <v>99</v>
      </c>
      <c r="C83" s="7" t="s">
        <v>409</v>
      </c>
      <c r="D83" s="7" t="s">
        <v>410</v>
      </c>
      <c r="E83" s="7" t="s">
        <v>89</v>
      </c>
      <c r="F83" s="7" t="s">
        <v>60</v>
      </c>
      <c r="G83" s="7" t="s">
        <v>411</v>
      </c>
      <c r="H83" s="8" t="s">
        <v>62</v>
      </c>
      <c r="I83" s="9" t="s">
        <v>822</v>
      </c>
      <c r="J83" s="9" t="s">
        <v>64</v>
      </c>
      <c r="K83" s="9" t="s">
        <v>65</v>
      </c>
      <c r="L83" s="9" t="s">
        <v>258</v>
      </c>
      <c r="M83" s="9" t="s">
        <v>175</v>
      </c>
      <c r="N83" s="9" t="s">
        <v>176</v>
      </c>
      <c r="O83" s="9" t="s">
        <v>342</v>
      </c>
      <c r="P83" s="9" t="s">
        <v>177</v>
      </c>
      <c r="Q83" s="9" t="s">
        <v>250</v>
      </c>
      <c r="R83" s="9" t="s">
        <v>72</v>
      </c>
      <c r="S83" s="9">
        <v>1</v>
      </c>
      <c r="T83" s="9">
        <v>0</v>
      </c>
      <c r="U83" s="9">
        <v>0</v>
      </c>
      <c r="V83" s="9">
        <v>0</v>
      </c>
      <c r="W83" s="9">
        <v>1</v>
      </c>
      <c r="X83" s="9" t="s">
        <v>249</v>
      </c>
      <c r="Y83" s="9">
        <v>0</v>
      </c>
      <c r="Z83" s="9">
        <v>2023</v>
      </c>
      <c r="AA83" s="9" t="s">
        <v>837</v>
      </c>
      <c r="AB83" s="9" t="str">
        <f>IFERROR(IF(VLOOKUP(D83,Revistas!$A$21:$C$400,3,FALSE)=0,"",VLOOKUP(D83,Revistas!$A$21:$C$400,3,FALSE)),"")</f>
        <v>medio</v>
      </c>
      <c r="AC83" s="9" t="s">
        <v>845</v>
      </c>
      <c r="AD83" s="9" t="s">
        <v>789</v>
      </c>
      <c r="AE83" s="9" t="s">
        <v>634</v>
      </c>
    </row>
    <row r="84" spans="1:32" x14ac:dyDescent="0.3">
      <c r="A84" s="7" t="s">
        <v>412</v>
      </c>
      <c r="B84" s="7">
        <v>104</v>
      </c>
      <c r="C84" s="7" t="s">
        <v>413</v>
      </c>
      <c r="D84" s="7" t="s">
        <v>368</v>
      </c>
      <c r="E84" s="7" t="s">
        <v>143</v>
      </c>
      <c r="F84" s="7" t="s">
        <v>60</v>
      </c>
      <c r="G84" s="7" t="s">
        <v>414</v>
      </c>
      <c r="H84" s="8" t="s">
        <v>62</v>
      </c>
      <c r="I84" s="9" t="s">
        <v>823</v>
      </c>
      <c r="J84" s="9" t="s">
        <v>64</v>
      </c>
      <c r="K84" s="9" t="s">
        <v>65</v>
      </c>
      <c r="L84" s="9" t="s">
        <v>66</v>
      </c>
      <c r="M84" s="9" t="s">
        <v>66</v>
      </c>
      <c r="N84" s="9" t="s">
        <v>248</v>
      </c>
      <c r="O84" s="9" t="s">
        <v>249</v>
      </c>
      <c r="P84" s="9" t="s">
        <v>249</v>
      </c>
      <c r="Q84" s="9" t="s">
        <v>249</v>
      </c>
      <c r="R84" s="9" t="s">
        <v>72</v>
      </c>
      <c r="S84" s="9" t="s">
        <v>249</v>
      </c>
      <c r="T84" s="9">
        <v>0</v>
      </c>
      <c r="U84" s="9">
        <v>0</v>
      </c>
      <c r="V84" s="9">
        <v>0</v>
      </c>
      <c r="W84" s="9" t="s">
        <v>249</v>
      </c>
      <c r="X84" s="9" t="s">
        <v>249</v>
      </c>
      <c r="Y84" s="9" t="s">
        <v>249</v>
      </c>
      <c r="Z84" s="9">
        <v>2025</v>
      </c>
      <c r="AA84" s="9" t="s">
        <v>249</v>
      </c>
      <c r="AB84" s="9" t="str">
        <f>IFERROR(IF(VLOOKUP(D84,Revistas!$A$21:$C$400,3,FALSE)=0,"",VLOOKUP(D84,Revistas!$A$21:$C$400,3,FALSE)),"")</f>
        <v>alto</v>
      </c>
      <c r="AC84" s="9" t="s">
        <v>74</v>
      </c>
      <c r="AD84" s="9" t="s">
        <v>789</v>
      </c>
      <c r="AE84" s="9" t="s">
        <v>634</v>
      </c>
    </row>
    <row r="85" spans="1:32" x14ac:dyDescent="0.3">
      <c r="A85" s="7" t="s">
        <v>415</v>
      </c>
      <c r="B85" s="7">
        <v>121</v>
      </c>
      <c r="C85" s="7" t="s">
        <v>416</v>
      </c>
      <c r="D85" s="7" t="s">
        <v>417</v>
      </c>
      <c r="E85" s="7" t="s">
        <v>285</v>
      </c>
      <c r="F85" s="7" t="s">
        <v>60</v>
      </c>
      <c r="G85" s="7" t="s">
        <v>418</v>
      </c>
      <c r="H85" s="8" t="s">
        <v>62</v>
      </c>
      <c r="I85" s="9" t="s">
        <v>824</v>
      </c>
      <c r="J85" s="9" t="s">
        <v>64</v>
      </c>
      <c r="K85" s="9" t="s">
        <v>65</v>
      </c>
      <c r="L85" s="9" t="s">
        <v>66</v>
      </c>
      <c r="M85" s="9" t="s">
        <v>175</v>
      </c>
      <c r="N85" s="9" t="s">
        <v>248</v>
      </c>
      <c r="O85" s="9" t="s">
        <v>255</v>
      </c>
      <c r="P85" s="9" t="s">
        <v>70</v>
      </c>
      <c r="Q85" s="9" t="s">
        <v>250</v>
      </c>
      <c r="R85" s="9" t="s">
        <v>72</v>
      </c>
      <c r="S85" s="9">
        <v>1</v>
      </c>
      <c r="T85" s="9">
        <v>1</v>
      </c>
      <c r="U85" s="9">
        <v>0</v>
      </c>
      <c r="V85" s="9">
        <v>1</v>
      </c>
      <c r="W85" s="9">
        <v>0</v>
      </c>
      <c r="X85" s="9" t="s">
        <v>249</v>
      </c>
      <c r="Y85" s="9">
        <v>0</v>
      </c>
      <c r="Z85" s="9">
        <v>2017</v>
      </c>
      <c r="AA85" s="9" t="s">
        <v>838</v>
      </c>
      <c r="AB85" s="9" t="str">
        <f>IFERROR(IF(VLOOKUP(D85,Revistas!$A$21:$C$400,3,FALSE)=0,"",VLOOKUP(D85,Revistas!$A$21:$C$400,3,FALSE)),"")</f>
        <v>alto</v>
      </c>
      <c r="AC85" s="9" t="s">
        <v>630</v>
      </c>
      <c r="AD85" s="9" t="s">
        <v>789</v>
      </c>
      <c r="AE85" s="9" t="s">
        <v>634</v>
      </c>
    </row>
    <row r="86" spans="1:32" x14ac:dyDescent="0.3">
      <c r="A86" s="7" t="s">
        <v>419</v>
      </c>
      <c r="B86" s="7">
        <v>122</v>
      </c>
      <c r="C86" s="7" t="s">
        <v>420</v>
      </c>
      <c r="D86" s="7" t="s">
        <v>207</v>
      </c>
      <c r="E86" s="7" t="s">
        <v>79</v>
      </c>
      <c r="F86" s="7" t="s">
        <v>60</v>
      </c>
      <c r="G86" s="7" t="s">
        <v>421</v>
      </c>
      <c r="H86" s="8" t="s">
        <v>62</v>
      </c>
      <c r="I86" s="9" t="s">
        <v>699</v>
      </c>
      <c r="J86" s="9" t="s">
        <v>64</v>
      </c>
      <c r="K86" s="9" t="s">
        <v>65</v>
      </c>
      <c r="L86" s="9" t="s">
        <v>174</v>
      </c>
      <c r="M86" s="9" t="s">
        <v>175</v>
      </c>
      <c r="N86" s="9" t="s">
        <v>248</v>
      </c>
      <c r="O86" s="9" t="s">
        <v>707</v>
      </c>
      <c r="P86" s="9" t="s">
        <v>177</v>
      </c>
      <c r="Q86" s="9" t="s">
        <v>250</v>
      </c>
      <c r="R86" s="9" t="s">
        <v>72</v>
      </c>
      <c r="S86" s="9">
        <v>1</v>
      </c>
      <c r="T86" s="9">
        <v>1</v>
      </c>
      <c r="U86" s="9">
        <v>0</v>
      </c>
      <c r="V86" s="9">
        <v>1</v>
      </c>
      <c r="W86" s="9">
        <v>0</v>
      </c>
      <c r="X86" s="9" t="s">
        <v>249</v>
      </c>
      <c r="Y86" s="9">
        <v>0</v>
      </c>
      <c r="Z86" s="9">
        <v>2020</v>
      </c>
      <c r="AA86" s="9" t="s">
        <v>839</v>
      </c>
      <c r="AB86" s="9" t="str">
        <f>IFERROR(IF(VLOOKUP(D86,Revistas!$A$21:$C$400,3,FALSE)=0,"",VLOOKUP(D86,Revistas!$A$21:$C$400,3,FALSE)),"")</f>
        <v>medio</v>
      </c>
      <c r="AC86" s="9" t="s">
        <v>627</v>
      </c>
      <c r="AD86" s="9" t="s">
        <v>789</v>
      </c>
      <c r="AE86" s="9" t="s">
        <v>634</v>
      </c>
    </row>
    <row r="87" spans="1:32" x14ac:dyDescent="0.3">
      <c r="A87" s="7" t="s">
        <v>422</v>
      </c>
      <c r="B87" s="7">
        <v>125</v>
      </c>
      <c r="C87" s="7" t="s">
        <v>423</v>
      </c>
      <c r="D87" s="7" t="s">
        <v>273</v>
      </c>
      <c r="E87" s="7" t="s">
        <v>89</v>
      </c>
      <c r="F87" s="7" t="s">
        <v>60</v>
      </c>
      <c r="G87" s="7" t="s">
        <v>424</v>
      </c>
      <c r="H87" s="8" t="s">
        <v>62</v>
      </c>
      <c r="I87" s="9" t="s">
        <v>825</v>
      </c>
      <c r="J87" s="9" t="s">
        <v>64</v>
      </c>
      <c r="K87" s="9" t="s">
        <v>65</v>
      </c>
      <c r="L87" s="9" t="s">
        <v>174</v>
      </c>
      <c r="M87" s="9" t="s">
        <v>175</v>
      </c>
      <c r="N87" s="9" t="s">
        <v>248</v>
      </c>
      <c r="O87" s="9" t="s">
        <v>707</v>
      </c>
      <c r="P87" s="9" t="s">
        <v>177</v>
      </c>
      <c r="Q87" s="9" t="s">
        <v>250</v>
      </c>
      <c r="R87" s="9" t="s">
        <v>72</v>
      </c>
      <c r="S87" s="9">
        <v>1</v>
      </c>
      <c r="T87" s="9">
        <v>1</v>
      </c>
      <c r="U87" s="9">
        <v>0</v>
      </c>
      <c r="V87" s="9">
        <v>1</v>
      </c>
      <c r="W87" s="9">
        <v>0</v>
      </c>
      <c r="X87" s="9" t="s">
        <v>249</v>
      </c>
      <c r="Y87" s="9">
        <v>0</v>
      </c>
      <c r="Z87" s="9">
        <v>2023</v>
      </c>
      <c r="AA87" s="9" t="s">
        <v>840</v>
      </c>
      <c r="AB87" s="9" t="str">
        <f>IFERROR(IF(VLOOKUP(D87,Revistas!$A$21:$C$400,3,FALSE)=0,"",VLOOKUP(D87,Revistas!$A$21:$C$400,3,FALSE)),"")</f>
        <v>medio</v>
      </c>
      <c r="AC87" s="9" t="s">
        <v>846</v>
      </c>
      <c r="AD87" s="9" t="s">
        <v>789</v>
      </c>
      <c r="AE87" s="9" t="s">
        <v>634</v>
      </c>
    </row>
    <row r="88" spans="1:32" x14ac:dyDescent="0.3">
      <c r="A88" s="7" t="s">
        <v>425</v>
      </c>
      <c r="B88" s="7">
        <v>131</v>
      </c>
      <c r="C88" s="7" t="s">
        <v>426</v>
      </c>
      <c r="D88" s="7" t="s">
        <v>427</v>
      </c>
      <c r="E88" s="7" t="s">
        <v>143</v>
      </c>
      <c r="F88" s="7" t="s">
        <v>60</v>
      </c>
      <c r="G88" s="7" t="s">
        <v>428</v>
      </c>
      <c r="H88" s="8" t="s">
        <v>62</v>
      </c>
      <c r="I88" s="9" t="s">
        <v>826</v>
      </c>
      <c r="J88" s="9" t="s">
        <v>64</v>
      </c>
      <c r="K88" s="9" t="s">
        <v>733</v>
      </c>
      <c r="L88" s="9" t="s">
        <v>174</v>
      </c>
      <c r="M88" s="9" t="s">
        <v>175</v>
      </c>
      <c r="N88" s="9" t="s">
        <v>248</v>
      </c>
      <c r="O88" s="9" t="s">
        <v>707</v>
      </c>
      <c r="P88" s="9" t="s">
        <v>177</v>
      </c>
      <c r="Q88" s="9" t="s">
        <v>250</v>
      </c>
      <c r="R88" s="9" t="s">
        <v>72</v>
      </c>
      <c r="S88" s="9">
        <v>1</v>
      </c>
      <c r="T88" s="9">
        <v>1</v>
      </c>
      <c r="U88" s="9">
        <v>0</v>
      </c>
      <c r="V88" s="9">
        <v>1</v>
      </c>
      <c r="W88" s="9">
        <v>0</v>
      </c>
      <c r="X88" s="9" t="s">
        <v>249</v>
      </c>
      <c r="Y88" s="9">
        <v>0</v>
      </c>
      <c r="Z88" s="9">
        <v>2024</v>
      </c>
      <c r="AA88" s="9" t="s">
        <v>841</v>
      </c>
      <c r="AB88" s="9" t="str">
        <f>IFERROR(IF(VLOOKUP(D88,Revistas!$A$21:$C$400,3,FALSE)=0,"",VLOOKUP(D88,Revistas!$A$21:$C$400,3,FALSE)),"")</f>
        <v>medio</v>
      </c>
      <c r="AC88" s="9" t="s">
        <v>627</v>
      </c>
      <c r="AD88" s="9" t="s">
        <v>789</v>
      </c>
      <c r="AE88" s="9" t="s">
        <v>634</v>
      </c>
    </row>
    <row r="89" spans="1:32" x14ac:dyDescent="0.3">
      <c r="A89" s="7" t="s">
        <v>429</v>
      </c>
      <c r="B89" s="7">
        <v>135</v>
      </c>
      <c r="C89" s="7" t="s">
        <v>430</v>
      </c>
      <c r="D89" s="7" t="s">
        <v>200</v>
      </c>
      <c r="E89" s="7" t="s">
        <v>143</v>
      </c>
      <c r="F89" s="7" t="s">
        <v>60</v>
      </c>
      <c r="G89" s="7" t="s">
        <v>431</v>
      </c>
      <c r="H89" s="8" t="s">
        <v>62</v>
      </c>
      <c r="I89" s="9" t="s">
        <v>827</v>
      </c>
      <c r="J89" s="9" t="s">
        <v>64</v>
      </c>
      <c r="K89" s="9" t="s">
        <v>65</v>
      </c>
      <c r="L89" s="9" t="s">
        <v>66</v>
      </c>
      <c r="M89" s="9" t="s">
        <v>175</v>
      </c>
      <c r="N89" s="9" t="s">
        <v>248</v>
      </c>
      <c r="O89" s="9" t="s">
        <v>255</v>
      </c>
      <c r="P89" s="9" t="s">
        <v>177</v>
      </c>
      <c r="Q89" s="9" t="s">
        <v>250</v>
      </c>
      <c r="R89" s="9" t="s">
        <v>72</v>
      </c>
      <c r="S89" s="9">
        <v>1</v>
      </c>
      <c r="T89" s="9">
        <v>1</v>
      </c>
      <c r="U89" s="9">
        <v>0</v>
      </c>
      <c r="V89" s="9">
        <v>1</v>
      </c>
      <c r="W89" s="9">
        <v>0</v>
      </c>
      <c r="X89" s="9" t="s">
        <v>249</v>
      </c>
      <c r="Y89" s="9">
        <v>0</v>
      </c>
      <c r="Z89" s="9">
        <v>2024</v>
      </c>
      <c r="AA89" s="9" t="s">
        <v>842</v>
      </c>
      <c r="AB89" s="9" t="s">
        <v>614</v>
      </c>
      <c r="AC89" s="9" t="s">
        <v>847</v>
      </c>
      <c r="AD89" s="9" t="s">
        <v>789</v>
      </c>
      <c r="AE89" s="9" t="s">
        <v>634</v>
      </c>
    </row>
    <row r="90" spans="1:32" x14ac:dyDescent="0.3">
      <c r="A90" s="7" t="s">
        <v>432</v>
      </c>
      <c r="B90" s="7">
        <v>141</v>
      </c>
      <c r="C90" s="7" t="s">
        <v>433</v>
      </c>
      <c r="D90" s="7" t="s">
        <v>115</v>
      </c>
      <c r="E90" s="7" t="s">
        <v>59</v>
      </c>
      <c r="F90" s="7" t="s">
        <v>60</v>
      </c>
      <c r="G90" s="7" t="s">
        <v>434</v>
      </c>
      <c r="H90" s="8" t="s">
        <v>62</v>
      </c>
      <c r="I90" s="9" t="s">
        <v>828</v>
      </c>
      <c r="J90" s="9" t="s">
        <v>64</v>
      </c>
      <c r="K90" s="9" t="s">
        <v>65</v>
      </c>
      <c r="L90" s="9" t="s">
        <v>66</v>
      </c>
      <c r="M90" s="9" t="s">
        <v>175</v>
      </c>
      <c r="N90" s="9" t="s">
        <v>248</v>
      </c>
      <c r="O90" s="9" t="s">
        <v>342</v>
      </c>
      <c r="P90" s="9" t="s">
        <v>177</v>
      </c>
      <c r="Q90" s="9" t="s">
        <v>250</v>
      </c>
      <c r="R90" s="9" t="s">
        <v>72</v>
      </c>
      <c r="S90" s="9">
        <v>1</v>
      </c>
      <c r="T90" s="9">
        <v>1</v>
      </c>
      <c r="U90" s="9">
        <v>0</v>
      </c>
      <c r="V90" s="9">
        <v>1</v>
      </c>
      <c r="W90" s="9">
        <v>0</v>
      </c>
      <c r="X90" s="9" t="s">
        <v>249</v>
      </c>
      <c r="Y90" s="9">
        <v>0</v>
      </c>
      <c r="Z90" s="9">
        <v>2025</v>
      </c>
      <c r="AA90" s="9" t="s">
        <v>843</v>
      </c>
      <c r="AB90" s="9" t="str">
        <f>IFERROR(IF(VLOOKUP(D90,Revistas!$A$21:$C$400,3,FALSE)=0,"",VLOOKUP(D90,Revistas!$A$21:$C$400,3,FALSE)),"")</f>
        <v>medio</v>
      </c>
      <c r="AC90" s="9" t="s">
        <v>845</v>
      </c>
      <c r="AD90" s="9" t="s">
        <v>789</v>
      </c>
      <c r="AE90" s="9" t="s">
        <v>634</v>
      </c>
    </row>
    <row r="91" spans="1:32" x14ac:dyDescent="0.3">
      <c r="A91" s="7" t="s">
        <v>435</v>
      </c>
      <c r="B91" s="7">
        <v>142</v>
      </c>
      <c r="C91" s="7" t="s">
        <v>436</v>
      </c>
      <c r="D91" s="7" t="s">
        <v>402</v>
      </c>
      <c r="E91" s="7" t="s">
        <v>59</v>
      </c>
      <c r="F91" s="7" t="s">
        <v>60</v>
      </c>
      <c r="G91" s="7" t="s">
        <v>437</v>
      </c>
      <c r="H91" s="8" t="s">
        <v>62</v>
      </c>
      <c r="I91" s="9" t="s">
        <v>829</v>
      </c>
      <c r="J91" s="9" t="s">
        <v>64</v>
      </c>
      <c r="K91" s="9" t="s">
        <v>65</v>
      </c>
      <c r="L91" s="9" t="s">
        <v>174</v>
      </c>
      <c r="M91" s="9" t="s">
        <v>175</v>
      </c>
      <c r="N91" s="9" t="s">
        <v>248</v>
      </c>
      <c r="O91" s="9" t="s">
        <v>69</v>
      </c>
      <c r="P91" s="9" t="s">
        <v>177</v>
      </c>
      <c r="Q91" s="9" t="s">
        <v>250</v>
      </c>
      <c r="R91" s="9" t="s">
        <v>72</v>
      </c>
      <c r="S91" s="9">
        <v>1</v>
      </c>
      <c r="T91" s="9">
        <v>1</v>
      </c>
      <c r="U91" s="9">
        <v>0</v>
      </c>
      <c r="V91" s="9">
        <v>0</v>
      </c>
      <c r="W91" s="9">
        <v>0</v>
      </c>
      <c r="X91" s="9" t="s">
        <v>249</v>
      </c>
      <c r="Y91" s="9">
        <v>0</v>
      </c>
      <c r="Z91" s="9">
        <v>2025</v>
      </c>
      <c r="AA91" s="9" t="s">
        <v>844</v>
      </c>
      <c r="AB91" s="9" t="str">
        <f>IFERROR(IF(VLOOKUP(D91,Revistas!$A$21:$C$400,3,FALSE)=0,"",VLOOKUP(D91,Revistas!$A$21:$C$400,3,FALSE)),"")</f>
        <v>medio</v>
      </c>
      <c r="AC91" s="9" t="s">
        <v>344</v>
      </c>
      <c r="AD91" s="9" t="s">
        <v>789</v>
      </c>
      <c r="AE91" s="9" t="s">
        <v>634</v>
      </c>
    </row>
    <row r="92" spans="1:32" x14ac:dyDescent="0.3">
      <c r="A92" s="10" t="s">
        <v>438</v>
      </c>
      <c r="B92" s="7">
        <v>169</v>
      </c>
      <c r="C92" s="7" t="s">
        <v>439</v>
      </c>
      <c r="D92" s="7" t="s">
        <v>58</v>
      </c>
      <c r="E92" s="7" t="s">
        <v>84</v>
      </c>
      <c r="F92" s="7" t="s">
        <v>60</v>
      </c>
      <c r="G92" s="7" t="s">
        <v>440</v>
      </c>
      <c r="H92" s="8" t="s">
        <v>62</v>
      </c>
      <c r="I92" s="9" t="s">
        <v>850</v>
      </c>
      <c r="J92" s="9" t="s">
        <v>64</v>
      </c>
      <c r="K92" s="9" t="s">
        <v>65</v>
      </c>
      <c r="L92" s="9" t="s">
        <v>258</v>
      </c>
      <c r="M92" s="9" t="s">
        <v>175</v>
      </c>
      <c r="N92" s="9" t="s">
        <v>176</v>
      </c>
      <c r="O92" s="9" t="s">
        <v>255</v>
      </c>
      <c r="P92" s="9" t="s">
        <v>177</v>
      </c>
      <c r="Q92" s="9" t="s">
        <v>332</v>
      </c>
      <c r="R92" s="9" t="s">
        <v>72</v>
      </c>
      <c r="S92" s="9">
        <v>1</v>
      </c>
      <c r="T92" s="9">
        <v>1</v>
      </c>
      <c r="U92" s="9">
        <v>0</v>
      </c>
      <c r="V92" s="9">
        <v>1</v>
      </c>
      <c r="W92" s="9">
        <v>0</v>
      </c>
      <c r="X92" s="9" t="s">
        <v>249</v>
      </c>
      <c r="Y92" s="9" t="s">
        <v>249</v>
      </c>
      <c r="Z92" s="11">
        <v>2022</v>
      </c>
      <c r="AA92" s="9" t="s">
        <v>866</v>
      </c>
      <c r="AB92" s="9" t="s">
        <v>614</v>
      </c>
      <c r="AC92" s="9" t="s">
        <v>630</v>
      </c>
      <c r="AD92" s="9" t="s">
        <v>789</v>
      </c>
      <c r="AE92" s="9" t="s">
        <v>249</v>
      </c>
    </row>
    <row r="93" spans="1:32" x14ac:dyDescent="0.3">
      <c r="A93" s="7" t="s">
        <v>441</v>
      </c>
      <c r="B93" s="7">
        <v>359</v>
      </c>
      <c r="C93" s="7" t="s">
        <v>442</v>
      </c>
      <c r="D93" s="7" t="s">
        <v>443</v>
      </c>
      <c r="E93" s="7" t="s">
        <v>89</v>
      </c>
      <c r="F93" s="7" t="s">
        <v>60</v>
      </c>
      <c r="G93" s="7" t="s">
        <v>444</v>
      </c>
      <c r="H93" s="8" t="s">
        <v>62</v>
      </c>
      <c r="I93" s="9" t="s">
        <v>851</v>
      </c>
      <c r="J93" s="9" t="s">
        <v>64</v>
      </c>
      <c r="K93" s="9" t="s">
        <v>65</v>
      </c>
      <c r="L93" s="9" t="s">
        <v>174</v>
      </c>
      <c r="M93" s="9" t="s">
        <v>175</v>
      </c>
      <c r="N93" s="9" t="s">
        <v>248</v>
      </c>
      <c r="O93" s="9" t="s">
        <v>69</v>
      </c>
      <c r="P93" s="9" t="s">
        <v>70</v>
      </c>
      <c r="Q93" s="9" t="s">
        <v>332</v>
      </c>
      <c r="R93" s="9" t="s">
        <v>72</v>
      </c>
      <c r="S93" s="9">
        <v>1</v>
      </c>
      <c r="T93" s="9">
        <v>0</v>
      </c>
      <c r="U93" s="9">
        <v>1</v>
      </c>
      <c r="V93" s="9">
        <v>0</v>
      </c>
      <c r="W93" s="9">
        <v>0</v>
      </c>
      <c r="X93" s="9" t="s">
        <v>249</v>
      </c>
      <c r="Y93" s="9" t="s">
        <v>249</v>
      </c>
      <c r="Z93" s="11">
        <v>2023</v>
      </c>
      <c r="AA93" s="9" t="s">
        <v>867</v>
      </c>
      <c r="AB93" s="9" t="str">
        <f>IFERROR(IF(VLOOKUP(D93,Revistas!$A$21:$C$400,3,FALSE)=0,"",VLOOKUP(D93,Revistas!$A$21:$C$400,3,FALSE)),"")</f>
        <v>medio</v>
      </c>
      <c r="AC93" s="9" t="s">
        <v>372</v>
      </c>
      <c r="AD93" s="9" t="s">
        <v>789</v>
      </c>
      <c r="AE93" s="9" t="s">
        <v>639</v>
      </c>
    </row>
    <row r="94" spans="1:32" x14ac:dyDescent="0.3">
      <c r="A94" s="7" t="s">
        <v>445</v>
      </c>
      <c r="B94" s="7">
        <v>373</v>
      </c>
      <c r="C94" s="7" t="s">
        <v>446</v>
      </c>
      <c r="D94" s="7" t="s">
        <v>447</v>
      </c>
      <c r="E94" s="7" t="s">
        <v>143</v>
      </c>
      <c r="F94" s="7" t="s">
        <v>60</v>
      </c>
      <c r="G94" s="7" t="s">
        <v>448</v>
      </c>
      <c r="H94" s="8" t="s">
        <v>62</v>
      </c>
      <c r="I94" s="9" t="s">
        <v>852</v>
      </c>
      <c r="J94" s="9" t="s">
        <v>64</v>
      </c>
      <c r="K94" s="9" t="s">
        <v>733</v>
      </c>
      <c r="L94" s="9" t="s">
        <v>66</v>
      </c>
      <c r="M94" s="9" t="s">
        <v>175</v>
      </c>
      <c r="N94" s="9" t="s">
        <v>248</v>
      </c>
      <c r="O94" s="9" t="s">
        <v>255</v>
      </c>
      <c r="P94" s="9" t="s">
        <v>177</v>
      </c>
      <c r="Q94" s="9" t="s">
        <v>332</v>
      </c>
      <c r="R94" s="9" t="s">
        <v>72</v>
      </c>
      <c r="S94" s="9">
        <v>1</v>
      </c>
      <c r="T94" s="9">
        <v>1</v>
      </c>
      <c r="U94" s="9">
        <v>0</v>
      </c>
      <c r="V94" s="9">
        <v>1</v>
      </c>
      <c r="W94" s="9">
        <v>0</v>
      </c>
      <c r="X94" s="9" t="s">
        <v>249</v>
      </c>
      <c r="Y94" s="9" t="s">
        <v>249</v>
      </c>
      <c r="Z94" s="11">
        <v>2024</v>
      </c>
      <c r="AA94" s="9" t="s">
        <v>868</v>
      </c>
      <c r="AB94" s="9" t="s">
        <v>614</v>
      </c>
      <c r="AC94" s="9" t="s">
        <v>630</v>
      </c>
      <c r="AD94" s="9" t="s">
        <v>789</v>
      </c>
      <c r="AE94" s="9" t="s">
        <v>631</v>
      </c>
    </row>
    <row r="95" spans="1:32" x14ac:dyDescent="0.3">
      <c r="A95" s="7" t="s">
        <v>449</v>
      </c>
      <c r="B95" s="7">
        <v>414</v>
      </c>
      <c r="C95" s="7" t="s">
        <v>450</v>
      </c>
      <c r="D95" s="7" t="s">
        <v>451</v>
      </c>
      <c r="E95" s="7" t="s">
        <v>106</v>
      </c>
      <c r="F95" s="7" t="s">
        <v>60</v>
      </c>
      <c r="G95" s="7" t="s">
        <v>452</v>
      </c>
      <c r="H95" s="8" t="s">
        <v>62</v>
      </c>
      <c r="I95" s="9" t="s">
        <v>853</v>
      </c>
      <c r="J95" s="9" t="s">
        <v>64</v>
      </c>
      <c r="K95" s="9" t="s">
        <v>65</v>
      </c>
      <c r="L95" s="9" t="s">
        <v>258</v>
      </c>
      <c r="M95" s="9" t="s">
        <v>175</v>
      </c>
      <c r="N95" s="9" t="s">
        <v>176</v>
      </c>
      <c r="O95" s="9" t="s">
        <v>342</v>
      </c>
      <c r="P95" s="9" t="s">
        <v>70</v>
      </c>
      <c r="Q95" s="9" t="s">
        <v>342</v>
      </c>
      <c r="R95" s="9" t="s">
        <v>72</v>
      </c>
      <c r="S95" s="9" t="s">
        <v>249</v>
      </c>
      <c r="T95" s="9" t="s">
        <v>249</v>
      </c>
      <c r="U95" s="9" t="s">
        <v>249</v>
      </c>
      <c r="V95" s="9" t="s">
        <v>249</v>
      </c>
      <c r="W95" s="9" t="s">
        <v>249</v>
      </c>
      <c r="X95" s="9" t="s">
        <v>249</v>
      </c>
      <c r="Y95" s="9" t="s">
        <v>249</v>
      </c>
      <c r="Z95" s="11">
        <v>2026</v>
      </c>
      <c r="AA95" s="9" t="s">
        <v>869</v>
      </c>
      <c r="AB95" s="9" t="s">
        <v>614</v>
      </c>
      <c r="AC95" s="9" t="s">
        <v>74</v>
      </c>
      <c r="AD95" s="9" t="s">
        <v>789</v>
      </c>
      <c r="AE95" s="9" t="s">
        <v>641</v>
      </c>
      <c r="AF95" s="6" t="s">
        <v>848</v>
      </c>
    </row>
    <row r="96" spans="1:32" x14ac:dyDescent="0.3">
      <c r="A96" s="7" t="s">
        <v>453</v>
      </c>
      <c r="B96" s="7">
        <v>418</v>
      </c>
      <c r="C96" s="7" t="s">
        <v>454</v>
      </c>
      <c r="D96" s="7" t="s">
        <v>58</v>
      </c>
      <c r="E96" s="7" t="s">
        <v>106</v>
      </c>
      <c r="F96" s="7" t="s">
        <v>60</v>
      </c>
      <c r="G96" s="7" t="s">
        <v>455</v>
      </c>
      <c r="H96" s="8" t="s">
        <v>62</v>
      </c>
      <c r="I96" s="9" t="s">
        <v>854</v>
      </c>
      <c r="J96" s="9" t="s">
        <v>64</v>
      </c>
      <c r="K96" s="9" t="s">
        <v>65</v>
      </c>
      <c r="L96" s="9" t="s">
        <v>254</v>
      </c>
      <c r="M96" s="9" t="s">
        <v>175</v>
      </c>
      <c r="N96" s="9" t="s">
        <v>248</v>
      </c>
      <c r="O96" s="9" t="s">
        <v>342</v>
      </c>
      <c r="P96" s="9" t="s">
        <v>177</v>
      </c>
      <c r="Q96" s="9" t="s">
        <v>332</v>
      </c>
      <c r="R96" s="9" t="s">
        <v>737</v>
      </c>
      <c r="S96" s="9">
        <v>1</v>
      </c>
      <c r="T96" s="9">
        <v>1</v>
      </c>
      <c r="U96" s="9">
        <v>0</v>
      </c>
      <c r="V96" s="9">
        <v>0</v>
      </c>
      <c r="W96" s="9">
        <v>0</v>
      </c>
      <c r="X96" s="9" t="s">
        <v>249</v>
      </c>
      <c r="Y96" s="9" t="s">
        <v>249</v>
      </c>
      <c r="Z96" s="11">
        <v>2026</v>
      </c>
      <c r="AA96" s="9" t="s">
        <v>870</v>
      </c>
      <c r="AB96" s="9" t="s">
        <v>614</v>
      </c>
      <c r="AC96" s="9" t="s">
        <v>652</v>
      </c>
      <c r="AD96" s="9" t="s">
        <v>789</v>
      </c>
      <c r="AE96" s="9" t="s">
        <v>639</v>
      </c>
    </row>
    <row r="97" spans="1:33" x14ac:dyDescent="0.3">
      <c r="A97" s="7" t="s">
        <v>456</v>
      </c>
      <c r="B97" s="7">
        <v>436</v>
      </c>
      <c r="C97" s="7" t="s">
        <v>457</v>
      </c>
      <c r="D97" s="7" t="s">
        <v>458</v>
      </c>
      <c r="E97" s="7" t="s">
        <v>111</v>
      </c>
      <c r="F97" s="7" t="s">
        <v>60</v>
      </c>
      <c r="G97" s="7" t="s">
        <v>459</v>
      </c>
      <c r="H97" s="8" t="s">
        <v>62</v>
      </c>
      <c r="I97" s="9" t="s">
        <v>855</v>
      </c>
      <c r="J97" s="9" t="s">
        <v>64</v>
      </c>
      <c r="K97" s="9" t="s">
        <v>65</v>
      </c>
      <c r="L97" s="9" t="s">
        <v>174</v>
      </c>
      <c r="M97" s="9" t="s">
        <v>175</v>
      </c>
      <c r="N97" s="9" t="s">
        <v>176</v>
      </c>
      <c r="O97" s="9" t="s">
        <v>255</v>
      </c>
      <c r="P97" s="9" t="s">
        <v>177</v>
      </c>
      <c r="Q97" s="9" t="s">
        <v>332</v>
      </c>
      <c r="R97" s="9" t="s">
        <v>72</v>
      </c>
      <c r="S97" s="9">
        <v>1</v>
      </c>
      <c r="T97" s="9">
        <v>1</v>
      </c>
      <c r="U97" s="9">
        <v>1</v>
      </c>
      <c r="V97" s="9">
        <v>0</v>
      </c>
      <c r="W97" s="9">
        <v>0</v>
      </c>
      <c r="X97" s="9" t="s">
        <v>249</v>
      </c>
      <c r="Y97" s="9" t="s">
        <v>249</v>
      </c>
      <c r="Z97" s="11">
        <v>2021</v>
      </c>
      <c r="AA97" s="9" t="s">
        <v>871</v>
      </c>
      <c r="AB97" s="9" t="str">
        <f>IFERROR(IF(VLOOKUP(D97,Revistas!$A$21:$C$400,3,FALSE)=0,"",VLOOKUP(D97,Revistas!$A$21:$C$400,3,FALSE)),"")</f>
        <v>medio</v>
      </c>
      <c r="AC97" s="9" t="s">
        <v>628</v>
      </c>
      <c r="AD97" s="9" t="s">
        <v>789</v>
      </c>
      <c r="AE97" s="9" t="s">
        <v>249</v>
      </c>
    </row>
    <row r="98" spans="1:33" x14ac:dyDescent="0.3">
      <c r="A98" s="7" t="s">
        <v>460</v>
      </c>
      <c r="B98" s="7">
        <v>529</v>
      </c>
      <c r="C98" s="7" t="s">
        <v>461</v>
      </c>
      <c r="D98" s="7" t="s">
        <v>462</v>
      </c>
      <c r="E98" s="7" t="s">
        <v>231</v>
      </c>
      <c r="F98" s="7" t="s">
        <v>60</v>
      </c>
      <c r="G98" s="7" t="s">
        <v>463</v>
      </c>
      <c r="H98" s="8" t="s">
        <v>62</v>
      </c>
      <c r="I98" s="9" t="s">
        <v>856</v>
      </c>
      <c r="J98" s="9" t="s">
        <v>64</v>
      </c>
      <c r="K98" s="9" t="s">
        <v>65</v>
      </c>
      <c r="L98" s="9" t="s">
        <v>174</v>
      </c>
      <c r="M98" s="9" t="s">
        <v>175</v>
      </c>
      <c r="N98" s="9" t="s">
        <v>248</v>
      </c>
      <c r="O98" s="9" t="s">
        <v>707</v>
      </c>
      <c r="P98" s="9" t="s">
        <v>177</v>
      </c>
      <c r="Q98" s="9" t="s">
        <v>332</v>
      </c>
      <c r="R98" s="9" t="s">
        <v>72</v>
      </c>
      <c r="S98" s="9">
        <v>1</v>
      </c>
      <c r="T98" s="9">
        <v>1</v>
      </c>
      <c r="U98" s="9">
        <v>0</v>
      </c>
      <c r="V98" s="9">
        <v>1</v>
      </c>
      <c r="W98" s="9">
        <v>0</v>
      </c>
      <c r="X98" s="9" t="s">
        <v>249</v>
      </c>
      <c r="Y98" s="9" t="s">
        <v>249</v>
      </c>
      <c r="Z98" s="11">
        <v>2018</v>
      </c>
      <c r="AA98" s="9" t="s">
        <v>872</v>
      </c>
      <c r="AB98" s="9" t="str">
        <f>IFERROR(IF(VLOOKUP(D98,Revistas!$A$21:$C$400,3,FALSE)=0,"",VLOOKUP(D98,Revistas!$A$21:$C$400,3,FALSE)),"")</f>
        <v>medio</v>
      </c>
      <c r="AC98" s="9" t="s">
        <v>74</v>
      </c>
      <c r="AD98" s="9" t="s">
        <v>789</v>
      </c>
      <c r="AE98" s="9" t="s">
        <v>639</v>
      </c>
    </row>
    <row r="99" spans="1:33" x14ac:dyDescent="0.3">
      <c r="A99" s="7" t="s">
        <v>464</v>
      </c>
      <c r="B99" s="7">
        <v>743</v>
      </c>
      <c r="C99" s="7" t="s">
        <v>465</v>
      </c>
      <c r="D99" s="7" t="s">
        <v>188</v>
      </c>
      <c r="E99" s="7" t="s">
        <v>84</v>
      </c>
      <c r="F99" s="7" t="s">
        <v>60</v>
      </c>
      <c r="G99" s="7" t="s">
        <v>466</v>
      </c>
      <c r="H99" s="8" t="s">
        <v>62</v>
      </c>
      <c r="I99" s="9" t="s">
        <v>857</v>
      </c>
      <c r="J99" s="9" t="s">
        <v>64</v>
      </c>
      <c r="K99" s="9" t="s">
        <v>249</v>
      </c>
      <c r="L99" s="9" t="s">
        <v>66</v>
      </c>
      <c r="M99" s="9" t="s">
        <v>175</v>
      </c>
      <c r="N99" s="9" t="s">
        <v>248</v>
      </c>
      <c r="O99" s="9" t="s">
        <v>792</v>
      </c>
      <c r="P99" s="9" t="s">
        <v>249</v>
      </c>
      <c r="Q99" s="9" t="s">
        <v>249</v>
      </c>
      <c r="R99" s="9" t="s">
        <v>72</v>
      </c>
      <c r="S99" s="9" t="s">
        <v>249</v>
      </c>
      <c r="T99" s="9" t="s">
        <v>249</v>
      </c>
      <c r="U99" s="9" t="s">
        <v>249</v>
      </c>
      <c r="V99" s="9" t="s">
        <v>249</v>
      </c>
      <c r="W99" s="9" t="s">
        <v>249</v>
      </c>
      <c r="X99" s="9" t="s">
        <v>249</v>
      </c>
      <c r="Y99" s="9" t="s">
        <v>249</v>
      </c>
      <c r="Z99" s="11">
        <v>2022</v>
      </c>
      <c r="AA99" s="9" t="s">
        <v>873</v>
      </c>
      <c r="AB99" s="9" t="str">
        <f>IFERROR(IF(VLOOKUP(D99,Revistas!$A$21:$C$400,3,FALSE)=0,"",VLOOKUP(D99,Revistas!$A$21:$C$400,3,FALSE)),"")</f>
        <v>medio</v>
      </c>
      <c r="AC99" s="9" t="s">
        <v>649</v>
      </c>
      <c r="AD99" s="9" t="s">
        <v>789</v>
      </c>
      <c r="AE99" s="9" t="s">
        <v>641</v>
      </c>
      <c r="AF99" s="6" t="s">
        <v>848</v>
      </c>
    </row>
    <row r="100" spans="1:33" x14ac:dyDescent="0.3">
      <c r="A100" s="7" t="s">
        <v>467</v>
      </c>
      <c r="B100" s="7">
        <v>774</v>
      </c>
      <c r="C100" s="7" t="s">
        <v>468</v>
      </c>
      <c r="D100" s="7" t="s">
        <v>115</v>
      </c>
      <c r="E100" s="7" t="s">
        <v>89</v>
      </c>
      <c r="F100" s="7" t="s">
        <v>60</v>
      </c>
      <c r="G100" s="7" t="s">
        <v>469</v>
      </c>
      <c r="H100" s="8" t="s">
        <v>62</v>
      </c>
      <c r="I100" s="9" t="s">
        <v>858</v>
      </c>
      <c r="J100" s="9" t="s">
        <v>64</v>
      </c>
      <c r="K100" s="9" t="s">
        <v>65</v>
      </c>
      <c r="L100" s="9" t="s">
        <v>174</v>
      </c>
      <c r="M100" s="9" t="s">
        <v>175</v>
      </c>
      <c r="N100" s="9" t="s">
        <v>248</v>
      </c>
      <c r="O100" s="9" t="s">
        <v>255</v>
      </c>
      <c r="P100" s="9" t="s">
        <v>177</v>
      </c>
      <c r="Q100" s="9" t="s">
        <v>332</v>
      </c>
      <c r="R100" s="9" t="s">
        <v>72</v>
      </c>
      <c r="S100" s="9">
        <v>1</v>
      </c>
      <c r="T100" s="9">
        <v>1</v>
      </c>
      <c r="U100" s="9">
        <v>0</v>
      </c>
      <c r="V100" s="9">
        <v>1</v>
      </c>
      <c r="W100" s="9">
        <v>0</v>
      </c>
      <c r="X100" s="9" t="s">
        <v>249</v>
      </c>
      <c r="Y100" s="9" t="s">
        <v>249</v>
      </c>
      <c r="Z100" s="11">
        <v>2023</v>
      </c>
      <c r="AA100" s="9" t="s">
        <v>874</v>
      </c>
      <c r="AB100" s="9" t="str">
        <f>IFERROR(IF(VLOOKUP(D100,Revistas!$A$21:$C$400,3,FALSE)=0,"",VLOOKUP(D100,Revistas!$A$21:$C$400,3,FALSE)),"")</f>
        <v>medio</v>
      </c>
      <c r="AC100" s="9" t="s">
        <v>647</v>
      </c>
      <c r="AD100" s="9" t="s">
        <v>789</v>
      </c>
      <c r="AE100" s="9" t="s">
        <v>639</v>
      </c>
    </row>
    <row r="101" spans="1:33" x14ac:dyDescent="0.3">
      <c r="A101" s="7" t="s">
        <v>470</v>
      </c>
      <c r="B101" s="7">
        <v>845</v>
      </c>
      <c r="C101" s="7" t="s">
        <v>471</v>
      </c>
      <c r="D101" s="7" t="s">
        <v>188</v>
      </c>
      <c r="E101" s="7" t="s">
        <v>59</v>
      </c>
      <c r="F101" s="7" t="s">
        <v>60</v>
      </c>
      <c r="G101" s="7" t="s">
        <v>472</v>
      </c>
      <c r="H101" s="8" t="s">
        <v>62</v>
      </c>
      <c r="I101" s="9" t="s">
        <v>859</v>
      </c>
      <c r="J101" s="9" t="s">
        <v>64</v>
      </c>
      <c r="K101" s="9" t="s">
        <v>733</v>
      </c>
      <c r="L101" s="9" t="s">
        <v>66</v>
      </c>
      <c r="M101" s="9" t="s">
        <v>175</v>
      </c>
      <c r="N101" s="9" t="s">
        <v>248</v>
      </c>
      <c r="O101" s="9" t="s">
        <v>342</v>
      </c>
      <c r="P101" s="9" t="s">
        <v>865</v>
      </c>
      <c r="Q101" s="9" t="s">
        <v>250</v>
      </c>
      <c r="R101" s="9" t="s">
        <v>72</v>
      </c>
      <c r="S101" s="9">
        <v>3</v>
      </c>
      <c r="T101" s="9">
        <v>2</v>
      </c>
      <c r="U101" s="9">
        <v>2</v>
      </c>
      <c r="V101" s="9">
        <v>0</v>
      </c>
      <c r="W101" s="9">
        <v>0</v>
      </c>
      <c r="X101" s="9" t="s">
        <v>249</v>
      </c>
      <c r="Y101" s="9" t="s">
        <v>249</v>
      </c>
      <c r="Z101" s="11">
        <v>2025</v>
      </c>
      <c r="AA101" s="9" t="s">
        <v>875</v>
      </c>
      <c r="AB101" s="9" t="str">
        <f>IFERROR(IF(VLOOKUP(D101,Revistas!$A$21:$C$400,3,FALSE)=0,"",VLOOKUP(D101,Revistas!$A$21:$C$400,3,FALSE)),"")</f>
        <v>medio</v>
      </c>
      <c r="AC101" s="9" t="s">
        <v>650</v>
      </c>
      <c r="AD101" s="9" t="s">
        <v>789</v>
      </c>
      <c r="AE101" s="9" t="s">
        <v>631</v>
      </c>
    </row>
    <row r="102" spans="1:33" x14ac:dyDescent="0.3">
      <c r="A102" s="7" t="s">
        <v>473</v>
      </c>
      <c r="B102" s="7">
        <v>855</v>
      </c>
      <c r="C102" s="7" t="s">
        <v>474</v>
      </c>
      <c r="D102" s="7" t="s">
        <v>375</v>
      </c>
      <c r="E102" s="7" t="s">
        <v>59</v>
      </c>
      <c r="F102" s="7" t="s">
        <v>60</v>
      </c>
      <c r="G102" s="7" t="s">
        <v>475</v>
      </c>
      <c r="H102" s="8" t="s">
        <v>62</v>
      </c>
      <c r="I102" s="9" t="s">
        <v>860</v>
      </c>
      <c r="J102" s="9" t="s">
        <v>64</v>
      </c>
      <c r="K102" s="9" t="s">
        <v>249</v>
      </c>
      <c r="L102" s="9" t="s">
        <v>66</v>
      </c>
      <c r="M102" s="9" t="s">
        <v>175</v>
      </c>
      <c r="N102" s="9" t="s">
        <v>248</v>
      </c>
      <c r="O102" s="9" t="s">
        <v>342</v>
      </c>
      <c r="P102" s="9" t="s">
        <v>865</v>
      </c>
      <c r="Q102" s="9" t="s">
        <v>332</v>
      </c>
      <c r="R102" s="9" t="s">
        <v>72</v>
      </c>
      <c r="S102" s="9">
        <v>1</v>
      </c>
      <c r="T102" s="9">
        <v>1</v>
      </c>
      <c r="U102" s="9">
        <v>0</v>
      </c>
      <c r="V102" s="9">
        <v>1</v>
      </c>
      <c r="W102" s="9">
        <v>0</v>
      </c>
      <c r="X102" s="9" t="s">
        <v>249</v>
      </c>
      <c r="Y102" s="9" t="s">
        <v>249</v>
      </c>
      <c r="Z102" s="11">
        <v>2025</v>
      </c>
      <c r="AA102" s="9" t="s">
        <v>876</v>
      </c>
      <c r="AB102" s="9" t="str">
        <f>IFERROR(IF(VLOOKUP(D102,Revistas!$A$21:$C$400,3,FALSE)=0,"",VLOOKUP(D102,Revistas!$A$21:$C$400,3,FALSE)),"")</f>
        <v>alto</v>
      </c>
      <c r="AC102" s="9" t="s">
        <v>630</v>
      </c>
      <c r="AD102" s="9" t="s">
        <v>789</v>
      </c>
      <c r="AE102" s="9" t="s">
        <v>631</v>
      </c>
    </row>
    <row r="103" spans="1:33" x14ac:dyDescent="0.3">
      <c r="A103" s="7" t="s">
        <v>476</v>
      </c>
      <c r="B103" s="7">
        <v>913</v>
      </c>
      <c r="C103" s="7" t="s">
        <v>477</v>
      </c>
      <c r="D103" s="7" t="s">
        <v>427</v>
      </c>
      <c r="E103" s="7" t="s">
        <v>164</v>
      </c>
      <c r="F103" s="7" t="s">
        <v>60</v>
      </c>
      <c r="G103" s="7" t="s">
        <v>478</v>
      </c>
      <c r="H103" s="8" t="s">
        <v>62</v>
      </c>
      <c r="I103" s="9" t="s">
        <v>861</v>
      </c>
      <c r="J103" s="9" t="s">
        <v>64</v>
      </c>
      <c r="K103" s="9" t="s">
        <v>249</v>
      </c>
      <c r="L103" s="9" t="s">
        <v>66</v>
      </c>
      <c r="M103" s="9" t="s">
        <v>175</v>
      </c>
      <c r="N103" s="9" t="s">
        <v>248</v>
      </c>
      <c r="O103" s="9" t="s">
        <v>707</v>
      </c>
      <c r="P103" s="9" t="s">
        <v>177</v>
      </c>
      <c r="Q103" s="9" t="s">
        <v>332</v>
      </c>
      <c r="R103" s="9" t="s">
        <v>72</v>
      </c>
      <c r="S103" s="9">
        <v>1</v>
      </c>
      <c r="T103" s="9">
        <v>0</v>
      </c>
      <c r="U103" s="9">
        <v>1</v>
      </c>
      <c r="V103" s="9" t="s">
        <v>249</v>
      </c>
      <c r="W103" s="9">
        <v>0</v>
      </c>
      <c r="X103" s="9" t="s">
        <v>249</v>
      </c>
      <c r="Y103" s="9" t="s">
        <v>249</v>
      </c>
      <c r="Z103" s="11">
        <v>2020</v>
      </c>
      <c r="AA103" s="9" t="s">
        <v>877</v>
      </c>
      <c r="AB103" s="9" t="str">
        <f>IFERROR(IF(VLOOKUP(D103,Revistas!$A$21:$C$400,3,FALSE)=0,"",VLOOKUP(D103,Revistas!$A$21:$C$400,3,FALSE)),"")</f>
        <v>medio</v>
      </c>
      <c r="AC103" s="9" t="s">
        <v>335</v>
      </c>
      <c r="AD103" s="9" t="s">
        <v>789</v>
      </c>
      <c r="AE103" s="9" t="s">
        <v>631</v>
      </c>
    </row>
    <row r="104" spans="1:33" x14ac:dyDescent="0.3">
      <c r="A104" s="7" t="s">
        <v>479</v>
      </c>
      <c r="B104" s="7">
        <v>1852</v>
      </c>
      <c r="C104" s="7" t="s">
        <v>480</v>
      </c>
      <c r="D104" s="7" t="s">
        <v>188</v>
      </c>
      <c r="E104" s="7" t="s">
        <v>84</v>
      </c>
      <c r="F104" s="7" t="s">
        <v>60</v>
      </c>
      <c r="G104" s="7" t="s">
        <v>481</v>
      </c>
      <c r="H104" s="8" t="s">
        <v>62</v>
      </c>
      <c r="I104" s="9" t="s">
        <v>862</v>
      </c>
      <c r="J104" s="9" t="s">
        <v>64</v>
      </c>
      <c r="K104" s="9" t="s">
        <v>249</v>
      </c>
      <c r="L104" s="9" t="s">
        <v>66</v>
      </c>
      <c r="M104" s="9" t="s">
        <v>175</v>
      </c>
      <c r="N104" s="9" t="s">
        <v>248</v>
      </c>
      <c r="O104" s="9" t="s">
        <v>707</v>
      </c>
      <c r="P104" s="9" t="s">
        <v>177</v>
      </c>
      <c r="Q104" s="9" t="s">
        <v>332</v>
      </c>
      <c r="R104" s="9" t="s">
        <v>72</v>
      </c>
      <c r="S104" s="9">
        <v>1</v>
      </c>
      <c r="T104" s="9">
        <v>1</v>
      </c>
      <c r="U104" s="9">
        <v>0</v>
      </c>
      <c r="V104" s="9" t="s">
        <v>249</v>
      </c>
      <c r="W104" s="9">
        <v>0</v>
      </c>
      <c r="X104" s="9" t="s">
        <v>249</v>
      </c>
      <c r="Y104" s="9" t="s">
        <v>249</v>
      </c>
      <c r="Z104" s="11">
        <v>2022</v>
      </c>
      <c r="AA104" s="9" t="s">
        <v>878</v>
      </c>
      <c r="AB104" s="9" t="str">
        <f>IFERROR(IF(VLOOKUP(D104,Revistas!$A$21:$C$400,3,FALSE)=0,"",VLOOKUP(D104,Revistas!$A$21:$C$400,3,FALSE)),"")</f>
        <v>medio</v>
      </c>
      <c r="AC104" s="9" t="s">
        <v>627</v>
      </c>
      <c r="AD104" s="9" t="s">
        <v>789</v>
      </c>
      <c r="AE104" s="9" t="s">
        <v>631</v>
      </c>
    </row>
    <row r="105" spans="1:33" x14ac:dyDescent="0.3">
      <c r="A105" s="7" t="s">
        <v>482</v>
      </c>
      <c r="B105" s="7">
        <v>5729</v>
      </c>
      <c r="C105" s="7" t="s">
        <v>483</v>
      </c>
      <c r="D105" s="7" t="s">
        <v>427</v>
      </c>
      <c r="E105" s="7" t="s">
        <v>89</v>
      </c>
      <c r="F105" s="7" t="s">
        <v>60</v>
      </c>
      <c r="G105" s="7" t="s">
        <v>484</v>
      </c>
      <c r="H105" s="8" t="s">
        <v>62</v>
      </c>
      <c r="I105" s="9" t="s">
        <v>863</v>
      </c>
      <c r="J105" s="9" t="s">
        <v>64</v>
      </c>
      <c r="K105" s="9" t="s">
        <v>249</v>
      </c>
      <c r="L105" s="9" t="s">
        <v>66</v>
      </c>
      <c r="M105" s="9" t="s">
        <v>175</v>
      </c>
      <c r="N105" s="9" t="s">
        <v>248</v>
      </c>
      <c r="O105" s="9" t="s">
        <v>249</v>
      </c>
      <c r="P105" s="9" t="s">
        <v>249</v>
      </c>
      <c r="Q105" s="9" t="s">
        <v>332</v>
      </c>
      <c r="R105" s="9" t="s">
        <v>72</v>
      </c>
      <c r="S105" s="9">
        <v>1</v>
      </c>
      <c r="T105" s="9">
        <v>1</v>
      </c>
      <c r="U105" s="9">
        <v>0</v>
      </c>
      <c r="V105" s="9">
        <v>1</v>
      </c>
      <c r="W105" s="9">
        <v>0</v>
      </c>
      <c r="X105" s="9" t="s">
        <v>249</v>
      </c>
      <c r="Y105" s="9" t="s">
        <v>249</v>
      </c>
      <c r="Z105" s="11">
        <v>2023</v>
      </c>
      <c r="AA105" s="9" t="s">
        <v>879</v>
      </c>
      <c r="AB105" s="9" t="str">
        <f>IFERROR(IF(VLOOKUP(D105,Revistas!$A$21:$C$400,3,FALSE)=0,"",VLOOKUP(D105,Revistas!$A$21:$C$400,3,FALSE)),"")</f>
        <v>medio</v>
      </c>
      <c r="AC105" s="9" t="s">
        <v>74</v>
      </c>
      <c r="AD105" s="9" t="s">
        <v>789</v>
      </c>
      <c r="AE105" s="9" t="s">
        <v>631</v>
      </c>
    </row>
    <row r="106" spans="1:33" x14ac:dyDescent="0.3">
      <c r="A106" s="10" t="s">
        <v>485</v>
      </c>
      <c r="B106" s="7">
        <v>9024</v>
      </c>
      <c r="C106" s="7" t="s">
        <v>486</v>
      </c>
      <c r="D106" s="7" t="s">
        <v>188</v>
      </c>
      <c r="E106" s="7" t="s">
        <v>84</v>
      </c>
      <c r="F106" s="7" t="s">
        <v>60</v>
      </c>
      <c r="G106" s="7" t="s">
        <v>487</v>
      </c>
      <c r="H106" s="8" t="s">
        <v>62</v>
      </c>
      <c r="I106" s="9" t="s">
        <v>864</v>
      </c>
      <c r="J106" s="9" t="s">
        <v>64</v>
      </c>
      <c r="K106" s="9" t="s">
        <v>249</v>
      </c>
      <c r="L106" s="9" t="s">
        <v>66</v>
      </c>
      <c r="M106" s="9" t="s">
        <v>175</v>
      </c>
      <c r="N106" s="9" t="s">
        <v>248</v>
      </c>
      <c r="O106" s="9" t="s">
        <v>707</v>
      </c>
      <c r="P106" s="9" t="s">
        <v>177</v>
      </c>
      <c r="Q106" s="9" t="s">
        <v>332</v>
      </c>
      <c r="R106" s="9" t="s">
        <v>72</v>
      </c>
      <c r="S106" s="9">
        <v>1</v>
      </c>
      <c r="T106" s="9">
        <v>1</v>
      </c>
      <c r="U106" s="9">
        <v>0</v>
      </c>
      <c r="V106" s="9">
        <v>1</v>
      </c>
      <c r="W106" s="9">
        <v>0</v>
      </c>
      <c r="X106" s="9" t="s">
        <v>249</v>
      </c>
      <c r="Y106" s="9" t="s">
        <v>249</v>
      </c>
      <c r="Z106" s="11">
        <v>2022</v>
      </c>
      <c r="AA106" s="9" t="s">
        <v>880</v>
      </c>
      <c r="AB106" s="9" t="str">
        <f>IFERROR(IF(VLOOKUP(D106,Revistas!$A$21:$C$400,3,FALSE)=0,"",VLOOKUP(D106,Revistas!$A$21:$C$400,3,FALSE)),"")</f>
        <v>medio</v>
      </c>
      <c r="AC106" s="9" t="s">
        <v>627</v>
      </c>
      <c r="AD106" s="9" t="s">
        <v>789</v>
      </c>
      <c r="AE106" s="9" t="s">
        <v>631</v>
      </c>
    </row>
    <row r="107" spans="1:33" x14ac:dyDescent="0.3">
      <c r="A107" s="10" t="s">
        <v>488</v>
      </c>
      <c r="B107" s="7">
        <v>5</v>
      </c>
      <c r="C107" s="7" t="s">
        <v>489</v>
      </c>
      <c r="D107" s="7" t="s">
        <v>490</v>
      </c>
      <c r="E107" s="7" t="s">
        <v>79</v>
      </c>
      <c r="F107" s="7" t="s">
        <v>60</v>
      </c>
      <c r="G107" s="7" t="s">
        <v>491</v>
      </c>
      <c r="H107" s="8" t="s">
        <v>62</v>
      </c>
      <c r="I107" s="9" t="s">
        <v>492</v>
      </c>
      <c r="J107" s="9" t="s">
        <v>64</v>
      </c>
      <c r="K107" s="9" t="s">
        <v>65</v>
      </c>
      <c r="L107" s="9" t="s">
        <v>174</v>
      </c>
      <c r="M107" s="9" t="s">
        <v>175</v>
      </c>
      <c r="N107" s="9" t="s">
        <v>248</v>
      </c>
      <c r="O107" s="9" t="s">
        <v>69</v>
      </c>
      <c r="P107" s="9" t="s">
        <v>177</v>
      </c>
      <c r="Q107" s="9" t="s">
        <v>332</v>
      </c>
      <c r="R107" s="9" t="s">
        <v>72</v>
      </c>
      <c r="S107" s="9">
        <v>1</v>
      </c>
      <c r="T107" s="9">
        <v>1</v>
      </c>
      <c r="U107" s="9">
        <v>0</v>
      </c>
      <c r="V107" s="9">
        <v>1</v>
      </c>
      <c r="W107" s="9">
        <v>0</v>
      </c>
      <c r="X107" s="9" t="s">
        <v>73</v>
      </c>
      <c r="Y107" s="9" t="s">
        <v>73</v>
      </c>
      <c r="Z107" s="9">
        <v>2019</v>
      </c>
      <c r="AA107" s="9" t="s">
        <v>493</v>
      </c>
      <c r="AB107" s="9" t="str">
        <f>IFERROR(IF(VLOOKUP(D107,Revistas!$A$21:$C$400,3,FALSE)=0,"",VLOOKUP(D107,Revistas!$A$21:$C$400,3,FALSE)),"")</f>
        <v>medio</v>
      </c>
      <c r="AC107" s="9" t="s">
        <v>74</v>
      </c>
      <c r="AD107" s="9" t="s">
        <v>789</v>
      </c>
      <c r="AE107" s="9" t="s">
        <v>494</v>
      </c>
    </row>
    <row r="108" spans="1:33" x14ac:dyDescent="0.3">
      <c r="A108" s="7" t="s">
        <v>495</v>
      </c>
      <c r="B108" s="7">
        <v>7</v>
      </c>
      <c r="C108" s="7" t="s">
        <v>496</v>
      </c>
      <c r="D108" s="7" t="s">
        <v>497</v>
      </c>
      <c r="E108" s="7" t="s">
        <v>106</v>
      </c>
      <c r="F108" s="7" t="s">
        <v>60</v>
      </c>
      <c r="G108" s="7" t="s">
        <v>498</v>
      </c>
      <c r="H108" s="8" t="s">
        <v>62</v>
      </c>
      <c r="I108" s="9" t="s">
        <v>499</v>
      </c>
      <c r="J108" s="9" t="s">
        <v>64</v>
      </c>
      <c r="K108" s="9" t="s">
        <v>65</v>
      </c>
      <c r="L108" s="9" t="s">
        <v>174</v>
      </c>
      <c r="M108" s="9" t="s">
        <v>175</v>
      </c>
      <c r="N108" s="9" t="s">
        <v>248</v>
      </c>
      <c r="O108" s="9" t="s">
        <v>255</v>
      </c>
      <c r="P108" s="9" t="s">
        <v>177</v>
      </c>
      <c r="Q108" s="9" t="s">
        <v>332</v>
      </c>
      <c r="R108" s="9" t="s">
        <v>72</v>
      </c>
      <c r="S108" s="9">
        <v>1</v>
      </c>
      <c r="T108" s="9">
        <v>1</v>
      </c>
      <c r="U108" s="9">
        <v>0</v>
      </c>
      <c r="V108" s="9">
        <v>1</v>
      </c>
      <c r="W108" s="9">
        <v>0</v>
      </c>
      <c r="X108" s="9" t="s">
        <v>73</v>
      </c>
      <c r="Y108" s="9" t="s">
        <v>73</v>
      </c>
      <c r="Z108" s="9">
        <v>2026</v>
      </c>
      <c r="AA108" s="9" t="s">
        <v>500</v>
      </c>
      <c r="AB108" s="9" t="str">
        <f>IFERROR(IF(VLOOKUP(D108,Revistas!$A$21:$C$400,3,FALSE)=0,"",VLOOKUP(D108,Revistas!$A$21:$C$400,3,FALSE)),"")</f>
        <v>medio</v>
      </c>
      <c r="AC108" s="9" t="s">
        <v>351</v>
      </c>
      <c r="AD108" s="9" t="s">
        <v>501</v>
      </c>
      <c r="AE108" s="9" t="s">
        <v>494</v>
      </c>
    </row>
    <row r="109" spans="1:33" x14ac:dyDescent="0.3">
      <c r="A109" s="7" t="s">
        <v>502</v>
      </c>
      <c r="B109" s="7">
        <v>22</v>
      </c>
      <c r="C109" s="7" t="s">
        <v>503</v>
      </c>
      <c r="D109" s="7" t="s">
        <v>504</v>
      </c>
      <c r="E109" s="7" t="s">
        <v>59</v>
      </c>
      <c r="F109" s="10" t="s">
        <v>60</v>
      </c>
      <c r="G109" s="7" t="s">
        <v>505</v>
      </c>
      <c r="H109" s="8" t="s">
        <v>62</v>
      </c>
      <c r="I109" s="9" t="s">
        <v>506</v>
      </c>
      <c r="J109" s="9" t="s">
        <v>64</v>
      </c>
      <c r="K109" s="9" t="s">
        <v>65</v>
      </c>
      <c r="L109" s="9" t="s">
        <v>174</v>
      </c>
      <c r="M109" s="9" t="s">
        <v>175</v>
      </c>
      <c r="N109" s="9" t="s">
        <v>248</v>
      </c>
      <c r="O109" s="9" t="s">
        <v>507</v>
      </c>
      <c r="P109" s="9" t="s">
        <v>70</v>
      </c>
      <c r="Q109" s="9" t="s">
        <v>332</v>
      </c>
      <c r="R109" s="9" t="s">
        <v>72</v>
      </c>
      <c r="S109" s="9">
        <v>1</v>
      </c>
      <c r="T109" s="9">
        <v>0</v>
      </c>
      <c r="U109" s="9">
        <v>0</v>
      </c>
      <c r="V109" s="9">
        <v>0</v>
      </c>
      <c r="W109" s="9">
        <v>0</v>
      </c>
      <c r="X109" s="9" t="s">
        <v>73</v>
      </c>
      <c r="Y109" s="9">
        <v>1</v>
      </c>
      <c r="Z109" s="9">
        <v>2025</v>
      </c>
      <c r="AA109" s="9" t="s">
        <v>508</v>
      </c>
      <c r="AB109" s="9" t="str">
        <f>IFERROR(IF(VLOOKUP(D109,Revistas!$A$21:$C$400,3,FALSE)=0,"",VLOOKUP(D109,Revistas!$A$21:$C$400,3,FALSE)),"")</f>
        <v>medio</v>
      </c>
      <c r="AC109" s="9" t="s">
        <v>372</v>
      </c>
      <c r="AD109" s="9" t="s">
        <v>75</v>
      </c>
      <c r="AE109" s="9" t="s">
        <v>73</v>
      </c>
    </row>
    <row r="110" spans="1:33" s="12" customFormat="1" x14ac:dyDescent="0.3">
      <c r="A110" s="10" t="s">
        <v>509</v>
      </c>
      <c r="B110" s="10">
        <v>24</v>
      </c>
      <c r="C110" s="10" t="s">
        <v>510</v>
      </c>
      <c r="D110" s="10" t="s">
        <v>451</v>
      </c>
      <c r="E110" s="10" t="s">
        <v>84</v>
      </c>
      <c r="F110" s="10" t="s">
        <v>60</v>
      </c>
      <c r="G110" s="10" t="s">
        <v>511</v>
      </c>
      <c r="H110" s="13" t="s">
        <v>62</v>
      </c>
      <c r="I110" s="9" t="s">
        <v>883</v>
      </c>
      <c r="J110" s="9" t="s">
        <v>64</v>
      </c>
      <c r="K110" s="9" t="s">
        <v>65</v>
      </c>
      <c r="L110" s="9" t="s">
        <v>181</v>
      </c>
      <c r="M110" s="9" t="s">
        <v>175</v>
      </c>
      <c r="N110" s="9" t="s">
        <v>775</v>
      </c>
      <c r="O110" s="9" t="s">
        <v>255</v>
      </c>
      <c r="P110" s="9" t="s">
        <v>177</v>
      </c>
      <c r="Q110" s="9" t="s">
        <v>332</v>
      </c>
      <c r="R110" s="9" t="s">
        <v>72</v>
      </c>
      <c r="S110" s="9">
        <v>1</v>
      </c>
      <c r="T110" s="9">
        <v>1</v>
      </c>
      <c r="U110" s="9">
        <v>0</v>
      </c>
      <c r="V110" s="9">
        <v>1</v>
      </c>
      <c r="W110" s="9">
        <v>0</v>
      </c>
      <c r="X110" s="9" t="s">
        <v>249</v>
      </c>
      <c r="Y110" s="9">
        <v>0</v>
      </c>
      <c r="Z110" s="9">
        <v>2022</v>
      </c>
      <c r="AA110" s="9" t="s">
        <v>895</v>
      </c>
      <c r="AB110" s="9" t="s">
        <v>617</v>
      </c>
      <c r="AC110" s="9" t="s">
        <v>74</v>
      </c>
      <c r="AD110" s="9" t="s">
        <v>789</v>
      </c>
      <c r="AE110" s="9" t="s">
        <v>249</v>
      </c>
      <c r="AF110" s="6"/>
      <c r="AG110" s="6"/>
    </row>
    <row r="111" spans="1:33" x14ac:dyDescent="0.3">
      <c r="A111" s="7" t="s">
        <v>512</v>
      </c>
      <c r="B111" s="7">
        <v>30</v>
      </c>
      <c r="C111" s="7" t="s">
        <v>513</v>
      </c>
      <c r="D111" s="7" t="s">
        <v>514</v>
      </c>
      <c r="E111" s="7" t="s">
        <v>106</v>
      </c>
      <c r="F111" s="7" t="s">
        <v>60</v>
      </c>
      <c r="G111" s="7" t="s">
        <v>515</v>
      </c>
      <c r="H111" s="8" t="s">
        <v>62</v>
      </c>
      <c r="I111" s="9" t="s">
        <v>882</v>
      </c>
      <c r="J111" s="9" t="s">
        <v>64</v>
      </c>
      <c r="K111" s="9" t="s">
        <v>65</v>
      </c>
      <c r="L111" s="9" t="s">
        <v>66</v>
      </c>
      <c r="M111" s="9" t="s">
        <v>66</v>
      </c>
      <c r="N111" s="9" t="s">
        <v>248</v>
      </c>
      <c r="O111" s="9" t="s">
        <v>792</v>
      </c>
      <c r="P111" s="9" t="s">
        <v>792</v>
      </c>
      <c r="Q111" s="9" t="s">
        <v>792</v>
      </c>
      <c r="R111" s="9" t="s">
        <v>737</v>
      </c>
      <c r="S111" s="9" t="s">
        <v>792</v>
      </c>
      <c r="T111" s="9" t="s">
        <v>792</v>
      </c>
      <c r="U111" s="9" t="s">
        <v>792</v>
      </c>
      <c r="V111" s="9" t="s">
        <v>792</v>
      </c>
      <c r="W111" s="9" t="s">
        <v>792</v>
      </c>
      <c r="X111" s="9" t="s">
        <v>792</v>
      </c>
      <c r="Y111" s="9" t="s">
        <v>792</v>
      </c>
      <c r="Z111" s="9">
        <v>2026</v>
      </c>
      <c r="AA111" s="9" t="s">
        <v>792</v>
      </c>
      <c r="AB111" s="9" t="s">
        <v>614</v>
      </c>
      <c r="AC111" s="9" t="s">
        <v>792</v>
      </c>
      <c r="AD111" s="9" t="s">
        <v>792</v>
      </c>
      <c r="AE111" s="9" t="s">
        <v>494</v>
      </c>
    </row>
    <row r="112" spans="1:33" x14ac:dyDescent="0.3">
      <c r="A112" s="7" t="s">
        <v>588</v>
      </c>
      <c r="B112" s="7">
        <v>8217</v>
      </c>
      <c r="C112" s="7" t="s">
        <v>589</v>
      </c>
      <c r="D112" s="7" t="s">
        <v>590</v>
      </c>
      <c r="E112" s="7" t="s">
        <v>164</v>
      </c>
      <c r="F112" s="7" t="s">
        <v>60</v>
      </c>
      <c r="G112" s="7" t="s">
        <v>591</v>
      </c>
      <c r="H112" s="8" t="s">
        <v>62</v>
      </c>
      <c r="I112" s="9" t="s">
        <v>884</v>
      </c>
      <c r="J112" s="9" t="s">
        <v>64</v>
      </c>
      <c r="K112" s="9" t="s">
        <v>249</v>
      </c>
      <c r="L112" s="9" t="s">
        <v>66</v>
      </c>
      <c r="M112" s="9" t="s">
        <v>175</v>
      </c>
      <c r="N112" s="9" t="s">
        <v>771</v>
      </c>
      <c r="O112" s="9" t="s">
        <v>707</v>
      </c>
      <c r="P112" s="9" t="s">
        <v>177</v>
      </c>
      <c r="Q112" s="9" t="s">
        <v>332</v>
      </c>
      <c r="R112" s="9" t="s">
        <v>737</v>
      </c>
      <c r="S112" s="9">
        <v>1</v>
      </c>
      <c r="T112" s="9">
        <v>1</v>
      </c>
      <c r="U112" s="9">
        <v>0</v>
      </c>
      <c r="V112" s="9">
        <v>1</v>
      </c>
      <c r="W112" s="9">
        <v>0</v>
      </c>
      <c r="X112" s="9" t="s">
        <v>249</v>
      </c>
      <c r="Y112" s="9">
        <v>0</v>
      </c>
      <c r="Z112" s="9">
        <v>2019</v>
      </c>
      <c r="AA112" s="9" t="s">
        <v>896</v>
      </c>
      <c r="AB112" s="9" t="s">
        <v>617</v>
      </c>
      <c r="AC112" s="9" t="s">
        <v>627</v>
      </c>
      <c r="AD112" s="9" t="s">
        <v>789</v>
      </c>
      <c r="AE112" s="9" t="s">
        <v>631</v>
      </c>
    </row>
    <row r="113" spans="1:32" x14ac:dyDescent="0.3">
      <c r="A113" s="7" t="s">
        <v>592</v>
      </c>
      <c r="B113" s="7">
        <v>8256</v>
      </c>
      <c r="C113" s="7" t="s">
        <v>593</v>
      </c>
      <c r="D113" s="7" t="s">
        <v>594</v>
      </c>
      <c r="E113" s="7" t="s">
        <v>164</v>
      </c>
      <c r="F113" s="7" t="s">
        <v>60</v>
      </c>
      <c r="G113" s="7" t="s">
        <v>595</v>
      </c>
      <c r="H113" s="8" t="s">
        <v>62</v>
      </c>
      <c r="I113" s="9" t="s">
        <v>885</v>
      </c>
      <c r="J113" s="9" t="s">
        <v>64</v>
      </c>
      <c r="K113" s="9" t="s">
        <v>249</v>
      </c>
      <c r="L113" s="9" t="s">
        <v>66</v>
      </c>
      <c r="M113" s="9" t="s">
        <v>175</v>
      </c>
      <c r="N113" s="9" t="s">
        <v>771</v>
      </c>
      <c r="O113" s="9" t="s">
        <v>707</v>
      </c>
      <c r="P113" s="9" t="s">
        <v>177</v>
      </c>
      <c r="Q113" s="9" t="s">
        <v>332</v>
      </c>
      <c r="R113" s="9" t="s">
        <v>72</v>
      </c>
      <c r="S113" s="9">
        <v>1</v>
      </c>
      <c r="T113" s="9">
        <v>1</v>
      </c>
      <c r="U113" s="9">
        <v>1</v>
      </c>
      <c r="V113" s="9">
        <v>1</v>
      </c>
      <c r="W113" s="9">
        <v>0</v>
      </c>
      <c r="X113" s="9">
        <v>16</v>
      </c>
      <c r="Y113" s="9">
        <v>0</v>
      </c>
      <c r="Z113" s="9">
        <v>2020</v>
      </c>
      <c r="AA113" s="9" t="s">
        <v>897</v>
      </c>
      <c r="AB113" s="9" t="s">
        <v>617</v>
      </c>
      <c r="AC113" s="9" t="s">
        <v>627</v>
      </c>
      <c r="AD113" s="9" t="s">
        <v>789</v>
      </c>
      <c r="AE113" s="9" t="s">
        <v>249</v>
      </c>
    </row>
    <row r="114" spans="1:32" ht="12.6" customHeight="1" x14ac:dyDescent="0.3">
      <c r="A114" s="7" t="s">
        <v>524</v>
      </c>
      <c r="B114" s="7">
        <v>111</v>
      </c>
      <c r="C114" s="7" t="s">
        <v>525</v>
      </c>
      <c r="D114" s="7" t="s">
        <v>78</v>
      </c>
      <c r="E114" s="7" t="s">
        <v>106</v>
      </c>
      <c r="F114" s="7" t="s">
        <v>60</v>
      </c>
      <c r="G114" s="7" t="s">
        <v>526</v>
      </c>
      <c r="H114" s="8" t="s">
        <v>62</v>
      </c>
      <c r="I114" s="9" t="s">
        <v>886</v>
      </c>
      <c r="J114" s="9" t="s">
        <v>64</v>
      </c>
      <c r="K114" s="9" t="s">
        <v>249</v>
      </c>
      <c r="L114" s="9" t="s">
        <v>174</v>
      </c>
      <c r="M114" s="9" t="s">
        <v>175</v>
      </c>
      <c r="N114" s="9" t="s">
        <v>771</v>
      </c>
      <c r="O114" s="9" t="s">
        <v>342</v>
      </c>
      <c r="P114" s="9" t="s">
        <v>249</v>
      </c>
      <c r="Q114" s="9" t="s">
        <v>332</v>
      </c>
      <c r="R114" s="9" t="s">
        <v>72</v>
      </c>
      <c r="S114" s="9">
        <v>1</v>
      </c>
      <c r="T114" s="9">
        <v>1</v>
      </c>
      <c r="U114" s="9" t="s">
        <v>249</v>
      </c>
      <c r="V114" s="9" t="s">
        <v>249</v>
      </c>
      <c r="W114" s="9">
        <v>0</v>
      </c>
      <c r="X114" s="9" t="s">
        <v>249</v>
      </c>
      <c r="Y114" s="9">
        <v>0</v>
      </c>
      <c r="Z114" s="9">
        <v>2026</v>
      </c>
      <c r="AA114" s="9" t="s">
        <v>898</v>
      </c>
      <c r="AB114" s="9" t="str">
        <f>IFERROR(IF(VLOOKUP(D114,Revistas!$A$21:$C$400,3,FALSE)=0,"",VLOOKUP(D114,Revistas!$A$21:$C$400,3,FALSE)),"")</f>
        <v>alto</v>
      </c>
      <c r="AC114" s="9" t="s">
        <v>74</v>
      </c>
      <c r="AD114" s="9" t="s">
        <v>789</v>
      </c>
      <c r="AE114" s="9" t="s">
        <v>641</v>
      </c>
      <c r="AF114" s="14" t="s">
        <v>907</v>
      </c>
    </row>
    <row r="115" spans="1:32" x14ac:dyDescent="0.3">
      <c r="A115" s="7" t="s">
        <v>527</v>
      </c>
      <c r="B115" s="7">
        <v>116</v>
      </c>
      <c r="C115" s="7" t="s">
        <v>528</v>
      </c>
      <c r="D115" s="7" t="s">
        <v>529</v>
      </c>
      <c r="E115" s="7" t="s">
        <v>106</v>
      </c>
      <c r="F115" s="7" t="s">
        <v>60</v>
      </c>
      <c r="G115" s="7" t="s">
        <v>530</v>
      </c>
      <c r="H115" s="8" t="s">
        <v>62</v>
      </c>
      <c r="I115" s="9" t="s">
        <v>887</v>
      </c>
      <c r="J115" s="9" t="s">
        <v>64</v>
      </c>
      <c r="K115" s="9" t="s">
        <v>65</v>
      </c>
      <c r="L115" s="9" t="s">
        <v>174</v>
      </c>
      <c r="M115" s="9" t="s">
        <v>175</v>
      </c>
      <c r="N115" s="9" t="s">
        <v>775</v>
      </c>
      <c r="O115" s="9" t="s">
        <v>342</v>
      </c>
      <c r="P115" s="9" t="s">
        <v>177</v>
      </c>
      <c r="Q115" s="9" t="s">
        <v>332</v>
      </c>
      <c r="R115" s="9" t="s">
        <v>737</v>
      </c>
      <c r="S115" s="9">
        <v>1</v>
      </c>
      <c r="T115" s="9" t="s">
        <v>249</v>
      </c>
      <c r="U115" s="9" t="s">
        <v>249</v>
      </c>
      <c r="V115" s="9" t="s">
        <v>249</v>
      </c>
      <c r="W115" s="9" t="s">
        <v>249</v>
      </c>
      <c r="X115" s="9" t="s">
        <v>249</v>
      </c>
      <c r="Y115" s="9" t="s">
        <v>249</v>
      </c>
      <c r="Z115" s="9">
        <v>2026</v>
      </c>
      <c r="AA115" s="9" t="s">
        <v>899</v>
      </c>
      <c r="AB115" s="9" t="str">
        <f>IFERROR(IF(VLOOKUP(D115,Revistas!$A$21:$C$400,3,FALSE)=0,"",VLOOKUP(D115,Revistas!$A$21:$C$400,3,FALSE)),"")</f>
        <v>alto</v>
      </c>
      <c r="AC115" s="9" t="s">
        <v>74</v>
      </c>
      <c r="AD115" s="9" t="s">
        <v>789</v>
      </c>
      <c r="AE115" s="9" t="s">
        <v>634</v>
      </c>
    </row>
    <row r="116" spans="1:32" x14ac:dyDescent="0.3">
      <c r="A116" s="7" t="s">
        <v>534</v>
      </c>
      <c r="B116" s="7">
        <v>128</v>
      </c>
      <c r="C116" s="7" t="s">
        <v>535</v>
      </c>
      <c r="D116" s="7" t="s">
        <v>536</v>
      </c>
      <c r="E116" s="7" t="s">
        <v>89</v>
      </c>
      <c r="F116" s="7" t="s">
        <v>60</v>
      </c>
      <c r="G116" s="7" t="s">
        <v>537</v>
      </c>
      <c r="H116" s="8" t="s">
        <v>62</v>
      </c>
      <c r="I116" s="9" t="s">
        <v>888</v>
      </c>
      <c r="J116" s="9" t="s">
        <v>64</v>
      </c>
      <c r="K116" s="9" t="s">
        <v>65</v>
      </c>
      <c r="L116" s="9" t="s">
        <v>174</v>
      </c>
      <c r="M116" s="9" t="s">
        <v>175</v>
      </c>
      <c r="N116" s="9" t="s">
        <v>771</v>
      </c>
      <c r="O116" s="9" t="s">
        <v>342</v>
      </c>
      <c r="P116" s="9" t="s">
        <v>177</v>
      </c>
      <c r="Q116" s="9" t="s">
        <v>332</v>
      </c>
      <c r="R116" s="9" t="s">
        <v>737</v>
      </c>
      <c r="S116" s="9">
        <v>1</v>
      </c>
      <c r="T116" s="9" t="s">
        <v>249</v>
      </c>
      <c r="U116" s="9" t="s">
        <v>249</v>
      </c>
      <c r="V116" s="9" t="s">
        <v>249</v>
      </c>
      <c r="W116" s="9" t="s">
        <v>249</v>
      </c>
      <c r="X116" s="9" t="s">
        <v>249</v>
      </c>
      <c r="Y116" s="9" t="s">
        <v>249</v>
      </c>
      <c r="Z116" s="9">
        <v>2026</v>
      </c>
      <c r="AA116" s="9" t="s">
        <v>900</v>
      </c>
      <c r="AB116" s="9" t="s">
        <v>617</v>
      </c>
      <c r="AC116" s="9" t="s">
        <v>74</v>
      </c>
      <c r="AD116" s="9" t="s">
        <v>789</v>
      </c>
      <c r="AE116" s="9" t="s">
        <v>634</v>
      </c>
    </row>
    <row r="117" spans="1:32" x14ac:dyDescent="0.3">
      <c r="A117" s="7" t="s">
        <v>542</v>
      </c>
      <c r="B117" s="7">
        <v>154</v>
      </c>
      <c r="C117" s="7" t="s">
        <v>543</v>
      </c>
      <c r="D117" s="7" t="s">
        <v>115</v>
      </c>
      <c r="E117" s="7" t="s">
        <v>231</v>
      </c>
      <c r="F117" s="7" t="s">
        <v>60</v>
      </c>
      <c r="G117" s="7" t="s">
        <v>544</v>
      </c>
      <c r="H117" s="8" t="s">
        <v>62</v>
      </c>
      <c r="I117" s="9" t="s">
        <v>889</v>
      </c>
      <c r="J117" s="9" t="s">
        <v>64</v>
      </c>
      <c r="K117" s="9" t="s">
        <v>65</v>
      </c>
      <c r="L117" s="9" t="s">
        <v>174</v>
      </c>
      <c r="M117" s="9" t="s">
        <v>175</v>
      </c>
      <c r="N117" s="9" t="s">
        <v>771</v>
      </c>
      <c r="O117" s="9" t="s">
        <v>255</v>
      </c>
      <c r="P117" s="9" t="s">
        <v>177</v>
      </c>
      <c r="Q117" s="9" t="s">
        <v>791</v>
      </c>
      <c r="R117" s="9" t="s">
        <v>72</v>
      </c>
      <c r="S117" s="9">
        <v>1</v>
      </c>
      <c r="T117" s="9">
        <v>1</v>
      </c>
      <c r="U117" s="9" t="s">
        <v>249</v>
      </c>
      <c r="V117" s="9" t="s">
        <v>249</v>
      </c>
      <c r="W117" s="9" t="s">
        <v>249</v>
      </c>
      <c r="X117" s="9" t="s">
        <v>249</v>
      </c>
      <c r="Y117" s="9" t="s">
        <v>249</v>
      </c>
      <c r="Z117" s="9">
        <v>2023</v>
      </c>
      <c r="AA117" s="9" t="s">
        <v>901</v>
      </c>
      <c r="AB117" s="9" t="str">
        <f>IFERROR(IF(VLOOKUP(D117,Revistas!$A$21:$C$400,3,FALSE)=0,"",VLOOKUP(D117,Revistas!$A$21:$C$400,3,FALSE)),"")</f>
        <v>medio</v>
      </c>
      <c r="AC117" s="9" t="s">
        <v>74</v>
      </c>
      <c r="AD117" s="9" t="s">
        <v>789</v>
      </c>
      <c r="AE117" s="9" t="s">
        <v>249</v>
      </c>
    </row>
    <row r="118" spans="1:32" ht="16.2" customHeight="1" x14ac:dyDescent="0.3">
      <c r="A118" s="7" t="s">
        <v>556</v>
      </c>
      <c r="B118" s="7">
        <v>336</v>
      </c>
      <c r="C118" s="7" t="s">
        <v>557</v>
      </c>
      <c r="D118" s="7" t="s">
        <v>115</v>
      </c>
      <c r="E118" s="7" t="s">
        <v>111</v>
      </c>
      <c r="F118" s="7" t="s">
        <v>60</v>
      </c>
      <c r="G118" s="7" t="s">
        <v>558</v>
      </c>
      <c r="H118" s="8" t="s">
        <v>62</v>
      </c>
      <c r="I118" s="9" t="s">
        <v>890</v>
      </c>
      <c r="J118" s="9" t="s">
        <v>64</v>
      </c>
      <c r="K118" s="9" t="s">
        <v>733</v>
      </c>
      <c r="L118" s="9" t="s">
        <v>66</v>
      </c>
      <c r="M118" s="9" t="s">
        <v>175</v>
      </c>
      <c r="N118" s="9" t="s">
        <v>771</v>
      </c>
      <c r="O118" s="9" t="s">
        <v>342</v>
      </c>
      <c r="P118" s="9" t="s">
        <v>177</v>
      </c>
      <c r="Q118" s="9" t="s">
        <v>342</v>
      </c>
      <c r="R118" s="9" t="s">
        <v>72</v>
      </c>
      <c r="S118" s="9" t="s">
        <v>249</v>
      </c>
      <c r="T118" s="9" t="s">
        <v>249</v>
      </c>
      <c r="U118" s="9" t="s">
        <v>249</v>
      </c>
      <c r="V118" s="9" t="s">
        <v>249</v>
      </c>
      <c r="W118" s="9" t="s">
        <v>249</v>
      </c>
      <c r="X118" s="9" t="s">
        <v>249</v>
      </c>
      <c r="Y118" s="9" t="s">
        <v>249</v>
      </c>
      <c r="Z118" s="9">
        <v>2019</v>
      </c>
      <c r="AA118" s="9" t="s">
        <v>902</v>
      </c>
      <c r="AB118" s="9" t="str">
        <f>IFERROR(IF(VLOOKUP(D118,Revistas!$A$21:$C$400,3,FALSE)=0,"",VLOOKUP(D118,Revistas!$A$21:$C$400,3,FALSE)),"")</f>
        <v>medio</v>
      </c>
      <c r="AC118" s="9" t="s">
        <v>655</v>
      </c>
      <c r="AD118" s="9" t="s">
        <v>789</v>
      </c>
      <c r="AE118" s="9" t="s">
        <v>634</v>
      </c>
    </row>
    <row r="119" spans="1:32" ht="19.2" customHeight="1" x14ac:dyDescent="0.3">
      <c r="A119" s="7" t="s">
        <v>559</v>
      </c>
      <c r="B119" s="7">
        <v>525</v>
      </c>
      <c r="C119" s="7" t="s">
        <v>560</v>
      </c>
      <c r="D119" s="7" t="s">
        <v>561</v>
      </c>
      <c r="E119" s="7" t="s">
        <v>231</v>
      </c>
      <c r="F119" s="7" t="s">
        <v>60</v>
      </c>
      <c r="G119" s="7" t="s">
        <v>562</v>
      </c>
      <c r="H119" s="8" t="s">
        <v>62</v>
      </c>
      <c r="I119" s="9" t="s">
        <v>891</v>
      </c>
      <c r="J119" s="9" t="s">
        <v>64</v>
      </c>
      <c r="K119" s="9" t="s">
        <v>733</v>
      </c>
      <c r="L119" s="9" t="s">
        <v>66</v>
      </c>
      <c r="M119" s="9" t="s">
        <v>175</v>
      </c>
      <c r="N119" s="9" t="s">
        <v>771</v>
      </c>
      <c r="O119" s="9" t="s">
        <v>342</v>
      </c>
      <c r="P119" s="9" t="s">
        <v>177</v>
      </c>
      <c r="Q119" s="9" t="s">
        <v>342</v>
      </c>
      <c r="R119" s="9" t="s">
        <v>72</v>
      </c>
      <c r="S119" s="9" t="s">
        <v>249</v>
      </c>
      <c r="T119" s="9" t="s">
        <v>249</v>
      </c>
      <c r="U119" s="9" t="s">
        <v>249</v>
      </c>
      <c r="V119" s="9" t="s">
        <v>249</v>
      </c>
      <c r="W119" s="9" t="s">
        <v>249</v>
      </c>
      <c r="X119" s="9" t="s">
        <v>249</v>
      </c>
      <c r="Y119" s="9" t="s">
        <v>249</v>
      </c>
      <c r="Z119" s="9">
        <v>2021</v>
      </c>
      <c r="AA119" s="9" t="s">
        <v>903</v>
      </c>
      <c r="AB119" s="9" t="str">
        <f>IFERROR(IF(VLOOKUP(D119,Revistas!$A$21:$C$400,3,FALSE)=0,"",VLOOKUP(D119,Revistas!$A$21:$C$400,3,FALSE)),"")</f>
        <v>medio</v>
      </c>
      <c r="AC119" s="9" t="s">
        <v>630</v>
      </c>
      <c r="AD119" s="9" t="s">
        <v>789</v>
      </c>
      <c r="AE119" s="9" t="s">
        <v>641</v>
      </c>
      <c r="AF119" s="15" t="s">
        <v>908</v>
      </c>
    </row>
    <row r="120" spans="1:32" x14ac:dyDescent="0.3">
      <c r="A120" s="7" t="s">
        <v>567</v>
      </c>
      <c r="B120" s="7">
        <v>858</v>
      </c>
      <c r="C120" s="7" t="s">
        <v>568</v>
      </c>
      <c r="D120" s="7" t="s">
        <v>280</v>
      </c>
      <c r="E120" s="7" t="s">
        <v>59</v>
      </c>
      <c r="F120" s="7" t="s">
        <v>60</v>
      </c>
      <c r="G120" s="7" t="s">
        <v>569</v>
      </c>
      <c r="H120" s="8" t="s">
        <v>62</v>
      </c>
      <c r="I120" s="9" t="s">
        <v>892</v>
      </c>
      <c r="J120" s="9" t="s">
        <v>64</v>
      </c>
      <c r="K120" s="9" t="s">
        <v>65</v>
      </c>
      <c r="L120" s="9" t="s">
        <v>258</v>
      </c>
      <c r="M120" s="9" t="s">
        <v>175</v>
      </c>
      <c r="N120" s="9" t="s">
        <v>775</v>
      </c>
      <c r="O120" s="9" t="s">
        <v>707</v>
      </c>
      <c r="P120" s="9" t="s">
        <v>177</v>
      </c>
      <c r="Q120" s="9" t="s">
        <v>332</v>
      </c>
      <c r="R120" s="9" t="s">
        <v>72</v>
      </c>
      <c r="S120" s="9">
        <v>1</v>
      </c>
      <c r="T120" s="9">
        <v>0</v>
      </c>
      <c r="U120" s="9">
        <v>0</v>
      </c>
      <c r="V120" s="9">
        <v>1</v>
      </c>
      <c r="W120" s="9">
        <v>1</v>
      </c>
      <c r="X120" s="9" t="s">
        <v>249</v>
      </c>
      <c r="Y120" s="9">
        <v>0</v>
      </c>
      <c r="Z120" s="9">
        <v>2018</v>
      </c>
      <c r="AA120" s="9" t="s">
        <v>904</v>
      </c>
      <c r="AB120" s="9" t="s">
        <v>617</v>
      </c>
      <c r="AC120" s="9" t="s">
        <v>335</v>
      </c>
      <c r="AD120" s="9" t="s">
        <v>789</v>
      </c>
      <c r="AE120" s="9" t="s">
        <v>631</v>
      </c>
    </row>
    <row r="121" spans="1:32" x14ac:dyDescent="0.3">
      <c r="A121" s="7" t="s">
        <v>576</v>
      </c>
      <c r="B121" s="7">
        <v>2324</v>
      </c>
      <c r="C121" s="7" t="s">
        <v>577</v>
      </c>
      <c r="D121" s="7" t="s">
        <v>578</v>
      </c>
      <c r="E121" s="7" t="s">
        <v>143</v>
      </c>
      <c r="F121" s="7" t="s">
        <v>60</v>
      </c>
      <c r="G121" s="7" t="s">
        <v>579</v>
      </c>
      <c r="H121" s="8" t="s">
        <v>62</v>
      </c>
      <c r="I121" s="9" t="s">
        <v>893</v>
      </c>
      <c r="J121" s="9" t="s">
        <v>64</v>
      </c>
      <c r="K121" s="9" t="s">
        <v>249</v>
      </c>
      <c r="L121" s="9" t="s">
        <v>66</v>
      </c>
      <c r="M121" s="9" t="s">
        <v>175</v>
      </c>
      <c r="N121" s="9" t="s">
        <v>771</v>
      </c>
      <c r="O121" s="9" t="s">
        <v>707</v>
      </c>
      <c r="P121" s="9" t="s">
        <v>177</v>
      </c>
      <c r="Q121" s="9" t="s">
        <v>332</v>
      </c>
      <c r="R121" s="9" t="s">
        <v>72</v>
      </c>
      <c r="S121" s="9">
        <v>1</v>
      </c>
      <c r="T121" s="9">
        <v>0</v>
      </c>
      <c r="U121" s="9">
        <v>0</v>
      </c>
      <c r="V121" s="9">
        <v>0</v>
      </c>
      <c r="W121" s="9">
        <v>0</v>
      </c>
      <c r="X121" s="9" t="s">
        <v>249</v>
      </c>
      <c r="Y121" s="9">
        <v>0</v>
      </c>
      <c r="Z121" s="9">
        <v>2025</v>
      </c>
      <c r="AA121" s="9" t="s">
        <v>905</v>
      </c>
      <c r="AB121" s="9" t="s">
        <v>617</v>
      </c>
      <c r="AC121" s="9" t="s">
        <v>632</v>
      </c>
      <c r="AD121" s="9" t="s">
        <v>789</v>
      </c>
      <c r="AE121" s="9" t="s">
        <v>631</v>
      </c>
    </row>
    <row r="122" spans="1:32" x14ac:dyDescent="0.3">
      <c r="A122" s="7" t="s">
        <v>580</v>
      </c>
      <c r="B122" s="7">
        <v>3892</v>
      </c>
      <c r="C122" s="7" t="s">
        <v>581</v>
      </c>
      <c r="D122" s="7" t="s">
        <v>582</v>
      </c>
      <c r="E122" s="7" t="s">
        <v>106</v>
      </c>
      <c r="F122" s="7" t="s">
        <v>60</v>
      </c>
      <c r="G122" s="7" t="s">
        <v>583</v>
      </c>
      <c r="H122" s="8" t="s">
        <v>62</v>
      </c>
      <c r="I122" s="9" t="s">
        <v>894</v>
      </c>
      <c r="J122" s="9" t="s">
        <v>64</v>
      </c>
      <c r="K122" s="9" t="s">
        <v>249</v>
      </c>
      <c r="L122" s="9" t="s">
        <v>66</v>
      </c>
      <c r="M122" s="9" t="s">
        <v>175</v>
      </c>
      <c r="N122" s="9" t="s">
        <v>771</v>
      </c>
      <c r="O122" s="9" t="s">
        <v>255</v>
      </c>
      <c r="P122" s="9" t="s">
        <v>177</v>
      </c>
      <c r="Q122" s="9" t="s">
        <v>332</v>
      </c>
      <c r="R122" s="9" t="s">
        <v>72</v>
      </c>
      <c r="S122" s="9">
        <v>1</v>
      </c>
      <c r="T122" s="9">
        <v>1</v>
      </c>
      <c r="U122" s="9">
        <v>0</v>
      </c>
      <c r="V122" s="9">
        <v>1</v>
      </c>
      <c r="W122" s="9">
        <v>0</v>
      </c>
      <c r="X122" s="9" t="s">
        <v>249</v>
      </c>
      <c r="Y122" s="9">
        <v>0</v>
      </c>
      <c r="Z122" s="9">
        <v>2024</v>
      </c>
      <c r="AA122" s="9" t="s">
        <v>906</v>
      </c>
      <c r="AB122" s="9" t="s">
        <v>617</v>
      </c>
      <c r="AC122" s="9" t="s">
        <v>881</v>
      </c>
      <c r="AD122" s="9" t="s">
        <v>789</v>
      </c>
      <c r="AE122" s="9" t="s">
        <v>631</v>
      </c>
    </row>
    <row r="123" spans="1:32" x14ac:dyDescent="0.3">
      <c r="A123" s="7" t="s">
        <v>584</v>
      </c>
      <c r="B123" s="7">
        <v>4902</v>
      </c>
      <c r="C123" s="7" t="s">
        <v>585</v>
      </c>
      <c r="D123" s="7" t="s">
        <v>586</v>
      </c>
      <c r="E123" s="7" t="s">
        <v>285</v>
      </c>
      <c r="F123" s="7" t="s">
        <v>60</v>
      </c>
      <c r="G123" s="7" t="s">
        <v>587</v>
      </c>
      <c r="H123" s="8" t="s">
        <v>62</v>
      </c>
      <c r="I123" s="9" t="s">
        <v>249</v>
      </c>
      <c r="J123" s="9" t="s">
        <v>64</v>
      </c>
      <c r="K123" s="9" t="s">
        <v>249</v>
      </c>
      <c r="L123" s="9" t="s">
        <v>66</v>
      </c>
      <c r="M123" s="9" t="s">
        <v>66</v>
      </c>
      <c r="N123" s="9" t="s">
        <v>249</v>
      </c>
      <c r="O123" s="9" t="s">
        <v>249</v>
      </c>
      <c r="P123" s="9" t="s">
        <v>249</v>
      </c>
      <c r="Q123" s="9" t="s">
        <v>249</v>
      </c>
      <c r="R123" s="9" t="s">
        <v>737</v>
      </c>
      <c r="S123" s="9" t="s">
        <v>249</v>
      </c>
      <c r="T123" s="9" t="s">
        <v>249</v>
      </c>
      <c r="U123" s="9" t="s">
        <v>249</v>
      </c>
      <c r="V123" s="9" t="s">
        <v>249</v>
      </c>
      <c r="W123" s="9" t="s">
        <v>249</v>
      </c>
      <c r="X123" s="9" t="s">
        <v>249</v>
      </c>
      <c r="Y123" s="9" t="s">
        <v>249</v>
      </c>
      <c r="Z123" s="9" t="s">
        <v>249</v>
      </c>
      <c r="AA123" s="9" t="s">
        <v>249</v>
      </c>
      <c r="AB123" s="9" t="s">
        <v>614</v>
      </c>
      <c r="AC123" s="9" t="s">
        <v>249</v>
      </c>
      <c r="AD123" s="9" t="s">
        <v>792</v>
      </c>
      <c r="AE123" s="9" t="s">
        <v>629</v>
      </c>
    </row>
    <row r="124" spans="1:32" x14ac:dyDescent="0.3">
      <c r="A124" s="7" t="s">
        <v>516</v>
      </c>
      <c r="B124" s="7">
        <v>72</v>
      </c>
      <c r="C124" s="7" t="s">
        <v>517</v>
      </c>
      <c r="D124" s="7" t="s">
        <v>518</v>
      </c>
      <c r="E124" s="7" t="s">
        <v>231</v>
      </c>
      <c r="F124" s="7" t="s">
        <v>60</v>
      </c>
      <c r="G124" s="7" t="s">
        <v>519</v>
      </c>
      <c r="H124" s="8" t="s">
        <v>62</v>
      </c>
      <c r="I124" s="9" t="s">
        <v>249</v>
      </c>
      <c r="J124" s="9" t="s">
        <v>64</v>
      </c>
      <c r="K124" s="9" t="s">
        <v>249</v>
      </c>
      <c r="L124" s="9" t="s">
        <v>66</v>
      </c>
      <c r="M124" s="9" t="s">
        <v>66</v>
      </c>
      <c r="N124" s="9" t="s">
        <v>249</v>
      </c>
      <c r="O124" s="9" t="s">
        <v>249</v>
      </c>
      <c r="P124" s="9" t="s">
        <v>249</v>
      </c>
      <c r="Q124" s="9" t="s">
        <v>249</v>
      </c>
      <c r="R124" s="9" t="s">
        <v>737</v>
      </c>
      <c r="S124" s="9" t="s">
        <v>249</v>
      </c>
      <c r="T124" s="9" t="s">
        <v>249</v>
      </c>
      <c r="U124" s="9" t="s">
        <v>249</v>
      </c>
      <c r="V124" s="9" t="s">
        <v>249</v>
      </c>
      <c r="W124" s="9" t="s">
        <v>249</v>
      </c>
      <c r="X124" s="9" t="s">
        <v>249</v>
      </c>
      <c r="Y124" s="9" t="s">
        <v>249</v>
      </c>
      <c r="Z124" s="9" t="s">
        <v>249</v>
      </c>
      <c r="AA124" s="9" t="s">
        <v>249</v>
      </c>
      <c r="AB124" s="9" t="str">
        <f>IFERROR(IF(VLOOKUP(D124,Revistas!$A$21:$C$400,3,FALSE)=0,"",VLOOKUP(D124,Revistas!$A$21:$C$400,3,FALSE)),"")</f>
        <v>medio</v>
      </c>
      <c r="AC124" s="9" t="s">
        <v>249</v>
      </c>
      <c r="AD124" s="9" t="s">
        <v>249</v>
      </c>
      <c r="AE124" s="9" t="s">
        <v>629</v>
      </c>
    </row>
    <row r="125" spans="1:32" x14ac:dyDescent="0.3">
      <c r="A125" s="7" t="s">
        <v>520</v>
      </c>
      <c r="B125" s="7">
        <v>74</v>
      </c>
      <c r="C125" s="7" t="s">
        <v>521</v>
      </c>
      <c r="D125" s="7" t="s">
        <v>522</v>
      </c>
      <c r="E125" s="7" t="s">
        <v>79</v>
      </c>
      <c r="F125" s="7" t="s">
        <v>60</v>
      </c>
      <c r="G125" s="7" t="s">
        <v>523</v>
      </c>
      <c r="H125" s="8" t="s">
        <v>62</v>
      </c>
      <c r="I125" s="9" t="s">
        <v>249</v>
      </c>
      <c r="J125" s="9" t="s">
        <v>64</v>
      </c>
      <c r="K125" s="9" t="s">
        <v>249</v>
      </c>
      <c r="L125" s="9" t="s">
        <v>66</v>
      </c>
      <c r="M125" s="9" t="s">
        <v>66</v>
      </c>
      <c r="N125" s="9" t="s">
        <v>249</v>
      </c>
      <c r="O125" s="9" t="s">
        <v>249</v>
      </c>
      <c r="P125" s="9" t="s">
        <v>249</v>
      </c>
      <c r="Q125" s="9" t="s">
        <v>249</v>
      </c>
      <c r="R125" s="9" t="s">
        <v>737</v>
      </c>
      <c r="S125" s="9" t="s">
        <v>249</v>
      </c>
      <c r="T125" s="9" t="s">
        <v>249</v>
      </c>
      <c r="U125" s="9" t="s">
        <v>249</v>
      </c>
      <c r="V125" s="9" t="s">
        <v>249</v>
      </c>
      <c r="W125" s="9" t="s">
        <v>249</v>
      </c>
      <c r="X125" s="9" t="s">
        <v>249</v>
      </c>
      <c r="Y125" s="9" t="s">
        <v>249</v>
      </c>
      <c r="Z125" s="9" t="s">
        <v>249</v>
      </c>
      <c r="AA125" s="9" t="s">
        <v>249</v>
      </c>
      <c r="AB125" s="9" t="str">
        <f>IFERROR(IF(VLOOKUP(D125,Revistas!$A$21:$C$400,3,FALSE)=0,"",VLOOKUP(D125,Revistas!$A$21:$C$400,3,FALSE)),"")</f>
        <v>alto</v>
      </c>
      <c r="AC125" s="9" t="s">
        <v>249</v>
      </c>
      <c r="AD125" s="9" t="s">
        <v>249</v>
      </c>
      <c r="AE125" s="9" t="s">
        <v>629</v>
      </c>
    </row>
    <row r="126" spans="1:32" x14ac:dyDescent="0.3">
      <c r="A126" s="7" t="s">
        <v>531</v>
      </c>
      <c r="B126" s="7">
        <v>120</v>
      </c>
      <c r="C126" s="7" t="s">
        <v>532</v>
      </c>
      <c r="D126" s="7" t="s">
        <v>284</v>
      </c>
      <c r="E126" s="7" t="s">
        <v>285</v>
      </c>
      <c r="F126" s="7" t="s">
        <v>60</v>
      </c>
      <c r="G126" s="7" t="s">
        <v>533</v>
      </c>
      <c r="H126" s="8" t="s">
        <v>62</v>
      </c>
      <c r="I126" s="9" t="s">
        <v>249</v>
      </c>
      <c r="J126" s="9" t="s">
        <v>64</v>
      </c>
      <c r="K126" s="9" t="s">
        <v>249</v>
      </c>
      <c r="L126" s="9" t="s">
        <v>66</v>
      </c>
      <c r="M126" s="9" t="s">
        <v>66</v>
      </c>
      <c r="N126" s="9" t="s">
        <v>249</v>
      </c>
      <c r="O126" s="9" t="s">
        <v>249</v>
      </c>
      <c r="P126" s="9" t="s">
        <v>249</v>
      </c>
      <c r="Q126" s="9" t="s">
        <v>249</v>
      </c>
      <c r="R126" s="9" t="s">
        <v>737</v>
      </c>
      <c r="S126" s="9" t="s">
        <v>249</v>
      </c>
      <c r="T126" s="9" t="s">
        <v>249</v>
      </c>
      <c r="U126" s="9" t="s">
        <v>249</v>
      </c>
      <c r="V126" s="9" t="s">
        <v>249</v>
      </c>
      <c r="W126" s="9" t="s">
        <v>249</v>
      </c>
      <c r="X126" s="9" t="s">
        <v>249</v>
      </c>
      <c r="Y126" s="9" t="s">
        <v>249</v>
      </c>
      <c r="Z126" s="9" t="s">
        <v>249</v>
      </c>
      <c r="AA126" s="9" t="s">
        <v>249</v>
      </c>
      <c r="AB126" s="9" t="s">
        <v>614</v>
      </c>
      <c r="AC126" s="9" t="s">
        <v>249</v>
      </c>
      <c r="AD126" s="9" t="s">
        <v>249</v>
      </c>
      <c r="AE126" s="9" t="s">
        <v>629</v>
      </c>
    </row>
    <row r="127" spans="1:32" x14ac:dyDescent="0.3">
      <c r="A127" s="7" t="s">
        <v>538</v>
      </c>
      <c r="B127" s="7">
        <v>137</v>
      </c>
      <c r="C127" s="7" t="s">
        <v>539</v>
      </c>
      <c r="D127" s="7" t="s">
        <v>540</v>
      </c>
      <c r="E127" s="7" t="s">
        <v>59</v>
      </c>
      <c r="F127" s="7" t="s">
        <v>60</v>
      </c>
      <c r="G127" s="7" t="s">
        <v>541</v>
      </c>
      <c r="H127" s="8" t="s">
        <v>62</v>
      </c>
      <c r="I127" s="9" t="s">
        <v>249</v>
      </c>
      <c r="J127" s="9" t="s">
        <v>64</v>
      </c>
      <c r="K127" s="9" t="s">
        <v>249</v>
      </c>
      <c r="L127" s="9" t="s">
        <v>66</v>
      </c>
      <c r="M127" s="9" t="s">
        <v>66</v>
      </c>
      <c r="N127" s="9" t="s">
        <v>249</v>
      </c>
      <c r="O127" s="9" t="s">
        <v>249</v>
      </c>
      <c r="P127" s="9" t="s">
        <v>249</v>
      </c>
      <c r="Q127" s="9" t="s">
        <v>249</v>
      </c>
      <c r="R127" s="9" t="s">
        <v>737</v>
      </c>
      <c r="S127" s="9" t="s">
        <v>249</v>
      </c>
      <c r="T127" s="9" t="s">
        <v>249</v>
      </c>
      <c r="U127" s="9" t="s">
        <v>249</v>
      </c>
      <c r="V127" s="9" t="s">
        <v>249</v>
      </c>
      <c r="W127" s="9" t="s">
        <v>249</v>
      </c>
      <c r="X127" s="9" t="s">
        <v>249</v>
      </c>
      <c r="Y127" s="9" t="s">
        <v>249</v>
      </c>
      <c r="Z127" s="9" t="s">
        <v>249</v>
      </c>
      <c r="AA127" s="9" t="s">
        <v>249</v>
      </c>
      <c r="AB127" s="9" t="str">
        <f>IFERROR(IF(VLOOKUP(D127,Revistas!$A$21:$C$400,3,FALSE)=0,"",VLOOKUP(D127,Revistas!$A$21:$C$400,3,FALSE)),"")</f>
        <v>medio</v>
      </c>
      <c r="AC127" s="9" t="s">
        <v>249</v>
      </c>
      <c r="AD127" s="9" t="s">
        <v>249</v>
      </c>
      <c r="AE127" s="9" t="s">
        <v>629</v>
      </c>
    </row>
    <row r="128" spans="1:32" x14ac:dyDescent="0.3">
      <c r="A128" s="7" t="s">
        <v>545</v>
      </c>
      <c r="B128" s="7">
        <v>185</v>
      </c>
      <c r="C128" s="7" t="s">
        <v>546</v>
      </c>
      <c r="D128" s="7" t="s">
        <v>280</v>
      </c>
      <c r="E128" s="7" t="s">
        <v>59</v>
      </c>
      <c r="F128" s="7" t="s">
        <v>60</v>
      </c>
      <c r="G128" s="7" t="s">
        <v>547</v>
      </c>
      <c r="H128" s="8" t="s">
        <v>62</v>
      </c>
      <c r="I128" s="9" t="s">
        <v>249</v>
      </c>
      <c r="J128" s="9" t="s">
        <v>64</v>
      </c>
      <c r="K128" s="9" t="s">
        <v>249</v>
      </c>
      <c r="L128" s="9" t="s">
        <v>66</v>
      </c>
      <c r="M128" s="9" t="s">
        <v>66</v>
      </c>
      <c r="N128" s="9" t="s">
        <v>249</v>
      </c>
      <c r="O128" s="9" t="s">
        <v>249</v>
      </c>
      <c r="P128" s="9" t="s">
        <v>249</v>
      </c>
      <c r="Q128" s="9" t="s">
        <v>249</v>
      </c>
      <c r="R128" s="9" t="s">
        <v>737</v>
      </c>
      <c r="S128" s="9" t="s">
        <v>249</v>
      </c>
      <c r="T128" s="9" t="s">
        <v>249</v>
      </c>
      <c r="U128" s="9" t="s">
        <v>249</v>
      </c>
      <c r="V128" s="9" t="s">
        <v>249</v>
      </c>
      <c r="W128" s="9" t="s">
        <v>249</v>
      </c>
      <c r="X128" s="9" t="s">
        <v>249</v>
      </c>
      <c r="Y128" s="9" t="s">
        <v>249</v>
      </c>
      <c r="Z128" s="9" t="s">
        <v>249</v>
      </c>
      <c r="AA128" s="9" t="s">
        <v>249</v>
      </c>
      <c r="AB128" s="9" t="s">
        <v>614</v>
      </c>
      <c r="AC128" s="9" t="s">
        <v>249</v>
      </c>
      <c r="AD128" s="9" t="s">
        <v>249</v>
      </c>
      <c r="AE128" s="9" t="s">
        <v>629</v>
      </c>
    </row>
    <row r="129" spans="1:31" x14ac:dyDescent="0.3">
      <c r="A129" s="7" t="s">
        <v>548</v>
      </c>
      <c r="B129" s="7">
        <v>193</v>
      </c>
      <c r="C129" s="7" t="s">
        <v>549</v>
      </c>
      <c r="D129" s="7" t="s">
        <v>550</v>
      </c>
      <c r="E129" s="7" t="s">
        <v>59</v>
      </c>
      <c r="F129" s="7" t="s">
        <v>60</v>
      </c>
      <c r="G129" s="7" t="s">
        <v>551</v>
      </c>
      <c r="H129" s="8" t="s">
        <v>62</v>
      </c>
      <c r="I129" s="9" t="s">
        <v>249</v>
      </c>
      <c r="J129" s="9" t="s">
        <v>64</v>
      </c>
      <c r="K129" s="9" t="s">
        <v>249</v>
      </c>
      <c r="L129" s="9" t="s">
        <v>66</v>
      </c>
      <c r="M129" s="9" t="s">
        <v>66</v>
      </c>
      <c r="N129" s="9" t="s">
        <v>249</v>
      </c>
      <c r="O129" s="9" t="s">
        <v>249</v>
      </c>
      <c r="P129" s="9" t="s">
        <v>249</v>
      </c>
      <c r="Q129" s="9" t="s">
        <v>249</v>
      </c>
      <c r="R129" s="9" t="s">
        <v>737</v>
      </c>
      <c r="S129" s="9" t="s">
        <v>249</v>
      </c>
      <c r="T129" s="9" t="s">
        <v>249</v>
      </c>
      <c r="U129" s="9" t="s">
        <v>249</v>
      </c>
      <c r="V129" s="9" t="s">
        <v>249</v>
      </c>
      <c r="W129" s="9" t="s">
        <v>249</v>
      </c>
      <c r="X129" s="9" t="s">
        <v>249</v>
      </c>
      <c r="Y129" s="9" t="s">
        <v>249</v>
      </c>
      <c r="Z129" s="9" t="s">
        <v>249</v>
      </c>
      <c r="AA129" s="9" t="s">
        <v>249</v>
      </c>
      <c r="AB129" s="9" t="s">
        <v>614</v>
      </c>
      <c r="AC129" s="9" t="s">
        <v>249</v>
      </c>
      <c r="AD129" s="9" t="s">
        <v>249</v>
      </c>
      <c r="AE129" s="9" t="s">
        <v>629</v>
      </c>
    </row>
    <row r="130" spans="1:31" x14ac:dyDescent="0.3">
      <c r="A130" s="7" t="s">
        <v>552</v>
      </c>
      <c r="B130" s="7">
        <v>324</v>
      </c>
      <c r="C130" s="7" t="s">
        <v>553</v>
      </c>
      <c r="D130" s="7" t="s">
        <v>554</v>
      </c>
      <c r="E130" s="7" t="s">
        <v>164</v>
      </c>
      <c r="F130" s="7" t="s">
        <v>60</v>
      </c>
      <c r="G130" s="7" t="s">
        <v>555</v>
      </c>
      <c r="H130" s="8" t="s">
        <v>62</v>
      </c>
      <c r="I130" s="9" t="s">
        <v>249</v>
      </c>
      <c r="J130" s="9" t="s">
        <v>64</v>
      </c>
      <c r="K130" s="9" t="s">
        <v>249</v>
      </c>
      <c r="L130" s="9" t="s">
        <v>66</v>
      </c>
      <c r="M130" s="9" t="s">
        <v>66</v>
      </c>
      <c r="N130" s="9" t="s">
        <v>249</v>
      </c>
      <c r="O130" s="9" t="s">
        <v>249</v>
      </c>
      <c r="P130" s="9" t="s">
        <v>249</v>
      </c>
      <c r="Q130" s="9" t="s">
        <v>249</v>
      </c>
      <c r="R130" s="9" t="s">
        <v>737</v>
      </c>
      <c r="S130" s="9" t="s">
        <v>249</v>
      </c>
      <c r="T130" s="9" t="s">
        <v>249</v>
      </c>
      <c r="U130" s="9" t="s">
        <v>249</v>
      </c>
      <c r="V130" s="9" t="s">
        <v>249</v>
      </c>
      <c r="W130" s="9" t="s">
        <v>249</v>
      </c>
      <c r="X130" s="9" t="s">
        <v>249</v>
      </c>
      <c r="Y130" s="9" t="s">
        <v>249</v>
      </c>
      <c r="Z130" s="9" t="s">
        <v>249</v>
      </c>
      <c r="AA130" s="9" t="s">
        <v>249</v>
      </c>
      <c r="AB130" s="9" t="s">
        <v>614</v>
      </c>
      <c r="AC130" s="9" t="s">
        <v>249</v>
      </c>
      <c r="AD130" s="9" t="s">
        <v>249</v>
      </c>
      <c r="AE130" s="9" t="s">
        <v>629</v>
      </c>
    </row>
    <row r="131" spans="1:31" x14ac:dyDescent="0.3">
      <c r="A131" s="7" t="s">
        <v>563</v>
      </c>
      <c r="B131" s="7">
        <v>613</v>
      </c>
      <c r="C131" s="7" t="s">
        <v>564</v>
      </c>
      <c r="D131" s="7" t="s">
        <v>565</v>
      </c>
      <c r="E131" s="7" t="s">
        <v>143</v>
      </c>
      <c r="F131" s="7" t="s">
        <v>60</v>
      </c>
      <c r="G131" s="7" t="s">
        <v>566</v>
      </c>
      <c r="H131" s="8" t="s">
        <v>62</v>
      </c>
      <c r="I131" s="9" t="s">
        <v>249</v>
      </c>
      <c r="J131" s="9" t="s">
        <v>64</v>
      </c>
      <c r="K131" s="9" t="s">
        <v>249</v>
      </c>
      <c r="L131" s="9" t="s">
        <v>66</v>
      </c>
      <c r="M131" s="9" t="s">
        <v>66</v>
      </c>
      <c r="N131" s="9" t="s">
        <v>249</v>
      </c>
      <c r="O131" s="9" t="s">
        <v>249</v>
      </c>
      <c r="P131" s="9" t="s">
        <v>249</v>
      </c>
      <c r="Q131" s="9" t="s">
        <v>249</v>
      </c>
      <c r="R131" s="9" t="s">
        <v>737</v>
      </c>
      <c r="S131" s="9" t="s">
        <v>249</v>
      </c>
      <c r="T131" s="9" t="s">
        <v>249</v>
      </c>
      <c r="U131" s="9" t="s">
        <v>249</v>
      </c>
      <c r="V131" s="9" t="s">
        <v>249</v>
      </c>
      <c r="W131" s="9" t="s">
        <v>249</v>
      </c>
      <c r="X131" s="9" t="s">
        <v>249</v>
      </c>
      <c r="Y131" s="9" t="s">
        <v>249</v>
      </c>
      <c r="Z131" s="9" t="s">
        <v>249</v>
      </c>
      <c r="AA131" s="9" t="s">
        <v>249</v>
      </c>
      <c r="AB131" s="9" t="s">
        <v>614</v>
      </c>
      <c r="AC131" s="9" t="s">
        <v>249</v>
      </c>
      <c r="AD131" s="9" t="s">
        <v>249</v>
      </c>
      <c r="AE131" s="9" t="s">
        <v>629</v>
      </c>
    </row>
    <row r="132" spans="1:31" x14ac:dyDescent="0.3">
      <c r="A132" s="7" t="s">
        <v>570</v>
      </c>
      <c r="B132" s="7">
        <v>1085</v>
      </c>
      <c r="C132" s="7" t="s">
        <v>571</v>
      </c>
      <c r="D132" s="7" t="s">
        <v>306</v>
      </c>
      <c r="E132" s="7" t="s">
        <v>79</v>
      </c>
      <c r="F132" s="7" t="s">
        <v>60</v>
      </c>
      <c r="G132" s="7" t="s">
        <v>572</v>
      </c>
      <c r="H132" s="8" t="s">
        <v>62</v>
      </c>
      <c r="I132" s="9" t="s">
        <v>249</v>
      </c>
      <c r="J132" s="9" t="s">
        <v>64</v>
      </c>
      <c r="K132" s="9" t="s">
        <v>249</v>
      </c>
      <c r="L132" s="9" t="s">
        <v>66</v>
      </c>
      <c r="M132" s="9" t="s">
        <v>66</v>
      </c>
      <c r="N132" s="9" t="s">
        <v>249</v>
      </c>
      <c r="O132" s="9" t="s">
        <v>249</v>
      </c>
      <c r="P132" s="9" t="s">
        <v>249</v>
      </c>
      <c r="Q132" s="9" t="s">
        <v>249</v>
      </c>
      <c r="R132" s="9" t="s">
        <v>737</v>
      </c>
      <c r="S132" s="9" t="s">
        <v>249</v>
      </c>
      <c r="T132" s="9" t="s">
        <v>249</v>
      </c>
      <c r="U132" s="9" t="s">
        <v>249</v>
      </c>
      <c r="V132" s="9" t="s">
        <v>249</v>
      </c>
      <c r="W132" s="9" t="s">
        <v>249</v>
      </c>
      <c r="X132" s="9" t="s">
        <v>249</v>
      </c>
      <c r="Y132" s="9" t="s">
        <v>249</v>
      </c>
      <c r="Z132" s="9" t="s">
        <v>249</v>
      </c>
      <c r="AA132" s="9" t="s">
        <v>249</v>
      </c>
      <c r="AB132" s="9" t="s">
        <v>614</v>
      </c>
      <c r="AC132" s="9" t="s">
        <v>249</v>
      </c>
      <c r="AD132" s="9" t="s">
        <v>249</v>
      </c>
      <c r="AE132" s="9" t="s">
        <v>629</v>
      </c>
    </row>
    <row r="133" spans="1:31" x14ac:dyDescent="0.3">
      <c r="A133" s="7" t="s">
        <v>573</v>
      </c>
      <c r="B133" s="7">
        <v>1251</v>
      </c>
      <c r="C133" s="7" t="s">
        <v>574</v>
      </c>
      <c r="D133" s="7" t="s">
        <v>132</v>
      </c>
      <c r="E133" s="7" t="s">
        <v>89</v>
      </c>
      <c r="F133" s="7" t="s">
        <v>60</v>
      </c>
      <c r="G133" s="7" t="s">
        <v>575</v>
      </c>
      <c r="H133" s="8" t="s">
        <v>62</v>
      </c>
      <c r="I133" s="9" t="s">
        <v>249</v>
      </c>
      <c r="J133" s="9" t="s">
        <v>64</v>
      </c>
      <c r="K133" s="9" t="s">
        <v>249</v>
      </c>
      <c r="L133" s="9" t="s">
        <v>66</v>
      </c>
      <c r="M133" s="9" t="s">
        <v>66</v>
      </c>
      <c r="N133" s="9" t="s">
        <v>249</v>
      </c>
      <c r="O133" s="9" t="s">
        <v>249</v>
      </c>
      <c r="P133" s="9" t="s">
        <v>249</v>
      </c>
      <c r="Q133" s="9" t="s">
        <v>249</v>
      </c>
      <c r="R133" s="9" t="s">
        <v>737</v>
      </c>
      <c r="S133" s="9" t="s">
        <v>249</v>
      </c>
      <c r="T133" s="9" t="s">
        <v>249</v>
      </c>
      <c r="U133" s="9" t="s">
        <v>249</v>
      </c>
      <c r="V133" s="9" t="s">
        <v>249</v>
      </c>
      <c r="W133" s="9" t="s">
        <v>249</v>
      </c>
      <c r="X133" s="9" t="s">
        <v>249</v>
      </c>
      <c r="Y133" s="9" t="s">
        <v>249</v>
      </c>
      <c r="Z133" s="9" t="s">
        <v>249</v>
      </c>
      <c r="AA133" s="9" t="s">
        <v>249</v>
      </c>
      <c r="AB133" s="9" t="s">
        <v>614</v>
      </c>
      <c r="AC133" s="9"/>
      <c r="AD133" s="9"/>
      <c r="AE133" s="9"/>
    </row>
  </sheetData>
  <autoFilter ref="A1:AF123" xr:uid="{00000000-0001-0000-0100-000000000000}"/>
  <phoneticPr fontId="4" type="noConversion"/>
  <dataValidations count="12">
    <dataValidation type="list" allowBlank="1" sqref="K146:K203 K2:K133" xr:uid="{00000000-0002-0000-0100-000000000000}">
      <formula1>"solo Pseudomonas,mixto con subgrupo de Pseudomonas"</formula1>
    </dataValidation>
    <dataValidation type="list" allowBlank="1" sqref="L146:L203 L2:L133" xr:uid="{00000000-0002-0000-0100-000001000000}">
      <formula1>"MDR,XDR,PDR,por debajo del umbral MDR,no clasificable"</formula1>
    </dataValidation>
    <dataValidation type="list" allowBlank="1" sqref="M146:M203 M2:M133" xr:uid="{00000000-0002-0000-0100-000002000000}">
      <formula1>"declarado por el autor,verificado de forma independiente,no clasificable"</formula1>
    </dataValidation>
    <dataValidation type="list" allowBlank="1" sqref="N146:N203 N2:N133" xr:uid="{00000000-0002-0000-0100-000003000000}">
      <formula1>"si,no,no derivable"</formula1>
    </dataValidation>
    <dataValidation type="list" allowBlank="1" sqref="O146:O203 O2:O133" xr:uid="{00000000-0002-0000-0100-000004000000}">
      <formula1>"IV,inhalada/nebulizada,topica/local,oral,intravesical,intraarticular,otra,NA"</formula1>
    </dataValidation>
    <dataValidation type="list" allowBlank="1" sqref="P146:P203 P2:P133" xr:uid="{00000000-0002-0000-0100-000005000000}">
      <formula1>"fago en monoterapia,fago + antibiotico,fago + otro,NA"</formula1>
    </dataValidation>
    <dataValidation type="list" allowBlank="1" sqref="Q146:Q203 Q2:Q133" xr:uid="{00000000-0002-0000-0100-000006000000}">
      <formula1>"ECA,caso clinico,serie de casos,cohorte retrospectiva,cohorte prospectiva,ensayo no aleatorizado,otra"</formula1>
    </dataValidation>
    <dataValidation type="list" allowBlank="1" sqref="R146:R203 R2:R133" xr:uid="{00000000-0002-0000-0100-000007000000}">
      <formula1>"COMPLETA,PARCIAL,INCOMPLETA"</formula1>
    </dataValidation>
    <dataValidation type="custom" allowBlank="1" showErrorMessage="1" errorTitle="Revise la cifra" error="Debe ser un entero entre 0 y el nº de pacientes del brazo, o NA si el artículo no lo reporta." sqref="T146:W203 Y146:Y203 T2:W133 Y2:Y133" xr:uid="{00000000-0002-0000-0100-000008000000}">
      <formula1>OR(T2="NA",AND(ISNUMBER(T2),T2&gt;=0,T2&lt;=$S2))</formula1>
    </dataValidation>
    <dataValidation type="custom" allowBlank="1" showErrorMessage="1" errorTitle="Revise la cifra" error="Un número (mínimo 1) o NA si el artículo no lo reporta." sqref="S146:S203 S2:S133" xr:uid="{00000000-0002-0000-0100-00000D000000}">
      <formula1>OR(S2="NA",AND(ISNUMBER(S2),S2&gt;=1))</formula1>
    </dataValidation>
    <dataValidation type="custom" allowBlank="1" showErrorMessage="1" errorTitle="Revise la cifra" error="Un número (mínimo 0) o NA si el artículo no lo reporta." sqref="X146:X203 X2:X133" xr:uid="{00000000-0002-0000-0100-00000E000000}">
      <formula1>OR(X2="NA",AND(ISNUMBER(X2),X2&gt;=0))</formula1>
    </dataValidation>
    <dataValidation type="list" allowBlank="1" sqref="Z146:Z203 Z2:Z133" xr:uid="{00000000-0002-0000-0100-00000F000000}">
      <formula1>"2006,2007,2008,2009,2010,2011,2012,2013,2014,2015,2016,2017,2018,2019,2020,2021,2022,2023,2024,2025,2026"</formula1>
    </dataValidation>
  </dataValidations>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 ref="H21" r:id="rId20" xr:uid="{00000000-0004-0000-0100-000013000000}"/>
    <hyperlink ref="H22" r:id="rId21" xr:uid="{00000000-0004-0000-0100-000014000000}"/>
    <hyperlink ref="H23" r:id="rId22" xr:uid="{00000000-0004-0000-0100-000015000000}"/>
    <hyperlink ref="H24" r:id="rId23" xr:uid="{00000000-0004-0000-0100-000016000000}"/>
    <hyperlink ref="H25" r:id="rId24" xr:uid="{00000000-0004-0000-0100-000017000000}"/>
    <hyperlink ref="H26" r:id="rId25" xr:uid="{00000000-0004-0000-0100-000018000000}"/>
    <hyperlink ref="H27" r:id="rId26" xr:uid="{00000000-0004-0000-0100-000019000000}"/>
    <hyperlink ref="H28" r:id="rId27" xr:uid="{00000000-0004-0000-0100-00001A000000}"/>
    <hyperlink ref="H29" r:id="rId28" xr:uid="{00000000-0004-0000-0100-00001B000000}"/>
    <hyperlink ref="H30" r:id="rId29" xr:uid="{00000000-0004-0000-0100-00001C000000}"/>
    <hyperlink ref="H31" r:id="rId30" xr:uid="{00000000-0004-0000-0100-00001D000000}"/>
    <hyperlink ref="H32" r:id="rId31" xr:uid="{00000000-0004-0000-0100-00001E000000}"/>
    <hyperlink ref="H33" r:id="rId32" xr:uid="{00000000-0004-0000-0100-00001F000000}"/>
    <hyperlink ref="H34" r:id="rId33" xr:uid="{00000000-0004-0000-0100-000020000000}"/>
    <hyperlink ref="H35" r:id="rId34" xr:uid="{00000000-0004-0000-0100-000021000000}"/>
    <hyperlink ref="H39" r:id="rId35" xr:uid="{00000000-0004-0000-0100-000022000000}"/>
    <hyperlink ref="H40" r:id="rId36" xr:uid="{00000000-0004-0000-0100-000023000000}"/>
    <hyperlink ref="H41" r:id="rId37" xr:uid="{00000000-0004-0000-0100-000024000000}"/>
    <hyperlink ref="H42" r:id="rId38" xr:uid="{00000000-0004-0000-0100-000025000000}"/>
    <hyperlink ref="H43" r:id="rId39" xr:uid="{00000000-0004-0000-0100-000026000000}"/>
    <hyperlink ref="H44" r:id="rId40" xr:uid="{00000000-0004-0000-0100-000027000000}"/>
    <hyperlink ref="H45" r:id="rId41" xr:uid="{00000000-0004-0000-0100-000028000000}"/>
    <hyperlink ref="H46" r:id="rId42" xr:uid="{00000000-0004-0000-0100-000029000000}"/>
    <hyperlink ref="H47" r:id="rId43" xr:uid="{00000000-0004-0000-0100-00002A000000}"/>
    <hyperlink ref="H48" r:id="rId44" xr:uid="{00000000-0004-0000-0100-00002B000000}"/>
    <hyperlink ref="H49" r:id="rId45" xr:uid="{00000000-0004-0000-0100-00002C000000}"/>
    <hyperlink ref="H50" r:id="rId46" xr:uid="{00000000-0004-0000-0100-00002D000000}"/>
    <hyperlink ref="H51" r:id="rId47" xr:uid="{00000000-0004-0000-0100-00002E000000}"/>
    <hyperlink ref="H52" r:id="rId48" xr:uid="{00000000-0004-0000-0100-00002F000000}"/>
    <hyperlink ref="H53" r:id="rId49" xr:uid="{00000000-0004-0000-0100-000030000000}"/>
    <hyperlink ref="H54" r:id="rId50" xr:uid="{00000000-0004-0000-0100-000031000000}"/>
    <hyperlink ref="H55" r:id="rId51" xr:uid="{00000000-0004-0000-0100-000032000000}"/>
    <hyperlink ref="H56" r:id="rId52" xr:uid="{00000000-0004-0000-0100-000033000000}"/>
    <hyperlink ref="H57" r:id="rId53" xr:uid="{00000000-0004-0000-0100-000034000000}"/>
    <hyperlink ref="H58" r:id="rId54" xr:uid="{00000000-0004-0000-0100-000035000000}"/>
    <hyperlink ref="H59" r:id="rId55" xr:uid="{00000000-0004-0000-0100-000036000000}"/>
    <hyperlink ref="H60" r:id="rId56" xr:uid="{00000000-0004-0000-0100-000037000000}"/>
    <hyperlink ref="H61" r:id="rId57" xr:uid="{00000000-0004-0000-0100-000038000000}"/>
    <hyperlink ref="H62" r:id="rId58" xr:uid="{00000000-0004-0000-0100-000039000000}"/>
    <hyperlink ref="H63" r:id="rId59" xr:uid="{00000000-0004-0000-0100-00003A000000}"/>
    <hyperlink ref="H64" r:id="rId60" xr:uid="{00000000-0004-0000-0100-00003B000000}"/>
    <hyperlink ref="H65" r:id="rId61" xr:uid="{00000000-0004-0000-0100-00003C000000}"/>
    <hyperlink ref="H66" r:id="rId62" xr:uid="{00000000-0004-0000-0100-00003D000000}"/>
    <hyperlink ref="H67" r:id="rId63" xr:uid="{00000000-0004-0000-0100-00003E000000}"/>
    <hyperlink ref="H68" r:id="rId64" xr:uid="{00000000-0004-0000-0100-00003F000000}"/>
    <hyperlink ref="H69" r:id="rId65" xr:uid="{00000000-0004-0000-0100-000040000000}"/>
    <hyperlink ref="H70" r:id="rId66" xr:uid="{00000000-0004-0000-0100-000041000000}"/>
    <hyperlink ref="H71" r:id="rId67" xr:uid="{00000000-0004-0000-0100-000042000000}"/>
    <hyperlink ref="H72" r:id="rId68" xr:uid="{00000000-0004-0000-0100-000043000000}"/>
    <hyperlink ref="H73" r:id="rId69" xr:uid="{00000000-0004-0000-0100-000044000000}"/>
    <hyperlink ref="H74" r:id="rId70" xr:uid="{00000000-0004-0000-0100-000045000000}"/>
    <hyperlink ref="H75" r:id="rId71" xr:uid="{00000000-0004-0000-0100-000046000000}"/>
    <hyperlink ref="H76" r:id="rId72" xr:uid="{00000000-0004-0000-0100-000047000000}"/>
    <hyperlink ref="H77" r:id="rId73" xr:uid="{00000000-0004-0000-0100-000048000000}"/>
    <hyperlink ref="H78" r:id="rId74" xr:uid="{00000000-0004-0000-0100-000049000000}"/>
    <hyperlink ref="H79" r:id="rId75" xr:uid="{00000000-0004-0000-0100-00004A000000}"/>
    <hyperlink ref="H80" r:id="rId76" xr:uid="{00000000-0004-0000-0100-00004B000000}"/>
    <hyperlink ref="H81" r:id="rId77" xr:uid="{00000000-0004-0000-0100-00004C000000}"/>
    <hyperlink ref="H82" r:id="rId78" xr:uid="{00000000-0004-0000-0100-00004D000000}"/>
    <hyperlink ref="H83" r:id="rId79" xr:uid="{00000000-0004-0000-0100-00004E000000}"/>
    <hyperlink ref="H84" r:id="rId80" xr:uid="{00000000-0004-0000-0100-00004F000000}"/>
    <hyperlink ref="H85" r:id="rId81" xr:uid="{00000000-0004-0000-0100-000050000000}"/>
    <hyperlink ref="H86" r:id="rId82" xr:uid="{00000000-0004-0000-0100-000051000000}"/>
    <hyperlink ref="H87" r:id="rId83" xr:uid="{00000000-0004-0000-0100-000052000000}"/>
    <hyperlink ref="H88" r:id="rId84" xr:uid="{00000000-0004-0000-0100-000053000000}"/>
    <hyperlink ref="H89" r:id="rId85" xr:uid="{00000000-0004-0000-0100-000054000000}"/>
    <hyperlink ref="H90" r:id="rId86" xr:uid="{00000000-0004-0000-0100-000055000000}"/>
    <hyperlink ref="H91" r:id="rId87" xr:uid="{00000000-0004-0000-0100-000056000000}"/>
    <hyperlink ref="H92" r:id="rId88" xr:uid="{00000000-0004-0000-0100-000057000000}"/>
    <hyperlink ref="H93" r:id="rId89" xr:uid="{00000000-0004-0000-0100-000058000000}"/>
    <hyperlink ref="H94" r:id="rId90" xr:uid="{00000000-0004-0000-0100-000059000000}"/>
    <hyperlink ref="H95" r:id="rId91" xr:uid="{00000000-0004-0000-0100-00005A000000}"/>
    <hyperlink ref="H96" r:id="rId92" xr:uid="{00000000-0004-0000-0100-00005B000000}"/>
    <hyperlink ref="H97" r:id="rId93" xr:uid="{00000000-0004-0000-0100-00005C000000}"/>
    <hyperlink ref="H98" r:id="rId94" xr:uid="{00000000-0004-0000-0100-00005D000000}"/>
    <hyperlink ref="H99" r:id="rId95" xr:uid="{00000000-0004-0000-0100-00005E000000}"/>
    <hyperlink ref="H100" r:id="rId96" xr:uid="{00000000-0004-0000-0100-00005F000000}"/>
    <hyperlink ref="H101" r:id="rId97" xr:uid="{00000000-0004-0000-0100-000060000000}"/>
    <hyperlink ref="H102" r:id="rId98" xr:uid="{00000000-0004-0000-0100-000061000000}"/>
    <hyperlink ref="H103" r:id="rId99" xr:uid="{00000000-0004-0000-0100-000062000000}"/>
    <hyperlink ref="H104" r:id="rId100" xr:uid="{00000000-0004-0000-0100-000063000000}"/>
    <hyperlink ref="H105" r:id="rId101" xr:uid="{00000000-0004-0000-0100-000064000000}"/>
    <hyperlink ref="H106" r:id="rId102" xr:uid="{00000000-0004-0000-0100-000065000000}"/>
    <hyperlink ref="H107" r:id="rId103" xr:uid="{00000000-0004-0000-0100-000066000000}"/>
    <hyperlink ref="H108" r:id="rId104" xr:uid="{00000000-0004-0000-0100-000067000000}"/>
    <hyperlink ref="H109" r:id="rId105" xr:uid="{00000000-0004-0000-0100-000068000000}"/>
    <hyperlink ref="H110" r:id="rId106" xr:uid="{00000000-0004-0000-0100-000069000000}"/>
    <hyperlink ref="H111" r:id="rId107" xr:uid="{00000000-0004-0000-0100-00006A000000}"/>
    <hyperlink ref="H124" r:id="rId108" xr:uid="{00000000-0004-0000-0100-00006B000000}"/>
    <hyperlink ref="H125" r:id="rId109" xr:uid="{00000000-0004-0000-0100-00006C000000}"/>
    <hyperlink ref="H114" r:id="rId110" xr:uid="{00000000-0004-0000-0100-00006D000000}"/>
    <hyperlink ref="H115" r:id="rId111" xr:uid="{00000000-0004-0000-0100-00006E000000}"/>
    <hyperlink ref="H126" r:id="rId112" xr:uid="{00000000-0004-0000-0100-00006F000000}"/>
    <hyperlink ref="H116" r:id="rId113" xr:uid="{00000000-0004-0000-0100-000070000000}"/>
    <hyperlink ref="H127" r:id="rId114" xr:uid="{00000000-0004-0000-0100-000071000000}"/>
    <hyperlink ref="H117" r:id="rId115" xr:uid="{00000000-0004-0000-0100-000072000000}"/>
    <hyperlink ref="H128" r:id="rId116" xr:uid="{00000000-0004-0000-0100-000073000000}"/>
    <hyperlink ref="H129" r:id="rId117" xr:uid="{00000000-0004-0000-0100-000074000000}"/>
    <hyperlink ref="H130" r:id="rId118" xr:uid="{00000000-0004-0000-0100-000075000000}"/>
    <hyperlink ref="H118" r:id="rId119" xr:uid="{00000000-0004-0000-0100-000076000000}"/>
    <hyperlink ref="H119" r:id="rId120" xr:uid="{00000000-0004-0000-0100-000077000000}"/>
    <hyperlink ref="H131" r:id="rId121" xr:uid="{00000000-0004-0000-0100-000078000000}"/>
    <hyperlink ref="H120" r:id="rId122" xr:uid="{00000000-0004-0000-0100-000079000000}"/>
    <hyperlink ref="H132" r:id="rId123" xr:uid="{00000000-0004-0000-0100-00007A000000}"/>
    <hyperlink ref="H133" r:id="rId124" xr:uid="{00000000-0004-0000-0100-00007B000000}"/>
    <hyperlink ref="H121" r:id="rId125" xr:uid="{00000000-0004-0000-0100-00007C000000}"/>
    <hyperlink ref="H122" r:id="rId126" xr:uid="{00000000-0004-0000-0100-00007D000000}"/>
    <hyperlink ref="H123" r:id="rId127" xr:uid="{00000000-0004-0000-0100-00007E000000}"/>
    <hyperlink ref="H112" r:id="rId128" xr:uid="{00000000-0004-0000-0100-00007F000000}"/>
    <hyperlink ref="H113" r:id="rId129" xr:uid="{00000000-0004-0000-0100-000080000000}"/>
    <hyperlink ref="H38" r:id="rId130" xr:uid="{583EA777-9FD9-4F6D-AA70-8393680D0C62}"/>
    <hyperlink ref="H37" r:id="rId131" xr:uid="{8C59A3AB-126E-4AE5-86C8-A46CDC6BA67D}"/>
    <hyperlink ref="H36" r:id="rId132" xr:uid="{A8CD0E7B-2074-48BC-9C32-57CA1B2AFAE2}"/>
  </hyperlinks>
  <pageMargins left="0.75" right="0.75" top="1" bottom="1" header="0.5" footer="0.5"/>
  <pageSetup paperSize="9" orientation="portrait" r:id="rId133"/>
  <legacyDrawing r:id="rId134"/>
  <extLst>
    <ext xmlns:x14="http://schemas.microsoft.com/office/spreadsheetml/2009/9/main" uri="{CCE6A557-97BC-4b89-ADB6-D9C93CAAB3DF}">
      <x14:dataValidations xmlns:xm="http://schemas.microsoft.com/office/excel/2006/main" count="2">
        <x14:dataValidation type="list" allowBlank="1" xr:uid="{00000000-0002-0000-0100-000010000000}">
          <x14:formula1>
            <xm:f>Listas!$A$2:$A$29</xm:f>
          </x14:formula1>
          <xm:sqref>AC146:AC203 AC2:AC133</xm:sqref>
        </x14:dataValidation>
        <x14:dataValidation type="list" allowBlank="1" xr:uid="{00000000-0002-0000-0100-000011000000}">
          <x14:formula1>
            <xm:f>Listas!$C$2:$C$9</xm:f>
          </x14:formula1>
          <xm:sqref>AE146:AE203 AE2:AE133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4"/>
  <sheetViews>
    <sheetView workbookViewId="0">
      <pane ySplit="20" topLeftCell="A21" activePane="bottomLeft" state="frozen"/>
      <selection pane="bottomLeft"/>
    </sheetView>
  </sheetViews>
  <sheetFormatPr baseColWidth="10" defaultColWidth="8.88671875" defaultRowHeight="14.4" x14ac:dyDescent="0.3"/>
  <cols>
    <col min="1" max="1" width="56" customWidth="1"/>
    <col min="2" max="2" width="10" customWidth="1"/>
    <col min="3" max="3" width="16" customWidth="1"/>
    <col min="4" max="4" width="22" customWidth="1"/>
    <col min="5" max="5" width="26" customWidth="1"/>
  </cols>
  <sheetData>
    <row r="1" spans="1:1" x14ac:dyDescent="0.3">
      <c r="A1" s="1" t="s">
        <v>596</v>
      </c>
    </row>
    <row r="3" spans="1:1" x14ac:dyDescent="0.3">
      <c r="A3" t="s">
        <v>597</v>
      </c>
    </row>
    <row r="4" spans="1:1" x14ac:dyDescent="0.3">
      <c r="A4" t="s">
        <v>598</v>
      </c>
    </row>
    <row r="5" spans="1:1" x14ac:dyDescent="0.3">
      <c r="A5" t="s">
        <v>599</v>
      </c>
    </row>
    <row r="7" spans="1:1" x14ac:dyDescent="0.3">
      <c r="A7" t="s">
        <v>600</v>
      </c>
    </row>
    <row r="8" spans="1:1" x14ac:dyDescent="0.3">
      <c r="A8" t="s">
        <v>601</v>
      </c>
    </row>
    <row r="9" spans="1:1" x14ac:dyDescent="0.3">
      <c r="A9" t="s">
        <v>602</v>
      </c>
    </row>
    <row r="10" spans="1:1" x14ac:dyDescent="0.3">
      <c r="A10" t="s">
        <v>603</v>
      </c>
    </row>
    <row r="11" spans="1:1" x14ac:dyDescent="0.3">
      <c r="A11" t="s">
        <v>604</v>
      </c>
    </row>
    <row r="12" spans="1:1" x14ac:dyDescent="0.3">
      <c r="A12" t="s">
        <v>605</v>
      </c>
    </row>
    <row r="14" spans="1:1" x14ac:dyDescent="0.3">
      <c r="A14" t="s">
        <v>606</v>
      </c>
    </row>
    <row r="15" spans="1:1" x14ac:dyDescent="0.3">
      <c r="A15" t="s">
        <v>607</v>
      </c>
    </row>
    <row r="17" spans="1:5" x14ac:dyDescent="0.3">
      <c r="A17" t="s">
        <v>608</v>
      </c>
    </row>
    <row r="18" spans="1:5" x14ac:dyDescent="0.3">
      <c r="A18" t="s">
        <v>609</v>
      </c>
    </row>
    <row r="20" spans="1:5" x14ac:dyDescent="0.3">
      <c r="A20" s="3" t="s">
        <v>28</v>
      </c>
      <c r="B20" s="3" t="s">
        <v>610</v>
      </c>
      <c r="C20" s="3" t="s">
        <v>611</v>
      </c>
      <c r="D20" s="3" t="s">
        <v>612</v>
      </c>
      <c r="E20" s="3" t="s">
        <v>613</v>
      </c>
    </row>
    <row r="21" spans="1:5" x14ac:dyDescent="0.3">
      <c r="A21" t="s">
        <v>188</v>
      </c>
      <c r="B21">
        <v>9</v>
      </c>
      <c r="C21" t="s">
        <v>614</v>
      </c>
      <c r="E21" t="s">
        <v>615</v>
      </c>
    </row>
    <row r="22" spans="1:5" x14ac:dyDescent="0.3">
      <c r="A22" t="s">
        <v>115</v>
      </c>
      <c r="B22">
        <v>9</v>
      </c>
      <c r="C22" t="s">
        <v>614</v>
      </c>
      <c r="E22" t="s">
        <v>615</v>
      </c>
    </row>
    <row r="23" spans="1:5" x14ac:dyDescent="0.3">
      <c r="A23" t="s">
        <v>616</v>
      </c>
      <c r="B23">
        <v>8</v>
      </c>
      <c r="C23" t="s">
        <v>617</v>
      </c>
      <c r="E23" t="s">
        <v>615</v>
      </c>
    </row>
    <row r="24" spans="1:5" x14ac:dyDescent="0.3">
      <c r="A24" t="s">
        <v>328</v>
      </c>
      <c r="B24">
        <v>6</v>
      </c>
      <c r="C24" t="s">
        <v>614</v>
      </c>
      <c r="E24" t="s">
        <v>615</v>
      </c>
    </row>
    <row r="25" spans="1:5" x14ac:dyDescent="0.3">
      <c r="A25" t="s">
        <v>132</v>
      </c>
      <c r="B25">
        <v>4</v>
      </c>
      <c r="C25" s="2"/>
      <c r="E25" t="s">
        <v>618</v>
      </c>
    </row>
    <row r="26" spans="1:5" x14ac:dyDescent="0.3">
      <c r="A26" t="s">
        <v>147</v>
      </c>
      <c r="B26">
        <v>4</v>
      </c>
      <c r="C26" s="2"/>
      <c r="D26" t="s">
        <v>614</v>
      </c>
      <c r="E26" t="s">
        <v>619</v>
      </c>
    </row>
    <row r="27" spans="1:5" x14ac:dyDescent="0.3">
      <c r="A27" t="s">
        <v>280</v>
      </c>
      <c r="B27">
        <v>3</v>
      </c>
      <c r="C27" s="2"/>
      <c r="D27" t="s">
        <v>614</v>
      </c>
      <c r="E27" t="s">
        <v>619</v>
      </c>
    </row>
    <row r="28" spans="1:5" x14ac:dyDescent="0.3">
      <c r="A28" t="s">
        <v>119</v>
      </c>
      <c r="B28">
        <v>3</v>
      </c>
      <c r="C28" t="s">
        <v>617</v>
      </c>
      <c r="E28" t="s">
        <v>615</v>
      </c>
    </row>
    <row r="29" spans="1:5" x14ac:dyDescent="0.3">
      <c r="A29" t="s">
        <v>273</v>
      </c>
      <c r="B29">
        <v>3</v>
      </c>
      <c r="C29" t="s">
        <v>614</v>
      </c>
      <c r="E29" t="s">
        <v>615</v>
      </c>
    </row>
    <row r="30" spans="1:5" x14ac:dyDescent="0.3">
      <c r="A30" t="s">
        <v>78</v>
      </c>
      <c r="B30">
        <v>3</v>
      </c>
      <c r="C30" t="s">
        <v>617</v>
      </c>
      <c r="E30" t="s">
        <v>615</v>
      </c>
    </row>
    <row r="31" spans="1:5" x14ac:dyDescent="0.3">
      <c r="A31" t="s">
        <v>207</v>
      </c>
      <c r="B31">
        <v>2</v>
      </c>
      <c r="C31" t="s">
        <v>614</v>
      </c>
      <c r="E31" t="s">
        <v>615</v>
      </c>
    </row>
    <row r="32" spans="1:5" x14ac:dyDescent="0.3">
      <c r="A32" t="s">
        <v>402</v>
      </c>
      <c r="B32">
        <v>2</v>
      </c>
      <c r="C32" t="s">
        <v>614</v>
      </c>
      <c r="E32" t="s">
        <v>615</v>
      </c>
    </row>
    <row r="33" spans="1:5" x14ac:dyDescent="0.3">
      <c r="A33" t="s">
        <v>235</v>
      </c>
      <c r="B33">
        <v>2</v>
      </c>
      <c r="C33" t="s">
        <v>617</v>
      </c>
      <c r="E33" t="s">
        <v>615</v>
      </c>
    </row>
    <row r="34" spans="1:5" x14ac:dyDescent="0.3">
      <c r="A34" t="s">
        <v>284</v>
      </c>
      <c r="B34">
        <v>2</v>
      </c>
      <c r="C34" s="2"/>
      <c r="E34" t="s">
        <v>618</v>
      </c>
    </row>
    <row r="35" spans="1:5" x14ac:dyDescent="0.3">
      <c r="A35" t="s">
        <v>497</v>
      </c>
      <c r="B35">
        <v>2</v>
      </c>
      <c r="C35" t="s">
        <v>614</v>
      </c>
      <c r="E35" t="s">
        <v>615</v>
      </c>
    </row>
    <row r="36" spans="1:5" x14ac:dyDescent="0.3">
      <c r="A36" t="s">
        <v>451</v>
      </c>
      <c r="B36">
        <v>2</v>
      </c>
      <c r="C36" s="2"/>
      <c r="D36" t="s">
        <v>614</v>
      </c>
      <c r="E36" t="s">
        <v>619</v>
      </c>
    </row>
    <row r="37" spans="1:5" x14ac:dyDescent="0.3">
      <c r="A37" t="s">
        <v>368</v>
      </c>
      <c r="B37">
        <v>2</v>
      </c>
      <c r="C37" t="s">
        <v>617</v>
      </c>
      <c r="E37" t="s">
        <v>615</v>
      </c>
    </row>
    <row r="38" spans="1:5" x14ac:dyDescent="0.3">
      <c r="A38" t="s">
        <v>306</v>
      </c>
      <c r="B38">
        <v>2</v>
      </c>
      <c r="C38" s="2"/>
      <c r="D38" t="s">
        <v>617</v>
      </c>
      <c r="E38" t="s">
        <v>619</v>
      </c>
    </row>
    <row r="39" spans="1:5" x14ac:dyDescent="0.3">
      <c r="A39" t="s">
        <v>522</v>
      </c>
      <c r="B39">
        <v>1</v>
      </c>
      <c r="C39" t="s">
        <v>617</v>
      </c>
      <c r="E39" t="s">
        <v>615</v>
      </c>
    </row>
    <row r="40" spans="1:5" x14ac:dyDescent="0.3">
      <c r="A40" t="s">
        <v>289</v>
      </c>
      <c r="B40">
        <v>1</v>
      </c>
      <c r="C40" t="s">
        <v>617</v>
      </c>
      <c r="E40" t="s">
        <v>615</v>
      </c>
    </row>
    <row r="41" spans="1:5" x14ac:dyDescent="0.3">
      <c r="A41" t="s">
        <v>578</v>
      </c>
      <c r="B41">
        <v>1</v>
      </c>
      <c r="C41" s="2"/>
      <c r="D41" t="s">
        <v>614</v>
      </c>
      <c r="E41" t="s">
        <v>619</v>
      </c>
    </row>
    <row r="42" spans="1:5" x14ac:dyDescent="0.3">
      <c r="A42" t="s">
        <v>97</v>
      </c>
      <c r="B42">
        <v>1</v>
      </c>
      <c r="C42" s="2"/>
      <c r="D42" t="s">
        <v>614</v>
      </c>
      <c r="E42" t="s">
        <v>619</v>
      </c>
    </row>
    <row r="43" spans="1:5" x14ac:dyDescent="0.3">
      <c r="A43" t="s">
        <v>384</v>
      </c>
      <c r="B43">
        <v>1</v>
      </c>
      <c r="C43" t="s">
        <v>614</v>
      </c>
      <c r="E43" t="s">
        <v>615</v>
      </c>
    </row>
    <row r="44" spans="1:5" x14ac:dyDescent="0.3">
      <c r="A44" t="s">
        <v>101</v>
      </c>
      <c r="B44">
        <v>1</v>
      </c>
      <c r="C44" s="2"/>
      <c r="D44" t="s">
        <v>614</v>
      </c>
      <c r="E44" t="s">
        <v>619</v>
      </c>
    </row>
    <row r="45" spans="1:5" x14ac:dyDescent="0.3">
      <c r="A45" t="s">
        <v>88</v>
      </c>
      <c r="B45">
        <v>1</v>
      </c>
      <c r="C45" s="2"/>
      <c r="D45" t="s">
        <v>614</v>
      </c>
      <c r="E45" t="s">
        <v>619</v>
      </c>
    </row>
    <row r="46" spans="1:5" x14ac:dyDescent="0.3">
      <c r="A46" t="s">
        <v>620</v>
      </c>
      <c r="B46">
        <v>1</v>
      </c>
      <c r="C46" s="2"/>
      <c r="D46" t="s">
        <v>621</v>
      </c>
      <c r="E46" t="s">
        <v>619</v>
      </c>
    </row>
    <row r="47" spans="1:5" x14ac:dyDescent="0.3">
      <c r="A47" t="s">
        <v>417</v>
      </c>
      <c r="B47">
        <v>1</v>
      </c>
      <c r="C47" t="s">
        <v>617</v>
      </c>
      <c r="E47" t="s">
        <v>615</v>
      </c>
    </row>
    <row r="48" spans="1:5" x14ac:dyDescent="0.3">
      <c r="A48" t="s">
        <v>392</v>
      </c>
      <c r="B48">
        <v>1</v>
      </c>
      <c r="C48" s="2"/>
      <c r="D48" t="s">
        <v>621</v>
      </c>
      <c r="E48" t="s">
        <v>619</v>
      </c>
    </row>
    <row r="49" spans="1:5" x14ac:dyDescent="0.3">
      <c r="A49" t="s">
        <v>554</v>
      </c>
      <c r="B49">
        <v>1</v>
      </c>
      <c r="C49" s="2"/>
      <c r="E49" t="s">
        <v>618</v>
      </c>
    </row>
    <row r="50" spans="1:5" x14ac:dyDescent="0.3">
      <c r="A50" t="s">
        <v>196</v>
      </c>
      <c r="B50">
        <v>1</v>
      </c>
      <c r="C50" s="2"/>
      <c r="D50" t="s">
        <v>614</v>
      </c>
      <c r="E50" t="s">
        <v>619</v>
      </c>
    </row>
    <row r="51" spans="1:5" x14ac:dyDescent="0.3">
      <c r="A51" t="s">
        <v>458</v>
      </c>
      <c r="B51">
        <v>1</v>
      </c>
      <c r="C51" t="s">
        <v>614</v>
      </c>
      <c r="E51" t="s">
        <v>615</v>
      </c>
    </row>
    <row r="52" spans="1:5" x14ac:dyDescent="0.3">
      <c r="A52" t="s">
        <v>550</v>
      </c>
      <c r="B52">
        <v>1</v>
      </c>
      <c r="C52" s="2"/>
      <c r="D52" t="s">
        <v>614</v>
      </c>
      <c r="E52" t="s">
        <v>619</v>
      </c>
    </row>
    <row r="53" spans="1:5" x14ac:dyDescent="0.3">
      <c r="A53" t="s">
        <v>590</v>
      </c>
      <c r="B53">
        <v>1</v>
      </c>
      <c r="C53" s="2"/>
      <c r="D53" t="s">
        <v>617</v>
      </c>
      <c r="E53" t="s">
        <v>619</v>
      </c>
    </row>
    <row r="54" spans="1:5" x14ac:dyDescent="0.3">
      <c r="A54" t="s">
        <v>594</v>
      </c>
      <c r="B54">
        <v>1</v>
      </c>
      <c r="C54" s="2"/>
      <c r="D54" t="s">
        <v>617</v>
      </c>
      <c r="E54" t="s">
        <v>619</v>
      </c>
    </row>
    <row r="55" spans="1:5" x14ac:dyDescent="0.3">
      <c r="A55" t="s">
        <v>314</v>
      </c>
      <c r="B55">
        <v>1</v>
      </c>
      <c r="C55" s="2"/>
      <c r="D55" t="s">
        <v>614</v>
      </c>
      <c r="E55" t="s">
        <v>619</v>
      </c>
    </row>
    <row r="56" spans="1:5" x14ac:dyDescent="0.3">
      <c r="A56" t="s">
        <v>462</v>
      </c>
      <c r="B56">
        <v>1</v>
      </c>
      <c r="C56" t="s">
        <v>614</v>
      </c>
      <c r="E56" t="s">
        <v>615</v>
      </c>
    </row>
    <row r="57" spans="1:5" x14ac:dyDescent="0.3">
      <c r="A57" t="s">
        <v>226</v>
      </c>
      <c r="B57">
        <v>1</v>
      </c>
      <c r="C57" s="2"/>
      <c r="D57" t="s">
        <v>614</v>
      </c>
      <c r="E57" t="s">
        <v>619</v>
      </c>
    </row>
    <row r="58" spans="1:5" x14ac:dyDescent="0.3">
      <c r="A58" t="s">
        <v>447</v>
      </c>
      <c r="B58">
        <v>1</v>
      </c>
      <c r="C58" s="2"/>
      <c r="D58" t="s">
        <v>614</v>
      </c>
      <c r="E58" t="s">
        <v>619</v>
      </c>
    </row>
    <row r="59" spans="1:5" x14ac:dyDescent="0.3">
      <c r="A59" t="s">
        <v>230</v>
      </c>
      <c r="B59">
        <v>1</v>
      </c>
      <c r="C59" s="2"/>
      <c r="D59" t="s">
        <v>614</v>
      </c>
      <c r="E59" t="s">
        <v>619</v>
      </c>
    </row>
    <row r="60" spans="1:5" x14ac:dyDescent="0.3">
      <c r="A60" t="s">
        <v>355</v>
      </c>
      <c r="B60">
        <v>1</v>
      </c>
      <c r="C60" s="2"/>
      <c r="D60" t="s">
        <v>614</v>
      </c>
      <c r="E60" t="s">
        <v>619</v>
      </c>
    </row>
    <row r="61" spans="1:5" x14ac:dyDescent="0.3">
      <c r="A61" t="s">
        <v>310</v>
      </c>
      <c r="B61">
        <v>1</v>
      </c>
      <c r="C61" s="2"/>
      <c r="D61" t="s">
        <v>614</v>
      </c>
      <c r="E61" t="s">
        <v>619</v>
      </c>
    </row>
    <row r="62" spans="1:5" x14ac:dyDescent="0.3">
      <c r="A62" t="s">
        <v>504</v>
      </c>
      <c r="B62">
        <v>1</v>
      </c>
      <c r="C62" t="s">
        <v>614</v>
      </c>
      <c r="E62" t="s">
        <v>615</v>
      </c>
    </row>
    <row r="63" spans="1:5" x14ac:dyDescent="0.3">
      <c r="A63" t="s">
        <v>105</v>
      </c>
      <c r="B63">
        <v>1</v>
      </c>
      <c r="C63" s="2"/>
      <c r="E63" t="s">
        <v>618</v>
      </c>
    </row>
    <row r="64" spans="1:5" x14ac:dyDescent="0.3">
      <c r="A64" t="s">
        <v>490</v>
      </c>
      <c r="B64">
        <v>1</v>
      </c>
      <c r="C64" t="s">
        <v>614</v>
      </c>
      <c r="E64" t="s">
        <v>615</v>
      </c>
    </row>
    <row r="65" spans="1:5" x14ac:dyDescent="0.3">
      <c r="A65" t="s">
        <v>410</v>
      </c>
      <c r="B65">
        <v>1</v>
      </c>
      <c r="C65" t="s">
        <v>614</v>
      </c>
      <c r="E65" t="s">
        <v>615</v>
      </c>
    </row>
    <row r="66" spans="1:5" x14ac:dyDescent="0.3">
      <c r="A66" t="s">
        <v>127</v>
      </c>
      <c r="B66">
        <v>1</v>
      </c>
      <c r="C66" s="2"/>
      <c r="D66" t="s">
        <v>621</v>
      </c>
      <c r="E66" t="s">
        <v>619</v>
      </c>
    </row>
    <row r="67" spans="1:5" x14ac:dyDescent="0.3">
      <c r="A67" t="s">
        <v>215</v>
      </c>
      <c r="B67">
        <v>1</v>
      </c>
      <c r="C67" s="2"/>
      <c r="D67" t="s">
        <v>614</v>
      </c>
      <c r="E67" t="s">
        <v>619</v>
      </c>
    </row>
    <row r="68" spans="1:5" x14ac:dyDescent="0.3">
      <c r="A68" t="s">
        <v>622</v>
      </c>
      <c r="B68">
        <v>1</v>
      </c>
      <c r="C68" s="2"/>
      <c r="D68" t="s">
        <v>621</v>
      </c>
      <c r="E68" t="s">
        <v>619</v>
      </c>
    </row>
    <row r="69" spans="1:5" x14ac:dyDescent="0.3">
      <c r="A69" t="s">
        <v>582</v>
      </c>
      <c r="B69">
        <v>1</v>
      </c>
      <c r="C69" s="2"/>
      <c r="D69" t="s">
        <v>614</v>
      </c>
      <c r="E69" t="s">
        <v>619</v>
      </c>
    </row>
    <row r="70" spans="1:5" x14ac:dyDescent="0.3">
      <c r="A70" t="s">
        <v>514</v>
      </c>
      <c r="B70">
        <v>1</v>
      </c>
      <c r="C70" s="2"/>
      <c r="D70" t="s">
        <v>614</v>
      </c>
      <c r="E70" t="s">
        <v>619</v>
      </c>
    </row>
    <row r="71" spans="1:5" x14ac:dyDescent="0.3">
      <c r="A71" t="s">
        <v>123</v>
      </c>
      <c r="B71">
        <v>1</v>
      </c>
      <c r="C71" s="2"/>
      <c r="D71" t="s">
        <v>617</v>
      </c>
      <c r="E71" t="s">
        <v>619</v>
      </c>
    </row>
    <row r="72" spans="1:5" x14ac:dyDescent="0.3">
      <c r="A72" t="s">
        <v>93</v>
      </c>
      <c r="B72">
        <v>1</v>
      </c>
      <c r="C72" s="2"/>
      <c r="D72" t="s">
        <v>614</v>
      </c>
      <c r="E72" t="s">
        <v>619</v>
      </c>
    </row>
    <row r="73" spans="1:5" x14ac:dyDescent="0.3">
      <c r="A73" t="s">
        <v>265</v>
      </c>
      <c r="B73">
        <v>1</v>
      </c>
      <c r="C73" s="2"/>
      <c r="D73" t="s">
        <v>614</v>
      </c>
      <c r="E73" t="s">
        <v>619</v>
      </c>
    </row>
    <row r="74" spans="1:5" x14ac:dyDescent="0.3">
      <c r="A74" t="s">
        <v>184</v>
      </c>
      <c r="B74">
        <v>1</v>
      </c>
      <c r="C74" t="s">
        <v>614</v>
      </c>
      <c r="E74" t="s">
        <v>615</v>
      </c>
    </row>
    <row r="75" spans="1:5" x14ac:dyDescent="0.3">
      <c r="A75" t="s">
        <v>324</v>
      </c>
      <c r="B75">
        <v>1</v>
      </c>
      <c r="C75" s="2"/>
      <c r="D75" t="s">
        <v>614</v>
      </c>
      <c r="E75" t="s">
        <v>619</v>
      </c>
    </row>
    <row r="76" spans="1:5" x14ac:dyDescent="0.3">
      <c r="A76" t="s">
        <v>518</v>
      </c>
      <c r="B76">
        <v>1</v>
      </c>
      <c r="C76" t="s">
        <v>614</v>
      </c>
      <c r="E76" t="s">
        <v>615</v>
      </c>
    </row>
    <row r="77" spans="1:5" x14ac:dyDescent="0.3">
      <c r="A77" t="s">
        <v>203</v>
      </c>
      <c r="B77">
        <v>1</v>
      </c>
      <c r="C77" s="2"/>
      <c r="E77" t="s">
        <v>618</v>
      </c>
    </row>
    <row r="78" spans="1:5" x14ac:dyDescent="0.3">
      <c r="A78" t="s">
        <v>269</v>
      </c>
      <c r="B78">
        <v>1</v>
      </c>
      <c r="C78" s="2"/>
      <c r="D78" t="s">
        <v>621</v>
      </c>
      <c r="E78" t="s">
        <v>619</v>
      </c>
    </row>
    <row r="79" spans="1:5" x14ac:dyDescent="0.3">
      <c r="A79" t="s">
        <v>565</v>
      </c>
      <c r="B79">
        <v>1</v>
      </c>
      <c r="C79" s="2"/>
      <c r="D79" t="s">
        <v>623</v>
      </c>
      <c r="E79" t="s">
        <v>619</v>
      </c>
    </row>
    <row r="80" spans="1:5" x14ac:dyDescent="0.3">
      <c r="A80" t="s">
        <v>443</v>
      </c>
      <c r="B80">
        <v>1</v>
      </c>
      <c r="C80" t="s">
        <v>614</v>
      </c>
      <c r="E80" t="s">
        <v>615</v>
      </c>
    </row>
    <row r="81" spans="1:5" x14ac:dyDescent="0.3">
      <c r="A81" t="s">
        <v>192</v>
      </c>
      <c r="B81">
        <v>1</v>
      </c>
      <c r="C81" t="s">
        <v>614</v>
      </c>
      <c r="E81" t="s">
        <v>615</v>
      </c>
    </row>
    <row r="82" spans="1:5" x14ac:dyDescent="0.3">
      <c r="A82" t="s">
        <v>171</v>
      </c>
      <c r="B82">
        <v>1</v>
      </c>
      <c r="C82" t="s">
        <v>617</v>
      </c>
      <c r="E82" t="s">
        <v>615</v>
      </c>
    </row>
    <row r="83" spans="1:5" x14ac:dyDescent="0.3">
      <c r="A83" t="s">
        <v>219</v>
      </c>
      <c r="B83">
        <v>1</v>
      </c>
      <c r="C83" t="s">
        <v>617</v>
      </c>
      <c r="E83" t="s">
        <v>615</v>
      </c>
    </row>
    <row r="84" spans="1:5" x14ac:dyDescent="0.3">
      <c r="A84" t="s">
        <v>163</v>
      </c>
      <c r="B84">
        <v>1</v>
      </c>
      <c r="C84" s="2"/>
      <c r="D84" t="s">
        <v>617</v>
      </c>
      <c r="E84" t="s">
        <v>619</v>
      </c>
    </row>
    <row r="85" spans="1:5" x14ac:dyDescent="0.3">
      <c r="A85" t="s">
        <v>159</v>
      </c>
      <c r="B85">
        <v>1</v>
      </c>
      <c r="C85" s="2"/>
      <c r="E85" t="s">
        <v>618</v>
      </c>
    </row>
    <row r="86" spans="1:5" x14ac:dyDescent="0.3">
      <c r="A86" t="s">
        <v>540</v>
      </c>
      <c r="B86">
        <v>1</v>
      </c>
      <c r="C86" t="s">
        <v>614</v>
      </c>
      <c r="E86" t="s">
        <v>615</v>
      </c>
    </row>
    <row r="87" spans="1:5" x14ac:dyDescent="0.3">
      <c r="A87" t="s">
        <v>211</v>
      </c>
      <c r="B87">
        <v>1</v>
      </c>
      <c r="C87" s="2"/>
      <c r="D87" t="s">
        <v>614</v>
      </c>
      <c r="E87" t="s">
        <v>619</v>
      </c>
    </row>
    <row r="88" spans="1:5" x14ac:dyDescent="0.3">
      <c r="A88" t="s">
        <v>586</v>
      </c>
      <c r="B88">
        <v>1</v>
      </c>
      <c r="C88" s="2"/>
      <c r="E88" t="s">
        <v>618</v>
      </c>
    </row>
    <row r="89" spans="1:5" x14ac:dyDescent="0.3">
      <c r="A89" t="s">
        <v>154</v>
      </c>
      <c r="B89">
        <v>1</v>
      </c>
      <c r="C89" s="2"/>
      <c r="E89" t="s">
        <v>618</v>
      </c>
    </row>
    <row r="90" spans="1:5" x14ac:dyDescent="0.3">
      <c r="A90" t="s">
        <v>561</v>
      </c>
      <c r="B90">
        <v>1</v>
      </c>
      <c r="C90" t="s">
        <v>614</v>
      </c>
      <c r="E90" t="s">
        <v>615</v>
      </c>
    </row>
    <row r="91" spans="1:5" x14ac:dyDescent="0.3">
      <c r="A91" t="s">
        <v>529</v>
      </c>
      <c r="B91">
        <v>1</v>
      </c>
      <c r="C91" t="s">
        <v>617</v>
      </c>
      <c r="E91" t="s">
        <v>615</v>
      </c>
    </row>
    <row r="92" spans="1:5" x14ac:dyDescent="0.3">
      <c r="A92" t="s">
        <v>83</v>
      </c>
      <c r="B92">
        <v>1</v>
      </c>
      <c r="C92" s="2"/>
      <c r="D92" t="s">
        <v>614</v>
      </c>
      <c r="E92" t="s">
        <v>619</v>
      </c>
    </row>
    <row r="93" spans="1:5" x14ac:dyDescent="0.3">
      <c r="A93" t="s">
        <v>242</v>
      </c>
      <c r="B93">
        <v>1</v>
      </c>
      <c r="C93" s="2"/>
      <c r="D93" t="s">
        <v>614</v>
      </c>
      <c r="E93" t="s">
        <v>619</v>
      </c>
    </row>
    <row r="94" spans="1:5" x14ac:dyDescent="0.3">
      <c r="A94" t="s">
        <v>110</v>
      </c>
      <c r="B94">
        <v>1</v>
      </c>
      <c r="C94" s="2"/>
      <c r="E94" t="s">
        <v>618</v>
      </c>
    </row>
  </sheetData>
  <dataValidations count="1">
    <dataValidation type="list" allowBlank="1" sqref="C21:C94" xr:uid="{00000000-0002-0000-0200-000000000000}">
      <formula1>"alto,medio,bajo,solo registro"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workbookViewId="0"/>
  </sheetViews>
  <sheetFormatPr baseColWidth="10" defaultColWidth="8.88671875" defaultRowHeight="14.4" x14ac:dyDescent="0.3"/>
  <cols>
    <col min="1" max="1" width="30" customWidth="1"/>
    <col min="2" max="2" width="20" customWidth="1"/>
    <col min="3" max="3" width="48" customWidth="1"/>
  </cols>
  <sheetData>
    <row r="1" spans="1:3" x14ac:dyDescent="0.3">
      <c r="A1" s="3" t="s">
        <v>624</v>
      </c>
      <c r="B1" s="3" t="s">
        <v>625</v>
      </c>
      <c r="C1" s="3" t="s">
        <v>626</v>
      </c>
    </row>
    <row r="2" spans="1:3" x14ac:dyDescent="0.3">
      <c r="A2" t="s">
        <v>627</v>
      </c>
      <c r="B2" t="s">
        <v>617</v>
      </c>
      <c r="C2" t="s">
        <v>249</v>
      </c>
    </row>
    <row r="3" spans="1:3" x14ac:dyDescent="0.3">
      <c r="A3" t="s">
        <v>628</v>
      </c>
      <c r="B3" t="s">
        <v>614</v>
      </c>
      <c r="C3" t="s">
        <v>629</v>
      </c>
    </row>
    <row r="4" spans="1:3" x14ac:dyDescent="0.3">
      <c r="A4" t="s">
        <v>630</v>
      </c>
      <c r="B4" t="s">
        <v>621</v>
      </c>
      <c r="C4" t="s">
        <v>631</v>
      </c>
    </row>
    <row r="5" spans="1:3" x14ac:dyDescent="0.3">
      <c r="A5" t="s">
        <v>632</v>
      </c>
      <c r="B5" t="s">
        <v>633</v>
      </c>
      <c r="C5" t="s">
        <v>634</v>
      </c>
    </row>
    <row r="6" spans="1:3" x14ac:dyDescent="0.3">
      <c r="A6" t="s">
        <v>372</v>
      </c>
      <c r="C6" t="s">
        <v>635</v>
      </c>
    </row>
    <row r="7" spans="1:3" x14ac:dyDescent="0.3">
      <c r="A7" t="s">
        <v>636</v>
      </c>
      <c r="C7" t="s">
        <v>637</v>
      </c>
    </row>
    <row r="8" spans="1:3" x14ac:dyDescent="0.3">
      <c r="A8" t="s">
        <v>638</v>
      </c>
      <c r="C8" t="s">
        <v>639</v>
      </c>
    </row>
    <row r="9" spans="1:3" x14ac:dyDescent="0.3">
      <c r="A9" t="s">
        <v>640</v>
      </c>
      <c r="C9" t="s">
        <v>641</v>
      </c>
    </row>
    <row r="10" spans="1:3" x14ac:dyDescent="0.3">
      <c r="A10" t="s">
        <v>344</v>
      </c>
    </row>
    <row r="11" spans="1:3" x14ac:dyDescent="0.3">
      <c r="A11" t="s">
        <v>379</v>
      </c>
    </row>
    <row r="12" spans="1:3" x14ac:dyDescent="0.3">
      <c r="A12" t="s">
        <v>335</v>
      </c>
    </row>
    <row r="13" spans="1:3" x14ac:dyDescent="0.3">
      <c r="A13" t="s">
        <v>642</v>
      </c>
    </row>
    <row r="14" spans="1:3" x14ac:dyDescent="0.3">
      <c r="A14" t="s">
        <v>643</v>
      </c>
    </row>
    <row r="15" spans="1:3" x14ac:dyDescent="0.3">
      <c r="A15" t="s">
        <v>644</v>
      </c>
    </row>
    <row r="16" spans="1:3" x14ac:dyDescent="0.3">
      <c r="A16" t="s">
        <v>252</v>
      </c>
    </row>
    <row r="17" spans="1:1" x14ac:dyDescent="0.3">
      <c r="A17" t="s">
        <v>645</v>
      </c>
    </row>
    <row r="18" spans="1:1" x14ac:dyDescent="0.3">
      <c r="A18" t="s">
        <v>646</v>
      </c>
    </row>
    <row r="19" spans="1:1" x14ac:dyDescent="0.3">
      <c r="A19" t="s">
        <v>647</v>
      </c>
    </row>
    <row r="20" spans="1:1" x14ac:dyDescent="0.3">
      <c r="A20" t="s">
        <v>648</v>
      </c>
    </row>
    <row r="21" spans="1:1" x14ac:dyDescent="0.3">
      <c r="A21" t="s">
        <v>649</v>
      </c>
    </row>
    <row r="22" spans="1:1" x14ac:dyDescent="0.3">
      <c r="A22" t="s">
        <v>650</v>
      </c>
    </row>
    <row r="23" spans="1:1" x14ac:dyDescent="0.3">
      <c r="A23" t="s">
        <v>651</v>
      </c>
    </row>
    <row r="24" spans="1:1" x14ac:dyDescent="0.3">
      <c r="A24" t="s">
        <v>652</v>
      </c>
    </row>
    <row r="25" spans="1:1" x14ac:dyDescent="0.3">
      <c r="A25" t="s">
        <v>653</v>
      </c>
    </row>
    <row r="26" spans="1:1" x14ac:dyDescent="0.3">
      <c r="A26" t="s">
        <v>654</v>
      </c>
    </row>
    <row r="27" spans="1:1" x14ac:dyDescent="0.3">
      <c r="A27" t="s">
        <v>655</v>
      </c>
    </row>
    <row r="28" spans="1:1" x14ac:dyDescent="0.3">
      <c r="A28" t="s">
        <v>656</v>
      </c>
    </row>
    <row r="29" spans="1:1" x14ac:dyDescent="0.3">
      <c r="A29" t="s">
        <v>657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workbookViewId="0"/>
  </sheetViews>
  <sheetFormatPr baseColWidth="10" defaultColWidth="8.88671875" defaultRowHeight="14.4" x14ac:dyDescent="0.3"/>
  <cols>
    <col min="1" max="1" width="38" customWidth="1"/>
    <col min="2" max="2" width="86" customWidth="1"/>
    <col min="3" max="3" width="52" customWidth="1"/>
  </cols>
  <sheetData>
    <row r="1" spans="1:3" x14ac:dyDescent="0.3">
      <c r="A1" s="3" t="s">
        <v>658</v>
      </c>
      <c r="B1" s="3" t="s">
        <v>659</v>
      </c>
      <c r="C1" s="3" t="s">
        <v>660</v>
      </c>
    </row>
    <row r="2" spans="1:3" x14ac:dyDescent="0.3">
      <c r="A2" s="4" t="s">
        <v>33</v>
      </c>
      <c r="B2" s="4" t="s">
        <v>661</v>
      </c>
      <c r="C2" s="4"/>
    </row>
    <row r="3" spans="1:3" x14ac:dyDescent="0.3">
      <c r="A3" s="4" t="s">
        <v>34</v>
      </c>
      <c r="B3" s="4" t="s">
        <v>662</v>
      </c>
      <c r="C3" s="4"/>
    </row>
    <row r="4" spans="1:3" ht="28.8" x14ac:dyDescent="0.3">
      <c r="A4" s="4" t="s">
        <v>35</v>
      </c>
      <c r="B4" s="4" t="s">
        <v>663</v>
      </c>
      <c r="C4" s="4" t="s">
        <v>664</v>
      </c>
    </row>
    <row r="5" spans="1:3" ht="28.8" x14ac:dyDescent="0.3">
      <c r="A5" s="4" t="s">
        <v>36</v>
      </c>
      <c r="B5" s="4" t="s">
        <v>665</v>
      </c>
      <c r="C5" s="4" t="s">
        <v>666</v>
      </c>
    </row>
    <row r="6" spans="1:3" ht="28.8" x14ac:dyDescent="0.3">
      <c r="A6" s="4" t="s">
        <v>37</v>
      </c>
      <c r="B6" s="4" t="s">
        <v>667</v>
      </c>
      <c r="C6" s="4" t="s">
        <v>668</v>
      </c>
    </row>
    <row r="7" spans="1:3" ht="144" x14ac:dyDescent="0.3">
      <c r="A7" s="4" t="s">
        <v>38</v>
      </c>
      <c r="B7" s="4" t="s">
        <v>669</v>
      </c>
      <c r="C7" s="4" t="s">
        <v>670</v>
      </c>
    </row>
    <row r="8" spans="1:3" ht="28.8" x14ac:dyDescent="0.3">
      <c r="A8" s="4" t="s">
        <v>39</v>
      </c>
      <c r="B8" s="4" t="s">
        <v>671</v>
      </c>
      <c r="C8" s="4" t="s">
        <v>672</v>
      </c>
    </row>
    <row r="9" spans="1:3" x14ac:dyDescent="0.3">
      <c r="A9" s="4" t="s">
        <v>40</v>
      </c>
      <c r="B9" s="4" t="s">
        <v>673</v>
      </c>
      <c r="C9" s="4" t="s">
        <v>674</v>
      </c>
    </row>
    <row r="10" spans="1:3" ht="28.8" x14ac:dyDescent="0.3">
      <c r="A10" s="4" t="s">
        <v>41</v>
      </c>
      <c r="B10" s="4" t="s">
        <v>675</v>
      </c>
      <c r="C10" s="4" t="s">
        <v>676</v>
      </c>
    </row>
    <row r="11" spans="1:3" ht="28.8" x14ac:dyDescent="0.3">
      <c r="A11" s="4" t="s">
        <v>42</v>
      </c>
      <c r="B11" s="4" t="s">
        <v>677</v>
      </c>
      <c r="C11" s="4" t="s">
        <v>678</v>
      </c>
    </row>
    <row r="12" spans="1:3" x14ac:dyDescent="0.3">
      <c r="A12" s="4" t="s">
        <v>43</v>
      </c>
      <c r="B12" s="4" t="s">
        <v>679</v>
      </c>
      <c r="C12" s="4"/>
    </row>
    <row r="13" spans="1:3" ht="129.6" x14ac:dyDescent="0.3">
      <c r="A13" s="4" t="s">
        <v>44</v>
      </c>
      <c r="B13" s="4" t="s">
        <v>680</v>
      </c>
      <c r="C13" s="4"/>
    </row>
    <row r="14" spans="1:3" x14ac:dyDescent="0.3">
      <c r="A14" s="4" t="s">
        <v>45</v>
      </c>
      <c r="B14" s="4" t="s">
        <v>681</v>
      </c>
      <c r="C14" s="4"/>
    </row>
    <row r="15" spans="1:3" ht="230.4" x14ac:dyDescent="0.3">
      <c r="A15" s="4" t="s">
        <v>46</v>
      </c>
      <c r="B15" s="4" t="s">
        <v>682</v>
      </c>
      <c r="C15" s="4"/>
    </row>
    <row r="16" spans="1:3" x14ac:dyDescent="0.3">
      <c r="A16" s="4" t="s">
        <v>47</v>
      </c>
      <c r="B16" s="4" t="s">
        <v>683</v>
      </c>
      <c r="C16" s="4"/>
    </row>
    <row r="17" spans="1:3" x14ac:dyDescent="0.3">
      <c r="A17" s="4" t="s">
        <v>48</v>
      </c>
      <c r="B17" s="4" t="s">
        <v>684</v>
      </c>
      <c r="C17" s="4"/>
    </row>
    <row r="18" spans="1:3" x14ac:dyDescent="0.3">
      <c r="A18" s="4" t="s">
        <v>49</v>
      </c>
      <c r="B18" s="4" t="s">
        <v>685</v>
      </c>
      <c r="C18" s="4"/>
    </row>
    <row r="19" spans="1:3" x14ac:dyDescent="0.3">
      <c r="A19" s="4" t="s">
        <v>50</v>
      </c>
      <c r="B19" s="4" t="s">
        <v>686</v>
      </c>
      <c r="C19" s="4"/>
    </row>
    <row r="20" spans="1:3" ht="187.2" x14ac:dyDescent="0.3">
      <c r="A20" s="4" t="s">
        <v>51</v>
      </c>
      <c r="B20" s="4" t="s">
        <v>687</v>
      </c>
      <c r="C20" s="4"/>
    </row>
    <row r="21" spans="1:3" x14ac:dyDescent="0.3">
      <c r="A21" s="4" t="s">
        <v>52</v>
      </c>
      <c r="B21" s="4" t="s">
        <v>688</v>
      </c>
      <c r="C21" s="4"/>
    </row>
    <row r="22" spans="1:3" x14ac:dyDescent="0.3">
      <c r="A22" s="4" t="s">
        <v>53</v>
      </c>
      <c r="B22" s="4" t="s">
        <v>689</v>
      </c>
      <c r="C22" s="4"/>
    </row>
    <row r="23" spans="1:3" ht="28.8" x14ac:dyDescent="0.3">
      <c r="A23" s="4" t="s">
        <v>54</v>
      </c>
      <c r="B23" s="4" t="s">
        <v>690</v>
      </c>
      <c r="C23" s="4"/>
    </row>
    <row r="24" spans="1:3" x14ac:dyDescent="0.3">
      <c r="A24" s="4" t="s">
        <v>55</v>
      </c>
      <c r="B24" s="4" t="s">
        <v>691</v>
      </c>
      <c r="C24"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7"/>
  <sheetViews>
    <sheetView workbookViewId="0"/>
  </sheetViews>
  <sheetFormatPr baseColWidth="10" defaultColWidth="8.88671875" defaultRowHeight="14.4" x14ac:dyDescent="0.3"/>
  <cols>
    <col min="1" max="1" width="34" customWidth="1"/>
    <col min="2" max="2" width="52" customWidth="1"/>
    <col min="3" max="3" width="58" customWidth="1"/>
  </cols>
  <sheetData>
    <row r="1" spans="1:3" x14ac:dyDescent="0.3">
      <c r="A1" s="1" t="s">
        <v>692</v>
      </c>
    </row>
    <row r="2" spans="1:3" x14ac:dyDescent="0.3">
      <c r="A2" t="s">
        <v>693</v>
      </c>
    </row>
    <row r="4" spans="1:3" x14ac:dyDescent="0.3">
      <c r="A4" s="1" t="s">
        <v>694</v>
      </c>
    </row>
    <row r="5" spans="1:3" x14ac:dyDescent="0.3">
      <c r="A5" t="s">
        <v>695</v>
      </c>
    </row>
    <row r="6" spans="1:3" x14ac:dyDescent="0.3">
      <c r="A6" t="s">
        <v>696</v>
      </c>
    </row>
    <row r="8" spans="1:3" x14ac:dyDescent="0.3">
      <c r="A8" s="3" t="s">
        <v>658</v>
      </c>
      <c r="B8" s="3" t="s">
        <v>697</v>
      </c>
      <c r="C8" s="3" t="s">
        <v>698</v>
      </c>
    </row>
    <row r="9" spans="1:3" x14ac:dyDescent="0.3">
      <c r="A9" t="s">
        <v>33</v>
      </c>
      <c r="B9" s="2" t="s">
        <v>699</v>
      </c>
      <c r="C9" t="s">
        <v>700</v>
      </c>
    </row>
    <row r="10" spans="1:3" x14ac:dyDescent="0.3">
      <c r="A10" t="s">
        <v>34</v>
      </c>
      <c r="B10" s="2" t="s">
        <v>64</v>
      </c>
      <c r="C10" t="s">
        <v>701</v>
      </c>
    </row>
    <row r="11" spans="1:3" x14ac:dyDescent="0.3">
      <c r="A11" t="s">
        <v>43</v>
      </c>
      <c r="B11" s="2" t="s">
        <v>702</v>
      </c>
      <c r="C11" t="s">
        <v>703</v>
      </c>
    </row>
    <row r="12" spans="1:3" x14ac:dyDescent="0.3">
      <c r="A12" t="s">
        <v>35</v>
      </c>
      <c r="B12" s="2" t="s">
        <v>65</v>
      </c>
    </row>
    <row r="13" spans="1:3" x14ac:dyDescent="0.3">
      <c r="A13" t="s">
        <v>36</v>
      </c>
      <c r="B13" s="2" t="s">
        <v>258</v>
      </c>
      <c r="C13" t="s">
        <v>704</v>
      </c>
    </row>
    <row r="14" spans="1:3" x14ac:dyDescent="0.3">
      <c r="A14" t="s">
        <v>37</v>
      </c>
      <c r="B14" s="2" t="s">
        <v>67</v>
      </c>
      <c r="C14" t="s">
        <v>705</v>
      </c>
    </row>
    <row r="15" spans="1:3" x14ac:dyDescent="0.3">
      <c r="A15" t="s">
        <v>38</v>
      </c>
      <c r="B15" s="2" t="s">
        <v>68</v>
      </c>
      <c r="C15" t="s">
        <v>706</v>
      </c>
    </row>
    <row r="16" spans="1:3" x14ac:dyDescent="0.3">
      <c r="A16" t="s">
        <v>39</v>
      </c>
      <c r="B16" s="2" t="s">
        <v>707</v>
      </c>
    </row>
    <row r="17" spans="1:3" x14ac:dyDescent="0.3">
      <c r="A17" t="s">
        <v>40</v>
      </c>
      <c r="B17" s="2" t="s">
        <v>177</v>
      </c>
    </row>
    <row r="18" spans="1:3" x14ac:dyDescent="0.3">
      <c r="A18" t="s">
        <v>44</v>
      </c>
      <c r="B18" s="2" t="s">
        <v>702</v>
      </c>
      <c r="C18" t="s">
        <v>708</v>
      </c>
    </row>
    <row r="19" spans="1:3" x14ac:dyDescent="0.3">
      <c r="A19" t="s">
        <v>51</v>
      </c>
      <c r="B19" s="2" t="s">
        <v>709</v>
      </c>
      <c r="C19" t="s">
        <v>710</v>
      </c>
    </row>
    <row r="20" spans="1:3" x14ac:dyDescent="0.3">
      <c r="A20" t="s">
        <v>45</v>
      </c>
      <c r="B20" s="2" t="s">
        <v>711</v>
      </c>
      <c r="C20" t="s">
        <v>712</v>
      </c>
    </row>
    <row r="21" spans="1:3" x14ac:dyDescent="0.3">
      <c r="A21" t="s">
        <v>46</v>
      </c>
      <c r="B21" s="2" t="s">
        <v>702</v>
      </c>
    </row>
    <row r="22" spans="1:3" x14ac:dyDescent="0.3">
      <c r="A22" t="s">
        <v>47</v>
      </c>
      <c r="B22" s="2" t="s">
        <v>711</v>
      </c>
    </row>
    <row r="23" spans="1:3" x14ac:dyDescent="0.3">
      <c r="A23" t="s">
        <v>48</v>
      </c>
      <c r="B23" s="2" t="s">
        <v>249</v>
      </c>
      <c r="C23" t="s">
        <v>713</v>
      </c>
    </row>
    <row r="24" spans="1:3" x14ac:dyDescent="0.3">
      <c r="A24" t="s">
        <v>49</v>
      </c>
      <c r="B24" s="2" t="s">
        <v>249</v>
      </c>
      <c r="C24" t="s">
        <v>713</v>
      </c>
    </row>
    <row r="25" spans="1:3" x14ac:dyDescent="0.3">
      <c r="A25" t="s">
        <v>41</v>
      </c>
      <c r="B25" s="2" t="s">
        <v>332</v>
      </c>
    </row>
    <row r="26" spans="1:3" x14ac:dyDescent="0.3">
      <c r="A26" t="s">
        <v>50</v>
      </c>
      <c r="B26" s="2" t="s">
        <v>164</v>
      </c>
    </row>
    <row r="27" spans="1:3" x14ac:dyDescent="0.3">
      <c r="A27" t="s">
        <v>52</v>
      </c>
      <c r="B27" s="2" t="s">
        <v>714</v>
      </c>
    </row>
    <row r="28" spans="1:3" x14ac:dyDescent="0.3">
      <c r="A28" t="s">
        <v>53</v>
      </c>
      <c r="B28" s="2" t="s">
        <v>715</v>
      </c>
    </row>
    <row r="29" spans="1:3" x14ac:dyDescent="0.3">
      <c r="A29" t="s">
        <v>54</v>
      </c>
      <c r="B29" s="2" t="s">
        <v>716</v>
      </c>
      <c r="C29" t="s">
        <v>717</v>
      </c>
    </row>
    <row r="30" spans="1:3" x14ac:dyDescent="0.3">
      <c r="A30" t="s">
        <v>42</v>
      </c>
      <c r="B30" s="2" t="s">
        <v>72</v>
      </c>
    </row>
    <row r="31" spans="1:3" x14ac:dyDescent="0.3">
      <c r="A31" t="s">
        <v>55</v>
      </c>
      <c r="B31" s="2" t="s">
        <v>249</v>
      </c>
    </row>
    <row r="33" spans="1:6" x14ac:dyDescent="0.3">
      <c r="A33" s="1" t="s">
        <v>718</v>
      </c>
    </row>
    <row r="34" spans="1:6" x14ac:dyDescent="0.3">
      <c r="A34" t="s">
        <v>719</v>
      </c>
    </row>
    <row r="35" spans="1:6" x14ac:dyDescent="0.3">
      <c r="A35" s="1" t="s">
        <v>720</v>
      </c>
    </row>
    <row r="36" spans="1:6" x14ac:dyDescent="0.3">
      <c r="A36" t="s">
        <v>721</v>
      </c>
    </row>
    <row r="37" spans="1:6" x14ac:dyDescent="0.3">
      <c r="A37" t="s">
        <v>722</v>
      </c>
    </row>
    <row r="38" spans="1:6" x14ac:dyDescent="0.3">
      <c r="A38" t="s">
        <v>723</v>
      </c>
    </row>
    <row r="40" spans="1:6" x14ac:dyDescent="0.3">
      <c r="A40" s="3" t="s">
        <v>34</v>
      </c>
      <c r="B40" s="3" t="s">
        <v>36</v>
      </c>
      <c r="C40" s="3" t="s">
        <v>724</v>
      </c>
      <c r="D40" s="3" t="s">
        <v>725</v>
      </c>
      <c r="E40" s="3" t="s">
        <v>726</v>
      </c>
      <c r="F40" s="3" t="s">
        <v>727</v>
      </c>
    </row>
    <row r="41" spans="1:6" x14ac:dyDescent="0.3">
      <c r="A41" s="2" t="s">
        <v>64</v>
      </c>
      <c r="B41" s="2" t="s">
        <v>258</v>
      </c>
      <c r="C41" s="2">
        <v>7</v>
      </c>
      <c r="D41" s="2">
        <v>6</v>
      </c>
      <c r="E41" s="2">
        <v>2</v>
      </c>
      <c r="F41" s="2">
        <v>2</v>
      </c>
    </row>
    <row r="42" spans="1:6" x14ac:dyDescent="0.3">
      <c r="A42" s="2" t="s">
        <v>180</v>
      </c>
      <c r="B42" s="2" t="s">
        <v>174</v>
      </c>
      <c r="C42" s="2">
        <v>23</v>
      </c>
      <c r="D42" s="2">
        <v>16</v>
      </c>
      <c r="E42" s="2">
        <v>4</v>
      </c>
      <c r="F42" s="2">
        <v>2</v>
      </c>
    </row>
    <row r="43" spans="1:6" x14ac:dyDescent="0.3">
      <c r="A43" s="2" t="s">
        <v>256</v>
      </c>
      <c r="B43" s="2" t="s">
        <v>181</v>
      </c>
      <c r="C43" s="2">
        <v>2</v>
      </c>
      <c r="D43" s="2">
        <v>1</v>
      </c>
      <c r="E43" s="2">
        <v>0</v>
      </c>
      <c r="F43" s="2">
        <v>0</v>
      </c>
    </row>
    <row r="45" spans="1:6" x14ac:dyDescent="0.3">
      <c r="A45" t="s">
        <v>728</v>
      </c>
    </row>
    <row r="46" spans="1:6" x14ac:dyDescent="0.3">
      <c r="A46" t="s">
        <v>729</v>
      </c>
    </row>
    <row r="47" spans="1:6" x14ac:dyDescent="0.3">
      <c r="A47" t="s">
        <v>730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Instrucciones</vt:lpstr>
      <vt:lpstr>Extraccion</vt:lpstr>
      <vt:lpstr>Revistas</vt:lpstr>
      <vt:lpstr>Listas</vt:lpstr>
      <vt:lpstr>Diccionario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Equipo</cp:lastModifiedBy>
  <dcterms:created xsi:type="dcterms:W3CDTF">2026-08-12T00:49:41Z</dcterms:created>
  <dcterms:modified xsi:type="dcterms:W3CDTF">2026-08-20T03:56:12Z</dcterms:modified>
</cp:coreProperties>
</file>