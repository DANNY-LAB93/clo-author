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Extraccion" sheetId="2" state="visible" r:id="rId2"/>
    <sheet name="Revistas" sheetId="3" state="visible" r:id="rId3"/>
    <sheet name="Listas" sheetId="4" state="visible" r:id="rId4"/>
    <sheet name="Diccionario" sheetId="5" state="visible" r:id="rId5"/>
    <sheet name="Ejempl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Guía de extracción</author>
  </authors>
  <commentList>
    <comment ref="A1" authorId="0" shapeId="0">
      <text>
        <t>Clave con la que se cruzan las dos extracciones. NO la modifique.</t>
      </text>
    </comment>
    <comment ref="B1" authorId="0" shapeId="0">
      <text>
        <t>Posición en el pozo cribado.</t>
      </text>
    </comment>
    <comment ref="F1" authorId="0" shapeId="0">
      <text>
        <t>Artículo, resumen de congreso o ficha de registro.</t>
      </text>
    </comment>
    <comment ref="G1" authorId="0" shapeId="0">
      <text>
        <t>DOI, PMID o identificador de registro.</t>
      </text>
    </comment>
    <comment ref="H1" authorId="0" shapeId="0">
      <text>
        <t>Clic para abrirlo en el navegador.</t>
      </text>
    </comment>
    <comment ref="I1" authorId="0" shapeId="0">
      <text>
        <t>Apellido del primer autor pegado al año: Tkhilaishvili2020. Sin espacios ni tildes.</t>
      </text>
    </comment>
    <comment ref="J1" authorId="0" shapeId="0">
      <text>
        <t>A si el estudio da un solo grupo de datos. Si separa desenlaces por clase de resistencia, usa A, B, C.</t>
      </text>
    </comment>
    <comment ref="K1" authorId="0" shapeId="0">
      <text>
        <t>Solo Pseudomonas si todos los pacientes tenían P. aeruginosa. Mixto si había otras bacterias PERO el artículo permite separar los de Pseudomonas.</t>
      </text>
    </comment>
    <comment ref="L1" authorId="0" shapeId="0">
      <text>
        <t>MDR, XDR o PDR según Magiorakos. Si el antibiograma no alcanza para clasificar, pon 'no clasificable'.</t>
      </text>
    </comment>
    <comment ref="M1" authorId="0" shapeId="0">
      <text>
        <t>¿Lo dice el autor y lo aceptaste, o lo verificaste tú con el antibiograma? Importa para el riesgo de sesgo.</t>
      </text>
    </comment>
    <comment ref="N1" authorId="0" shapeId="0">
      <text>
        <t>Difficult-to-Treat Resistance (Kadri 2018, PMID 30052813). NO es MDR con otro nombre: pregunta si se agotaron los antibióticos de PRIMERA LÍNEA (carbapenémicos, otros betalactámicos, fluoroquinolonas). Los de RESERVA -- colistina, aminoglucósidos, tigeciclina -- y los posteriores a 2018 -- ceftazidima-avibactam, cefiderocol -- NO cuentan: son aquello a lo que el DTR obliga a recurrir.
SÍ: el artículo documenta sensibilidad SOLO a agentes de reserva.
NO: basta UN agente de primera línea sensible documentado.
NO DERIVABLE: el resto.
Ojo: esta revisión ya definió mal este campo una vez (exigía 'todos los betalactámicos', más estricto que Kadri) y fabricó no-derivabilidad. Si duda entre 'no' y 'no derivable', mire si hay UN solo agente de primera línea sensible.</t>
      </text>
    </comment>
    <comment ref="O1" authorId="0" shapeId="0">
      <text>
        <t>Por dónde se administró el fago. Si fueron varias vías, elige 'otra' y explica en el paréntesis.</t>
      </text>
    </comment>
    <comment ref="P1" authorId="0" shapeId="0">
      <text>
        <t>¿El fago fue solo, o junto con antibióticos?</t>
      </text>
    </comment>
    <comment ref="Q1" authorId="0" shapeId="0">
      <text>
        <t>Lo que el artículo ES, no lo que dice ser. Un 'estudio' de un paciente es un caso clínico.</t>
      </text>
    </comment>
    <comment ref="R1" authorId="0" shapeId="0">
      <text>
        <t>COMPLETA si sacaste todo lo que el artículo daba. PARCIAL o INCOMPLETA si te faltó algo, y explícalo en la última columna.</t>
      </text>
    </comment>
    <comment ref="S1" authorId="0" shapeId="0">
      <text>
        <t>Cuántos pacientes hay en ESTE brazo, no en todo el estudio.</t>
      </text>
    </comment>
    <comment ref="T1" authorId="0" shapeId="0">
      <text>
        <t>Cuántos pacientes de este brazo mejoraron, según la definición del propio autor. Si no lo reporta, NA.</t>
      </text>
    </comment>
    <comment ref="U1" authorId="0" shapeId="0">
      <text>
        <t>Cuántos pacientes tuvieron algún evento adverso. Cero notificados se escribe 0, no NA.</t>
      </text>
    </comment>
    <comment ref="V1" authorId="0" shapeId="0">
      <text>
        <t>En cuántos desapareció la bacteria en cultivo.</t>
      </text>
    </comment>
    <comment ref="W1" authorId="0" shapeId="0">
      <text>
        <t>Cuántos fallecieron durante el seguimiento.</t>
      </text>
    </comment>
    <comment ref="X1" authorId="0" shapeId="0">
      <text>
        <t>Días de hospitalización. Casi ningún caso clínico lo reporta: NA es lo normal aquí.</t>
      </text>
    </comment>
    <comment ref="Y1" authorId="0" shapeId="0">
      <text>
        <t>En cuántos apareció resistencia al fago durante el tratamiento.</t>
      </text>
    </comment>
    <comment ref="Z1" authorId="0" shapeId="0">
      <text>
        <t>Año del artículo.</t>
      </text>
    </comment>
    <comment ref="AA1" authorId="0" shapeId="0">
      <text>
        <t>COPIA la definición del autor, no escribas la tuya. Es lo que después permite ver si todos midieron lo mismo.</t>
      </text>
    </comment>
    <comment ref="AB1" authorId="0" shapeId="0">
      <text>
        <t>Nombre de la revista, y si es de alto o medio impacto: 'alto (Nature Microbiology)'.</t>
      </text>
    </comment>
    <comment ref="AC1" authorId="0" shapeId="0">
      <text>
        <t>País y ciudad si consta: 'Alemania (Berlín)'.</t>
      </text>
    </comment>
    <comment ref="AD1" authorId="0" shapeId="0">
      <text>
        <t>Página, tabla o figura de donde sacaste los números: 'p.3 Results, Tabla 2'. Obligatorio para cualquier cifra.</t>
      </text>
    </comment>
    <comment ref="AE1" authorId="0" shapeId="0">
      <text>
        <t>Qué faltó y por qué. NA si no faltó nada.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3389/fmed.2021.569159" TargetMode="External" Id="rId1" /><Relationship Type="http://schemas.openxmlformats.org/officeDocument/2006/relationships/hyperlink" Target="https://doi.org/10.3389/fmed.2023.1199657" TargetMode="External" Id="rId2" /><Relationship Type="http://schemas.openxmlformats.org/officeDocument/2006/relationships/hyperlink" Target="https://doi.org/10.1016/j.medj.2023.07.002" TargetMode="External" Id="rId3" /><Relationship Type="http://schemas.openxmlformats.org/officeDocument/2006/relationships/hyperlink" Target="https://doi.org/10.1038/s41591-025-03678-8" TargetMode="External" Id="rId4" /><Relationship Type="http://schemas.openxmlformats.org/officeDocument/2006/relationships/hyperlink" Target="https://doi.org/10.1007/s15010-019-01319-0" TargetMode="External" Id="rId5" /><Relationship Type="http://schemas.openxmlformats.org/officeDocument/2006/relationships/hyperlink" Target="https://doi.org/10.3390/v16071080" TargetMode="External" Id="rId6" /><Relationship Type="http://schemas.openxmlformats.org/officeDocument/2006/relationships/hyperlink" Target="https://doi.org/10.1016/j.ijid.2026.108756" TargetMode="External" Id="rId7" /><Relationship Type="http://schemas.openxmlformats.org/officeDocument/2006/relationships/hyperlink" Target="https://doi.org/10.3389/fphar.2021.692614" TargetMode="External" Id="rId8" /><Relationship Type="http://schemas.openxmlformats.org/officeDocument/2006/relationships/hyperlink" Target="https://doi.org/10.1038/s41467-022-31837-9" TargetMode="External" Id="rId9" /><Relationship Type="http://schemas.openxmlformats.org/officeDocument/2006/relationships/hyperlink" Target="https://pubmed.ncbi.nlm.nih.gov/40593506/" TargetMode="External" Id="rId10" /><Relationship Type="http://schemas.openxmlformats.org/officeDocument/2006/relationships/hyperlink" Target="https://doi.org/10.1038/s41598-025-17510-3" TargetMode="External" Id="rId11" /><Relationship Type="http://schemas.openxmlformats.org/officeDocument/2006/relationships/hyperlink" Target="https://doi.org/10.1038/s41467-026-74326-z" TargetMode="External" Id="rId12" /><Relationship Type="http://schemas.openxmlformats.org/officeDocument/2006/relationships/hyperlink" Target="https://doi.org/10.1016/j.hlife.2025.03.004" TargetMode="External" Id="rId13" /><Relationship Type="http://schemas.openxmlformats.org/officeDocument/2006/relationships/hyperlink" Target="https://doi.org/10.5582/bst.2022.01147" TargetMode="External" Id="rId14" /><Relationship Type="http://schemas.openxmlformats.org/officeDocument/2006/relationships/hyperlink" Target="https://doi.org/10.1093/jacamr/dlac046" TargetMode="External" Id="rId15" /><Relationship Type="http://schemas.openxmlformats.org/officeDocument/2006/relationships/hyperlink" Target="https://doi.org/10.3389/fmed.2022.851310" TargetMode="External" Id="rId16" /><Relationship Type="http://schemas.openxmlformats.org/officeDocument/2006/relationships/hyperlink" Target="https://doi.org/10.7759/cureus.77681" TargetMode="External" Id="rId17" /><Relationship Type="http://schemas.openxmlformats.org/officeDocument/2006/relationships/hyperlink" Target="https://doi.org/10.1080/1120009x.2025.2547147" TargetMode="External" Id="rId18" /><Relationship Type="http://schemas.openxmlformats.org/officeDocument/2006/relationships/hyperlink" Target="https://doi.org/10.1016/j.medj.2024.05.017" TargetMode="External" Id="rId19" /><Relationship Type="http://schemas.openxmlformats.org/officeDocument/2006/relationships/hyperlink" Target="https://doi.org/10.1038/s41467-025-59806-y" TargetMode="External" Id="rId20" /><Relationship Type="http://schemas.openxmlformats.org/officeDocument/2006/relationships/hyperlink" Target="https://doi.org/10.1177/23247096231188243" TargetMode="External" Id="rId21" /><Relationship Type="http://schemas.openxmlformats.org/officeDocument/2006/relationships/hyperlink" Target="https://pubmed.ncbi.nlm.nih.gov/30292481/" TargetMode="External" Id="rId22" /><Relationship Type="http://schemas.openxmlformats.org/officeDocument/2006/relationships/hyperlink" Target="https://doi.org/10.1038/s41467-023-39370-z" TargetMode="External" Id="rId23" /><Relationship Type="http://schemas.openxmlformats.org/officeDocument/2006/relationships/hyperlink" Target="https://doi.org/10.1016/j.jiac.2025.102770" TargetMode="External" Id="rId24" /><Relationship Type="http://schemas.openxmlformats.org/officeDocument/2006/relationships/hyperlink" Target="https://pubmed.ncbi.nlm.nih.gov/39740667/" TargetMode="External" Id="rId25" /><Relationship Type="http://schemas.openxmlformats.org/officeDocument/2006/relationships/hyperlink" Target="https://doi.org/10.1128/asmcr.00108-25" TargetMode="External" Id="rId26" /><Relationship Type="http://schemas.openxmlformats.org/officeDocument/2006/relationships/hyperlink" Target="https://doi.org/10.1016/j.medmic.2026.100178" TargetMode="External" Id="rId27" /><Relationship Type="http://schemas.openxmlformats.org/officeDocument/2006/relationships/hyperlink" Target="https://doi.org/10.1093/jpids/pix056" TargetMode="External" Id="rId28" /><Relationship Type="http://schemas.openxmlformats.org/officeDocument/2006/relationships/hyperlink" Target="https://doi.org/10.1164/rccm.201904-0839le" TargetMode="External" Id="rId29" /><Relationship Type="http://schemas.openxmlformats.org/officeDocument/2006/relationships/hyperlink" Target="https://doi.org/10.1093/ofid/ofaa389" TargetMode="External" Id="rId30" /><Relationship Type="http://schemas.openxmlformats.org/officeDocument/2006/relationships/hyperlink" Target="https://pubmed.ncbi.nlm.nih.gov/36578069/" TargetMode="External" Id="rId31" /><Relationship Type="http://schemas.openxmlformats.org/officeDocument/2006/relationships/hyperlink" Target="https://doi.org/10.1177/11795476251411094" TargetMode="External" Id="rId32" /><Relationship Type="http://schemas.openxmlformats.org/officeDocument/2006/relationships/hyperlink" Target="https://doi.org/10.3390/v13101901" TargetMode="External" Id="rId33" /><Relationship Type="http://schemas.openxmlformats.org/officeDocument/2006/relationships/hyperlink" Target="https://doi.org/10.3390/antibiotics12121734" TargetMode="External" Id="rId34" /><Relationship Type="http://schemas.openxmlformats.org/officeDocument/2006/relationships/hyperlink" Target="https://doi.org/10.2147/idr.s413900" TargetMode="External" Id="rId35" /><Relationship Type="http://schemas.openxmlformats.org/officeDocument/2006/relationships/hyperlink" Target="https://doi.org/10.1038/s41598-024-52192-3" TargetMode="External" Id="rId36" /><Relationship Type="http://schemas.openxmlformats.org/officeDocument/2006/relationships/hyperlink" Target="https://doi.org/10.1002/mlf2.70042" TargetMode="External" Id="rId37" /><Relationship Type="http://schemas.openxmlformats.org/officeDocument/2006/relationships/hyperlink" Target="https://doi.org/10.1016/s1473-3099(26)00176-3" TargetMode="External" Id="rId38" /><Relationship Type="http://schemas.openxmlformats.org/officeDocument/2006/relationships/hyperlink" Target="https://doi.org/10.1016/j.jpeds.2026.115005" TargetMode="External" Id="rId39" /><Relationship Type="http://schemas.openxmlformats.org/officeDocument/2006/relationships/hyperlink" Target="https://doi.org/10.20953/1729-9225-2017-4-49-54" TargetMode="External" Id="rId40" /><Relationship Type="http://schemas.openxmlformats.org/officeDocument/2006/relationships/hyperlink" Target="https://doi.org/10.1186/s13054-017-1709-y" TargetMode="External" Id="rId41" /><Relationship Type="http://schemas.openxmlformats.org/officeDocument/2006/relationships/hyperlink" Target="https://doi.org/10.1128/aac.00924-19" TargetMode="External" Id="rId42" /><Relationship Type="http://schemas.openxmlformats.org/officeDocument/2006/relationships/hyperlink" Target="https://doi.org/10.1093/ofid/ofad051" TargetMode="External" Id="rId43" /><Relationship Type="http://schemas.openxmlformats.org/officeDocument/2006/relationships/hyperlink" Target="https://doi.org/10.1093/infdis/jiac368" TargetMode="External" Id="rId44" /><Relationship Type="http://schemas.openxmlformats.org/officeDocument/2006/relationships/hyperlink" Target="https://doi.org/10.1016/j.ijantimicag.2024.107372" TargetMode="External" Id="rId45" /><Relationship Type="http://schemas.openxmlformats.org/officeDocument/2006/relationships/hyperlink" Target="https://doi.org/10.3389/fmed.2024.1428432" TargetMode="External" Id="rId46" /><Relationship Type="http://schemas.openxmlformats.org/officeDocument/2006/relationships/hyperlink" Target="https://doi.org/10.3390/antibiotics13100916" TargetMode="External" Id="rId47" /><Relationship Type="http://schemas.openxmlformats.org/officeDocument/2006/relationships/hyperlink" Target="https://doi.org/10.1097/mao.0000000000004417" TargetMode="External" Id="rId48" /><Relationship Type="http://schemas.openxmlformats.org/officeDocument/2006/relationships/hyperlink" Target="https://doi.org/10.1097/cu9.0000000000000268" TargetMode="External" Id="rId49" /><Relationship Type="http://schemas.openxmlformats.org/officeDocument/2006/relationships/hyperlink" Target="https://doi.org/10.3390/v17010123" TargetMode="External" Id="rId50" /><Relationship Type="http://schemas.openxmlformats.org/officeDocument/2006/relationships/hyperlink" Target="https://doi.org/10.1128/asmcr.00058-24" TargetMode="External" Id="rId51" /><Relationship Type="http://schemas.openxmlformats.org/officeDocument/2006/relationships/hyperlink" Target="https://doi.org/10.20953/1729-9225-2017-1-35-40" TargetMode="External" Id="rId52" /><Relationship Type="http://schemas.openxmlformats.org/officeDocument/2006/relationships/hyperlink" Target="https://doi.org/10.3390/v11010018" TargetMode="External" Id="rId53" /><Relationship Type="http://schemas.openxmlformats.org/officeDocument/2006/relationships/hyperlink" Target="https://doi.org/10.1111/ajt.15503" TargetMode="External" Id="rId54" /><Relationship Type="http://schemas.openxmlformats.org/officeDocument/2006/relationships/hyperlink" Target="https://doi.org/10.1038/s41467-022-33294-w" TargetMode="External" Id="rId55" /><Relationship Type="http://schemas.openxmlformats.org/officeDocument/2006/relationships/hyperlink" Target="https://doi.org/10.1136/bmjresp-2022-001360" TargetMode="External" Id="rId56" /><Relationship Type="http://schemas.openxmlformats.org/officeDocument/2006/relationships/hyperlink" Target="https://doi.org/10.1016/j.ijantimicag.2025.107629" TargetMode="External" Id="rId57" /><Relationship Type="http://schemas.openxmlformats.org/officeDocument/2006/relationships/hyperlink" Target="https://doi.org/10.1016/j.eimc.2025.05.008" TargetMode="External" Id="rId58" /><Relationship Type="http://schemas.openxmlformats.org/officeDocument/2006/relationships/hyperlink" Target="https://doi.org/10.15360/1813-9779-2021-6-4-14" TargetMode="External" Id="rId59" /><Relationship Type="http://schemas.openxmlformats.org/officeDocument/2006/relationships/hyperlink" Target="https://clinicaltrials.gov/study/NCT04684641" TargetMode="External" Id="rId60" /><Relationship Type="http://schemas.openxmlformats.org/officeDocument/2006/relationships/hyperlink" Target="https://doi.org/10.1093/ofid/ofad221" TargetMode="External" Id="rId61" /><Relationship Type="http://schemas.openxmlformats.org/officeDocument/2006/relationships/hyperlink" Target="https://doi.org/10.1177/1534734619835115" TargetMode="External" Id="rId62" /><Relationship Type="http://schemas.openxmlformats.org/officeDocument/2006/relationships/hyperlink" Target="https://doi.org/10.3390/antibiotics9050232" TargetMode="External" Id="rId63" /><Relationship Type="http://schemas.openxmlformats.org/officeDocument/2006/relationships/hyperlink" Target="https://doi.org/10.15789/1563-0625-pti-2012" TargetMode="External" Id="rId64" /><Relationship Type="http://schemas.openxmlformats.org/officeDocument/2006/relationships/hyperlink" Target="https://doi.org/10.1093/cid/ciac694" TargetMode="External" Id="rId65" /><Relationship Type="http://schemas.openxmlformats.org/officeDocument/2006/relationships/hyperlink" Target="https://doi.org/10.1128/aac.01728-23" TargetMode="External" Id="rId66" /><Relationship Type="http://schemas.openxmlformats.org/officeDocument/2006/relationships/hyperlink" Target="https://trialsearch.who.int/?TrialID=cita: Int J Diabetes Dev Ctries 2025" TargetMode="External" Id="rId67" /><Relationship Type="http://schemas.openxmlformats.org/officeDocument/2006/relationships/hyperlink" Target="https://doi.org/10.21518/ms2025-451" TargetMode="External" Id="rId68" /><Relationship Type="http://schemas.openxmlformats.org/officeDocument/2006/relationships/hyperlink" Target="https://doi.org/10.1089/phage.2020.0010" TargetMode="External" Id="rId69" /><Relationship Type="http://schemas.openxmlformats.org/officeDocument/2006/relationships/hyperlink" Target="https://doi.org/10.1097/qco.0000000000000658" TargetMode="External" Id="rId70" /><Relationship Type="http://schemas.openxmlformats.org/officeDocument/2006/relationships/hyperlink" Target="https://doi.org/10.3390/v13081543" TargetMode="External" Id="rId71" /><Relationship Type="http://schemas.openxmlformats.org/officeDocument/2006/relationships/hyperlink" Target="https://doi.org/10.1111/1751-7915.14217" TargetMode="External" Id="rId72" /><Relationship Type="http://schemas.openxmlformats.org/officeDocument/2006/relationships/hyperlink" Target="https://doi.org/10.1016/j.jddst.2023.104486" TargetMode="External" Id="rId73" /><Relationship Type="http://schemas.openxmlformats.org/officeDocument/2006/relationships/hyperlink" Target="https://doi.org/10.3389/fcimb.2024.1354681" TargetMode="External" Id="rId74" /><Relationship Type="http://schemas.openxmlformats.org/officeDocument/2006/relationships/hyperlink" Target="https://doi.org/10.20953/1817-7646-2024-2-123-127" TargetMode="External" Id="rId75" /><Relationship Type="http://schemas.openxmlformats.org/officeDocument/2006/relationships/hyperlink" Target="https://trialsearch.who.int/?TrialID=cita: Pharmaceutisch Weekblad 2025" TargetMode="External" Id="rId76" /><Relationship Type="http://schemas.openxmlformats.org/officeDocument/2006/relationships/hyperlink" Target="https://doi.org/10.3390/ijms27010172" TargetMode="External" Id="rId77" /><Relationship Type="http://schemas.openxmlformats.org/officeDocument/2006/relationships/hyperlink" Target="https://pubmed.ncbi.nlm.nih.gov/40103254/" TargetMode="External" Id="rId78" /><Relationship Type="http://schemas.openxmlformats.org/officeDocument/2006/relationships/hyperlink" Target="https://doi.org/10.1093/jacamr/dlaf257" TargetMode="External" Id="rId79" /><Relationship Type="http://schemas.openxmlformats.org/officeDocument/2006/relationships/hyperlink" Target="https://doi.org/10.1038/s41467-025-68136-y" TargetMode="External" Id="rId80" /><Relationship Type="http://schemas.openxmlformats.org/officeDocument/2006/relationships/hyperlink" Target="https://doi.org/10.15252/emmm.202113936" TargetMode="External" Id="rId81" /><Relationship Type="http://schemas.openxmlformats.org/officeDocument/2006/relationships/hyperlink" Target="https://doi.org/10.3390/antibiotics10060627" TargetMode="External" Id="rId82" /><Relationship Type="http://schemas.openxmlformats.org/officeDocument/2006/relationships/hyperlink" Target="https://doi.org/10.1016/j.healun.2022.01.018" TargetMode="External" Id="rId83" /><Relationship Type="http://schemas.openxmlformats.org/officeDocument/2006/relationships/hyperlink" Target="https://doi.org/10.20953/1729-9225-2024-4-76-85" TargetMode="External" Id="rId84" /><Relationship Type="http://schemas.openxmlformats.org/officeDocument/2006/relationships/hyperlink" Target="https://doi.org/10.3390/biomedicines13092103" TargetMode="External" Id="rId85" /><Relationship Type="http://schemas.openxmlformats.org/officeDocument/2006/relationships/hyperlink" Target="https://pubmed.ncbi.nlm.nih.gov/41885494/" TargetMode="External" Id="rId86" /><Relationship Type="http://schemas.openxmlformats.org/officeDocument/2006/relationships/hyperlink" Target="https://doi.org/10.1093/jac/dky263" TargetMode="External" Id="rId87" /><Relationship Type="http://schemas.openxmlformats.org/officeDocument/2006/relationships/hyperlink" Target="https://doi.org/10.1093/emph/eoy005" TargetMode="External" Id="rId88" /><Relationship Type="http://schemas.openxmlformats.org/officeDocument/2006/relationships/hyperlink" Target="https://doi.org/10.1038/s41564-024-01705-x" TargetMode="External" Id="rId89" /><Relationship Type="http://schemas.openxmlformats.org/officeDocument/2006/relationships/hyperlink" Target="https://doi.org/10.17116/anaesthesiology202402139" TargetMode="External" Id="rId90" /><Relationship Type="http://schemas.openxmlformats.org/officeDocument/2006/relationships/hyperlink" Target="https://doi.org/10.1007/978-1-0716-3523-0_15" TargetMode="External" Id="rId91" /><Relationship Type="http://schemas.openxmlformats.org/officeDocument/2006/relationships/hyperlink" Target="https://doi.org/10.2217/fmb-2016-0156" TargetMode="External" Id="rId92" /><Relationship Type="http://schemas.openxmlformats.org/officeDocument/2006/relationships/hyperlink" Target="https://doi.org/10.3390/v11030265" TargetMode="External" Id="rId93" /><Relationship Type="http://schemas.openxmlformats.org/officeDocument/2006/relationships/hyperlink" Target="https://doi.org/10.1007/s12223-020-00835-z" TargetMode="External" Id="rId94" /><Relationship Type="http://schemas.openxmlformats.org/officeDocument/2006/relationships/hyperlink" Target="https://pubmed.ncbi.nlm.nih.gov/32949500/" TargetMode="External" Id="rId95" /><Relationship Type="http://schemas.openxmlformats.org/officeDocument/2006/relationships/hyperlink" Target="https://doi.org/10.21518/2079-701x-2021-17-86-93" TargetMode="External" Id="rId96" /><Relationship Type="http://schemas.openxmlformats.org/officeDocument/2006/relationships/hyperlink" Target="https://doi.org/10.3390/antibiotics11101358" TargetMode="External" Id="rId97" /><Relationship Type="http://schemas.openxmlformats.org/officeDocument/2006/relationships/hyperlink" Target="https://doi.org/10.1136/bmjopen-2022-065401" TargetMode="External" Id="rId98" /><Relationship Type="http://schemas.openxmlformats.org/officeDocument/2006/relationships/hyperlink" Target="https://doi.org/10.15789/2220-7619-ioi-2081" TargetMode="External" Id="rId99" /><Relationship Type="http://schemas.openxmlformats.org/officeDocument/2006/relationships/hyperlink" Target="https://doi.org/10.3390/v15051210" TargetMode="External" Id="rId100" /><Relationship Type="http://schemas.openxmlformats.org/officeDocument/2006/relationships/hyperlink" Target="https://doi.org/10.17116/otorino20238806148" TargetMode="External" Id="rId101" /><Relationship Type="http://schemas.openxmlformats.org/officeDocument/2006/relationships/hyperlink" Target="https://doi.org/10.4103/ijpam.ijpam_1_24" TargetMode="External" Id="rId102" /><Relationship Type="http://schemas.openxmlformats.org/officeDocument/2006/relationships/hyperlink" Target="https://doi.org/10.34883/pi.2024.14.3.006" TargetMode="External" Id="rId103" /><Relationship Type="http://schemas.openxmlformats.org/officeDocument/2006/relationships/hyperlink" Target="https://doi.org/10.61409/v09230617" TargetMode="External" Id="rId104" /><Relationship Type="http://schemas.openxmlformats.org/officeDocument/2006/relationships/hyperlink" Target="https://doi.org/10.3390/antibiotics14020114" TargetMode="External" Id="rId105" /><Relationship Type="http://schemas.openxmlformats.org/officeDocument/2006/relationships/hyperlink" Target="https://doi.org/10.1038/s41467-025-65939-x" TargetMode="External" Id="rId106" /><Relationship Type="http://schemas.openxmlformats.org/officeDocument/2006/relationships/hyperlink" Target="https://doi.org/10.1016/j.ijantimicag.2025.107613" TargetMode="External" Id="rId107" /><Relationship Type="http://schemas.openxmlformats.org/officeDocument/2006/relationships/hyperlink" Target="https://doi.org/10.5005/jp-journals-10071-25143" TargetMode="External" Id="rId108" /><Relationship Type="http://schemas.openxmlformats.org/officeDocument/2006/relationships/hyperlink" Target="https://trialsearch.who.int/?TrialID=cita: Eur Urol Suppl 2016 (informe previo del grupo de Leitner)" TargetMode="External" Id="rId109" /><Relationship Type="http://schemas.openxmlformats.org/officeDocument/2006/relationships/hyperlink" Target="https://pubmed.ncbi.nlm.nih.gov/30131795/" TargetMode="External" Id="rId110" /><Relationship Type="http://schemas.openxmlformats.org/officeDocument/2006/relationships/hyperlink" Target="https://doi.org/10.3389/fmed.2020.00342" TargetMode="External" Id="rId111" /><Relationship Type="http://schemas.openxmlformats.org/officeDocument/2006/relationships/hyperlink" Target="https://doi.org/10.17116/otorino20259004133" TargetMode="External" Id="rId112" /><Relationship Type="http://schemas.openxmlformats.org/officeDocument/2006/relationships/hyperlink" Target="https://doi.org/10.17116/rosakush201818475" TargetMode="External" Id="rId113" /><Relationship Type="http://schemas.openxmlformats.org/officeDocument/2006/relationships/hyperlink" Target="https://doi.org/10.1016/j.healun.2019.01.001" TargetMode="External" Id="rId114" /><Relationship Type="http://schemas.openxmlformats.org/officeDocument/2006/relationships/hyperlink" Target="https://trialsearch.who.int/?TrialID=cita: Jpn J Clin Ophthalmol 2021" TargetMode="External" Id="rId115" /><Relationship Type="http://schemas.openxmlformats.org/officeDocument/2006/relationships/hyperlink" Target="https://doi.org/10.26442/20795696.2021.6.201286" TargetMode="External" Id="rId116" /><Relationship Type="http://schemas.openxmlformats.org/officeDocument/2006/relationships/hyperlink" Target="https://doi.org/10.18484/2305-0047.2022.4.401" TargetMode="External" Id="rId117" /><Relationship Type="http://schemas.openxmlformats.org/officeDocument/2006/relationships/hyperlink" Target="https://doi.org/10.1093/cid/ciad335" TargetMode="External" Id="rId118" /><Relationship Type="http://schemas.openxmlformats.org/officeDocument/2006/relationships/hyperlink" Target="https://doi.org/10.17116/hirurgia2023121123" TargetMode="External" Id="rId119" /><Relationship Type="http://schemas.openxmlformats.org/officeDocument/2006/relationships/hyperlink" Target="https://doi.org/10.18565/urology.2024.1.114-118" TargetMode="External" Id="rId120" /><Relationship Type="http://schemas.openxmlformats.org/officeDocument/2006/relationships/hyperlink" Target="https://doi.org/10.3390/antibiotics14010087" TargetMode="External" Id="rId121" /><Relationship Type="http://schemas.openxmlformats.org/officeDocument/2006/relationships/hyperlink" Target="https://pubmed.ncbi.nlm.nih.gov/38233034/" TargetMode="External" Id="rId122" /><Relationship Type="http://schemas.openxmlformats.org/officeDocument/2006/relationships/hyperlink" Target="https://doi.org/10.3390/antibiotics11050602" TargetMode="External" Id="rId123" /><Relationship Type="http://schemas.openxmlformats.org/officeDocument/2006/relationships/hyperlink" Target="https://doi.org/10.20953/1817-7646-2018-2-49-53" TargetMode="External" Id="rId124" /><Relationship Type="http://schemas.openxmlformats.org/officeDocument/2006/relationships/hyperlink" Target="https://doi.org/10.3390/v11100891" TargetMode="External" Id="rId125" /><Relationship Type="http://schemas.openxmlformats.org/officeDocument/2006/relationships/hyperlink" Target="https://doi.org/10.1177/1534734619881076" TargetMode="External" Id="rId126" /><Relationship Type="http://schemas.openxmlformats.org/officeDocument/2006/relationships/hyperlink" Target="https://doi.org/10.18565/aig.2022.4.164-175" TargetMode="External" Id="rId127" /><Relationship Type="http://schemas.openxmlformats.org/officeDocument/2006/relationships/hyperlink" Target="https://doi.org/10.1177/15347346211072779" TargetMode="External" Id="rId128" /><Relationship Type="http://schemas.openxmlformats.org/officeDocument/2006/relationships/hyperlink" Target="https://doi.org/10.34883/pi.2024.14.2.005" TargetMode="External" Id="rId129" /><Relationship Type="http://schemas.openxmlformats.org/officeDocument/2006/relationships/hyperlink" Target="https://doi.org/10.1016/j.virusres.2024.199442" TargetMode="External" Id="rId130" /><Relationship Type="http://schemas.openxmlformats.org/officeDocument/2006/relationships/hyperlink" Target="https://doi.org/10.1016/j.avsurg.2024.100302" TargetMode="External" Id="rId131" /><Relationship Type="http://schemas.openxmlformats.org/officeDocument/2006/relationships/hyperlink" Target="https://trialsearch.who.int/?TrialID=cita: Surgical Chronicles 2016" TargetMode="External" Id="rId132" /><Relationship Type="http://schemas.openxmlformats.org/officeDocument/2006/relationships/hyperlink" Target="https://pubmed.ncbi.nlm.nih.gov/27244910/" TargetMode="External" Id="rId133" /><Relationship Type="http://schemas.openxmlformats.org/officeDocument/2006/relationships/hyperlink" Target="https://doi.org/10.17116/otorino20198402146" TargetMode="External" Id="rId134" /><Relationship Type="http://schemas.openxmlformats.org/officeDocument/2006/relationships/hyperlink" Target="https://doi.org/10.17749/2313-7347/ob.gyn.rep.2020.157" TargetMode="External" Id="rId135" /><Relationship Type="http://schemas.openxmlformats.org/officeDocument/2006/relationships/hyperlink" Target="https://pubmed.ncbi.nlm.nih.gov/35175218/" TargetMode="External" Id="rId136" /><Relationship Type="http://schemas.openxmlformats.org/officeDocument/2006/relationships/hyperlink" Target="https://doi.org/10.36740/wlek202106129" TargetMode="External" Id="rId137" /><Relationship Type="http://schemas.openxmlformats.org/officeDocument/2006/relationships/hyperlink" Target="https://doi.org/10.18565/urology.2022.3.115-118" TargetMode="External" Id="rId138" /><Relationship Type="http://schemas.openxmlformats.org/officeDocument/2006/relationships/hyperlink" Target="https://doi.org/10.21320/1818-474x-2023-3-66-81" TargetMode="External" Id="rId139" /><Relationship Type="http://schemas.openxmlformats.org/officeDocument/2006/relationships/hyperlink" Target="https://pubmed.ncbi.nlm.nih.gov/36851713/" TargetMode="External" Id="rId140" /><Relationship Type="http://schemas.openxmlformats.org/officeDocument/2006/relationships/hyperlink" Target="https://doi.org/10.32364/2587-6821-2025-9-12-5" TargetMode="External" Id="rId141" /><Relationship Type="http://schemas.openxmlformats.org/officeDocument/2006/relationships/hyperlink" Target="https://doi.org/10.1016/j.jdcr.2026.06.010" TargetMode="External" Id="rId142" /><Relationship Type="http://schemas.openxmlformats.org/officeDocument/2006/relationships/hyperlink" Target="https://doi.org/10.1016/j.bjps.2026.06.028" TargetMode="External" Id="rId143" /><Relationship Type="http://schemas.openxmlformats.org/officeDocument/2006/relationships/hyperlink" Target="https://trialsearch.who.int/?TrialID=cita: Nephrol Dial Transplant 2020 (resumen de congreso)" TargetMode="External" Id="rId144" /><Relationship Type="http://schemas.openxmlformats.org/officeDocument/2006/relationships/hyperlink" Target="https://doi.org/10.24110/0031-403x-2024-103-1-114-123" TargetMode="External" Id="rId145" /><Relationship Type="http://schemas.openxmlformats.org/officeDocument/2006/relationships/hyperlink" Target="https://doi.org/10.17116/rosakush201616546-49" TargetMode="External" Id="rId146" /><Relationship Type="http://schemas.openxmlformats.org/officeDocument/2006/relationships/hyperlink" Target="https://doi.org/10.17116/repro20192505169" TargetMode="External" Id="rId147" /><Relationship Type="http://schemas.openxmlformats.org/officeDocument/2006/relationships/hyperlink" Target="https://doi.org/10.18565/aig.2019.6.126-131" TargetMode="External" Id="rId148" /><Relationship Type="http://schemas.openxmlformats.org/officeDocument/2006/relationships/hyperlink" Target="https://doi.org/10.18565/urology.2020.3.26-33" TargetMode="External" Id="rId149" /><Relationship Type="http://schemas.openxmlformats.org/officeDocument/2006/relationships/hyperlink" Target="https://doi.org/10.26442/20795696.2020.3.200199" TargetMode="External" Id="rId150" /><Relationship Type="http://schemas.openxmlformats.org/officeDocument/2006/relationships/hyperlink" Target="https://doi.org/10.17116/stomat202210106122" TargetMode="External" Id="rId151" /><Relationship Type="http://schemas.openxmlformats.org/officeDocument/2006/relationships/hyperlink" Target="https://doi.org/10.3389/fmed.2023.1238147" TargetMode="External" Id="rId152" /><Relationship Type="http://schemas.openxmlformats.org/officeDocument/2006/relationships/hyperlink" Target="https://doi.org/10.34883/pi.2024.14.2.003" TargetMode="External" Id="rId153" /><Relationship Type="http://schemas.openxmlformats.org/officeDocument/2006/relationships/hyperlink" Target="https://trialsearch.who.int/?TrialID=cita: Rev Cubana Angiol Cir Vasc 2017" TargetMode="External" Id="rId154" /><Relationship Type="http://schemas.openxmlformats.org/officeDocument/2006/relationships/hyperlink" Target="https://doi.org/10.17116/otorino20198405155" TargetMode="External" Id="rId155" /><Relationship Type="http://schemas.openxmlformats.org/officeDocument/2006/relationships/hyperlink" Target="https://doi.org/10.1093/europace/euz319" TargetMode="External" Id="rId156" /><Relationship Type="http://schemas.openxmlformats.org/officeDocument/2006/relationships/hyperlink" Target="https://doi.org/10.1093/ejcts/ezz295" TargetMode="External" Id="rId157" /><Relationship Type="http://schemas.openxmlformats.org/officeDocument/2006/relationships/hyperlink" Target="https://doi.org/10.3390/antibiotics11101310" TargetMode="External" Id="rId158" /><Relationship Type="http://schemas.openxmlformats.org/officeDocument/2006/relationships/hyperlink" Target="https://doi.org/10.17116/hirurgia202309145" TargetMode="External" Id="rId15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Formulario de extracción — Danny Valdiviezo</t>
        </is>
      </c>
    </row>
    <row r="2">
      <c r="A2" t="inlineStr">
        <is>
          <t>2026-08-08 · los 159 estudios extraíbles</t>
        </is>
      </c>
    </row>
    <row r="3">
      <c r="A3" t="inlineStr"/>
    </row>
    <row r="4">
      <c r="A4" s="1" t="inlineStr">
        <is>
          <t>Empiece por la hoja Ejemplo. Son dos estudios ya resueltos.</t>
        </is>
      </c>
    </row>
    <row r="5">
      <c r="A5" t="inlineStr"/>
    </row>
    <row r="6">
      <c r="A6" s="1" t="inlineStr">
        <is>
          <t>Lo que no debe hacer</t>
        </is>
      </c>
    </row>
    <row r="7">
      <c r="A7" t="inlineStr">
        <is>
          <t>No abra el formulario del otro revisor ni el archivo de extracción del proyecto.</t>
        </is>
      </c>
    </row>
    <row r="8">
      <c r="A8" t="inlineStr">
        <is>
          <t>Hay 42 estudios que ya se extrajeron y aun así salen en blanco aquí, a propósito:</t>
        </is>
      </c>
    </row>
    <row r="9">
      <c r="A9" t="inlineStr">
        <is>
          <t>la comparación posterior solo mide algo si usted no vio lo que puso el otro.</t>
        </is>
      </c>
    </row>
    <row r="10">
      <c r="A10" t="inlineStr"/>
    </row>
    <row r="11">
      <c r="A11" s="1" t="inlineStr">
        <is>
          <t>Las columnas</t>
        </is>
      </c>
    </row>
    <row r="12">
      <c r="A12" t="inlineStr">
        <is>
          <t>Grises (A a G): identifican el estudio. No se tocan. La primera, Nº, es la clave</t>
        </is>
      </c>
    </row>
    <row r="13">
      <c r="A13" t="inlineStr">
        <is>
          <t>con la que se cruzan las dos extracciones; si la cambia, se rompe el cruce.</t>
        </is>
      </c>
    </row>
    <row r="14">
      <c r="A14" t="inlineStr">
        <is>
          <t>Amarillas: son suyas. Pase el ratón por cada encabezado y sale una nota</t>
        </is>
      </c>
    </row>
    <row r="15">
      <c r="A15" t="inlineStr">
        <is>
          <t>explicando qué va en esa columna.</t>
        </is>
      </c>
    </row>
    <row r="16">
      <c r="A16" t="inlineStr"/>
    </row>
    <row r="17">
      <c r="A17" s="1" t="inlineStr">
        <is>
          <t>Una fila por brazo</t>
        </is>
      </c>
    </row>
    <row r="18">
      <c r="A18" t="inlineStr">
        <is>
          <t>Un brazo es un grupo de pacientes cuyos desenlaces el artículo permite contar</t>
        </is>
      </c>
    </row>
    <row r="19">
      <c r="A19" t="inlineStr">
        <is>
          <t>aparte. Casi siempre eso significa clase de resistencia, no grupo de tratamiento.</t>
        </is>
      </c>
    </row>
    <row r="20">
      <c r="A20" t="inlineStr">
        <is>
          <t>Si hay varios: copie la fila entera, péguela debajo, deje el mismo Nº y cambie</t>
        </is>
      </c>
    </row>
    <row r="21">
      <c r="A21" t="inlineStr">
        <is>
          <t>el Brazo a B, C… Si el artículo no permite separarlos, una sola fila.</t>
        </is>
      </c>
    </row>
    <row r="22">
      <c r="A22" t="inlineStr"/>
    </row>
    <row r="23">
      <c r="A23" s="1" t="inlineStr">
        <is>
          <t>NA y celda vacía no son lo mismo</t>
        </is>
      </c>
    </row>
    <row r="24">
      <c r="A24" t="inlineStr">
        <is>
          <t>NA quiere decir que el artículo no lo reporta. Vacío quiere decir que usted</t>
        </is>
      </c>
    </row>
    <row r="25">
      <c r="A25" t="inlineStr">
        <is>
          <t>todavía no lo ha mirado. El programa que compara los distingue.</t>
        </is>
      </c>
    </row>
    <row r="26">
      <c r="A26" t="inlineStr"/>
    </row>
    <row r="27">
      <c r="A27" s="1" t="inlineStr">
        <is>
          <t>Los desplegables admiten texto</t>
        </is>
      </c>
    </row>
    <row r="28">
      <c r="A28" t="inlineStr">
        <is>
          <t>Si ninguna opción encaja, escriba encima: otra (instilación intravesical).</t>
        </is>
      </c>
    </row>
    <row r="29">
      <c r="A29" t="inlineStr">
        <is>
          <t>Lo que va entre paréntesis no afecta a la concordancia, así que explíquese.</t>
        </is>
      </c>
    </row>
    <row r="30">
      <c r="A30" t="inlineStr"/>
    </row>
    <row r="31">
      <c r="A31" s="1" t="inlineStr">
        <is>
          <t>Al terminar</t>
        </is>
      </c>
    </row>
    <row r="32">
      <c r="A32" t="inlineStr">
        <is>
          <t>Guarde el archivo sin cambiarle el nombre y devuélvalo a quien coordina.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60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58" customWidth="1" min="3" max="3"/>
    <col width="24" customWidth="1" min="4" max="4"/>
    <col width="6" customWidth="1" min="5" max="5"/>
    <col width="17" customWidth="1" min="6" max="6"/>
    <col width="24" customWidth="1" min="7" max="7"/>
    <col width="16" customWidth="1" min="8" max="8"/>
    <col width="22" customWidth="1" min="9" max="9"/>
    <col width="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42" customWidth="1" min="27" max="27"/>
    <col width="26" customWidth="1" min="28" max="28"/>
    <col width="20" customWidth="1" min="29" max="29"/>
    <col width="32" customWidth="1" min="30" max="30"/>
    <col width="30" customWidth="1" min="31" max="31"/>
  </cols>
  <sheetData>
    <row r="1" ht="46" customHeight="1">
      <c r="A1" s="2" t="inlineStr">
        <is>
          <t>Nº</t>
        </is>
      </c>
      <c r="B1" s="2" t="inlineStr">
        <is>
          <t>Pos.</t>
        </is>
      </c>
      <c r="C1" s="2" t="inlineStr">
        <is>
          <t>Título del artículo</t>
        </is>
      </c>
      <c r="D1" s="2" t="inlineStr">
        <is>
          <t>Revista</t>
        </is>
      </c>
      <c r="E1" s="2" t="inlineStr">
        <is>
          <t>Año</t>
        </is>
      </c>
      <c r="F1" s="2" t="inlineStr">
        <is>
          <t>Tipo</t>
        </is>
      </c>
      <c r="G1" s="2" t="inlineStr">
        <is>
          <t>Cómo encontrarlo</t>
        </is>
      </c>
      <c r="H1" s="2" t="inlineStr">
        <is>
          <t>Abrir artículo</t>
        </is>
      </c>
      <c r="I1" s="2" t="inlineStr">
        <is>
          <t>Id del estudio (Autor+Año)</t>
        </is>
      </c>
      <c r="J1" s="2" t="inlineStr">
        <is>
          <t>Brazo</t>
        </is>
      </c>
      <c r="K1" s="2" t="inlineStr">
        <is>
          <t>¿Solo P. aeruginosa o mixto?</t>
        </is>
      </c>
      <c r="L1" s="2" t="inlineStr">
        <is>
          <t>Clase de resistencia</t>
        </is>
      </c>
      <c r="M1" s="2" t="inlineStr">
        <is>
          <t>¿De dónde sale esa clase?</t>
        </is>
      </c>
      <c r="N1" s="2" t="inlineStr">
        <is>
          <t>¿Cumple criterio DTR?</t>
        </is>
      </c>
      <c r="O1" s="2" t="inlineStr">
        <is>
          <t>Vía de administración</t>
        </is>
      </c>
      <c r="P1" s="2" t="inlineStr">
        <is>
          <t>¿Fago solo o con antibiótico?</t>
        </is>
      </c>
      <c r="Q1" s="2" t="inlineStr">
        <is>
          <t>Diseño del estudio</t>
        </is>
      </c>
      <c r="R1" s="2" t="inlineStr">
        <is>
          <t>Estado de esta extracción</t>
        </is>
      </c>
      <c r="S1" s="2" t="inlineStr">
        <is>
          <t>Pacientes en este brazo</t>
        </is>
      </c>
      <c r="T1" s="2" t="inlineStr">
        <is>
          <t>Éxito clínico (nº pacientes)</t>
        </is>
      </c>
      <c r="U1" s="2" t="inlineStr">
        <is>
          <t>Eventos adversos (nº)</t>
        </is>
      </c>
      <c r="V1" s="2" t="inlineStr">
        <is>
          <t>Erradicación microbiológica (nº)</t>
        </is>
      </c>
      <c r="W1" s="2" t="inlineStr">
        <is>
          <t>Fallecidos (nº)</t>
        </is>
      </c>
      <c r="X1" s="2" t="inlineStr">
        <is>
          <t>Estancia hospitalaria (días)</t>
        </is>
      </c>
      <c r="Y1" s="2" t="inlineStr">
        <is>
          <t>Aparición de resistencia al fago (nº)</t>
        </is>
      </c>
      <c r="Z1" s="2" t="inlineStr">
        <is>
          <t>Año de publicación</t>
        </is>
      </c>
      <c r="AA1" s="2" t="inlineStr">
        <is>
          <t>¿Cómo define el AUTOR el éxito clínico?</t>
        </is>
      </c>
      <c r="AB1" s="2" t="inlineStr">
        <is>
          <t>Nivel de la revista</t>
        </is>
      </c>
      <c r="AC1" s="2" t="inlineStr">
        <is>
          <t>País del estudio</t>
        </is>
      </c>
      <c r="AD1" s="2" t="inlineStr">
        <is>
          <t>¿Dónde viste estos datos?</t>
        </is>
      </c>
      <c r="AE1" s="2" t="inlineStr">
        <is>
          <t>Si algo quedó incompleto, ¿por qué?</t>
        </is>
      </c>
    </row>
    <row r="2">
      <c r="A2" s="3" t="inlineStr">
        <is>
          <t>EST-001</t>
        </is>
      </c>
      <c r="B2" s="3" t="n">
        <v>1</v>
      </c>
      <c r="C2" s="3" t="inlineStr">
        <is>
          <t>Case Report: Arthroscopic "Debridement Antibiotics and Implant Retention" With Local Injection of Personalized Phage Therapy to Salvage a Relapsing Pseudomonas Aeruginosa Prostheti</t>
        </is>
      </c>
      <c r="D2" s="3" t="inlineStr">
        <is>
          <t>Frontiers in medicine</t>
        </is>
      </c>
      <c r="E2" s="3" t="inlineStr">
        <is>
          <t>2021</t>
        </is>
      </c>
      <c r="F2" s="3" t="inlineStr">
        <is>
          <t>articulo</t>
        </is>
      </c>
      <c r="G2" s="3" t="inlineStr">
        <is>
          <t>10.3389/fmed.2021.569159</t>
        </is>
      </c>
      <c r="H2" s="4" t="inlineStr">
        <is>
          <t>abrir</t>
        </is>
      </c>
      <c r="I2" s="5" t="inlineStr"/>
      <c r="J2" s="5" t="inlineStr">
        <is>
          <t>A</t>
        </is>
      </c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>
        <f>IFERROR(IF(VLOOKUP(D2,Revistas!$A$21:$C$400,3,FALSE)=0,"",VLOOKUP(D2,Revistas!$A$21:$C$400,3,FALSE)),"")</f>
        <v/>
      </c>
      <c r="AC2" s="5" t="inlineStr"/>
      <c r="AD2" s="5" t="inlineStr"/>
      <c r="AE2" s="5" t="inlineStr"/>
    </row>
    <row r="3">
      <c r="A3" s="3" t="inlineStr">
        <is>
          <t>EST-002</t>
        </is>
      </c>
      <c r="B3" s="3" t="n">
        <v>2</v>
      </c>
      <c r="C3" s="3" t="inlineStr">
        <is>
          <t>Case report: Analysis of phage therapy failure in a patient with a Pseudomonas aeruginosa prosthetic vascular graft infection.</t>
        </is>
      </c>
      <c r="D3" s="3" t="inlineStr">
        <is>
          <t>Frontiers in medicine</t>
        </is>
      </c>
      <c r="E3" s="3" t="inlineStr">
        <is>
          <t>2023</t>
        </is>
      </c>
      <c r="F3" s="3" t="inlineStr">
        <is>
          <t>articulo</t>
        </is>
      </c>
      <c r="G3" s="3" t="inlineStr">
        <is>
          <t>10.3389/fmed.2023.1199657</t>
        </is>
      </c>
      <c r="H3" s="4" t="inlineStr">
        <is>
          <t>abrir</t>
        </is>
      </c>
      <c r="I3" s="5" t="inlineStr"/>
      <c r="J3" s="5" t="inlineStr">
        <is>
          <t>A</t>
        </is>
      </c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>
        <f>IFERROR(IF(VLOOKUP(D3,Revistas!$A$21:$C$400,3,FALSE)=0,"",VLOOKUP(D3,Revistas!$A$21:$C$400,3,FALSE)),"")</f>
        <v/>
      </c>
      <c r="AC3" s="5" t="inlineStr"/>
      <c r="AD3" s="5" t="inlineStr"/>
      <c r="AE3" s="5" t="inlineStr"/>
    </row>
    <row r="4">
      <c r="A4" s="3" t="inlineStr">
        <is>
          <t>EST-003</t>
        </is>
      </c>
      <c r="B4" s="3" t="n">
        <v>3</v>
      </c>
      <c r="C4" s="3" t="inlineStr">
        <is>
          <t>Refractory Pseudomonas aeruginosa infections treated with phage PASA16: A compassionate use case series.</t>
        </is>
      </c>
      <c r="D4" s="3" t="inlineStr">
        <is>
          <t>Med (New York, N.Y.)</t>
        </is>
      </c>
      <c r="E4" s="3" t="inlineStr">
        <is>
          <t>2023</t>
        </is>
      </c>
      <c r="F4" s="3" t="inlineStr">
        <is>
          <t>articulo</t>
        </is>
      </c>
      <c r="G4" s="3" t="inlineStr">
        <is>
          <t>10.1016/j.medj.2023.07.002</t>
        </is>
      </c>
      <c r="H4" s="4" t="inlineStr">
        <is>
          <t>abrir</t>
        </is>
      </c>
      <c r="I4" s="5" t="inlineStr"/>
      <c r="J4" s="5" t="inlineStr">
        <is>
          <t>A</t>
        </is>
      </c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>
        <f>IFERROR(IF(VLOOKUP(D4,Revistas!$A$21:$C$400,3,FALSE)=0,"",VLOOKUP(D4,Revistas!$A$21:$C$400,3,FALSE)),"")</f>
        <v/>
      </c>
      <c r="AC4" s="5" t="inlineStr"/>
      <c r="AD4" s="5" t="inlineStr"/>
      <c r="AE4" s="5" t="inlineStr"/>
    </row>
    <row r="5">
      <c r="A5" s="3" t="inlineStr">
        <is>
          <t>EST-004</t>
        </is>
      </c>
      <c r="B5" s="3" t="n">
        <v>4</v>
      </c>
      <c r="C5" s="3" t="inlineStr">
        <is>
          <t>Personalized inhaled bacteriophage therapy for treatment of multidrug-resistant Pseudomonas aeruginosa in cystic fibrosis.</t>
        </is>
      </c>
      <c r="D5" s="3" t="inlineStr">
        <is>
          <t>Nature medicine</t>
        </is>
      </c>
      <c r="E5" s="3" t="inlineStr">
        <is>
          <t>2025</t>
        </is>
      </c>
      <c r="F5" s="3" t="inlineStr">
        <is>
          <t>articulo</t>
        </is>
      </c>
      <c r="G5" s="3" t="inlineStr">
        <is>
          <t>10.1038/s41591-025-03678-8</t>
        </is>
      </c>
      <c r="H5" s="4" t="inlineStr">
        <is>
          <t>abrir</t>
        </is>
      </c>
      <c r="I5" s="5" t="inlineStr"/>
      <c r="J5" s="5" t="inlineStr">
        <is>
          <t>A</t>
        </is>
      </c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>
        <f>IFERROR(IF(VLOOKUP(D5,Revistas!$A$21:$C$400,3,FALSE)=0,"",VLOOKUP(D5,Revistas!$A$21:$C$400,3,FALSE)),"")</f>
        <v/>
      </c>
      <c r="AC5" s="5" t="inlineStr"/>
      <c r="AD5" s="5" t="inlineStr"/>
      <c r="AE5" s="5" t="inlineStr"/>
    </row>
    <row r="6">
      <c r="A6" s="3" t="inlineStr">
        <is>
          <t>EST-005</t>
        </is>
      </c>
      <c r="B6" s="3" t="n">
        <v>5</v>
      </c>
      <c r="C6" s="3" t="inlineStr">
        <is>
          <t>Successful adjunctive use of bacteriophage therapy for treatment of multidrug-resistant Pseudomonas aeruginosa infection in a cystic fibrosis patient.</t>
        </is>
      </c>
      <c r="D6" s="3" t="inlineStr">
        <is>
          <t>Infection</t>
        </is>
      </c>
      <c r="E6" s="3" t="inlineStr">
        <is>
          <t>2019</t>
        </is>
      </c>
      <c r="F6" s="3" t="inlineStr">
        <is>
          <t>articulo</t>
        </is>
      </c>
      <c r="G6" s="3" t="inlineStr">
        <is>
          <t>10.1007/s15010-019-01319-0</t>
        </is>
      </c>
      <c r="H6" s="4" t="inlineStr">
        <is>
          <t>abrir</t>
        </is>
      </c>
      <c r="I6" s="5" t="inlineStr"/>
      <c r="J6" s="5" t="inlineStr">
        <is>
          <t>A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>
        <f>IFERROR(IF(VLOOKUP(D6,Revistas!$A$21:$C$400,3,FALSE)=0,"",VLOOKUP(D6,Revistas!$A$21:$C$400,3,FALSE)),"")</f>
        <v/>
      </c>
      <c r="AC6" s="5" t="inlineStr"/>
      <c r="AD6" s="5" t="inlineStr"/>
      <c r="AE6" s="5" t="inlineStr"/>
    </row>
    <row r="7">
      <c r="A7" s="3" t="inlineStr">
        <is>
          <t>EST-006</t>
        </is>
      </c>
      <c r="B7" s="3" t="n">
        <v>6</v>
      </c>
      <c r="C7" s="3" t="inlineStr">
        <is>
          <t>Phage Therapy in a Burn Patient Colonized with Extensively Drug-Resistant Pseudomonas aeruginosa Responsible for Relapsing Ventilator-Associated Pneumonia and Bacteriemia.</t>
        </is>
      </c>
      <c r="D7" s="3" t="inlineStr">
        <is>
          <t>Viruses</t>
        </is>
      </c>
      <c r="E7" s="3" t="inlineStr">
        <is>
          <t>2024</t>
        </is>
      </c>
      <c r="F7" s="3" t="inlineStr">
        <is>
          <t>articulo</t>
        </is>
      </c>
      <c r="G7" s="3" t="inlineStr">
        <is>
          <t>10.3390/v16071080</t>
        </is>
      </c>
      <c r="H7" s="4" t="inlineStr">
        <is>
          <t>abrir</t>
        </is>
      </c>
      <c r="I7" s="5" t="inlineStr"/>
      <c r="J7" s="5" t="inlineStr">
        <is>
          <t>A</t>
        </is>
      </c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>
        <f>IFERROR(IF(VLOOKUP(D7,Revistas!$A$21:$C$400,3,FALSE)=0,"",VLOOKUP(D7,Revistas!$A$21:$C$400,3,FALSE)),"")</f>
        <v/>
      </c>
      <c r="AC7" s="5" t="inlineStr"/>
      <c r="AD7" s="5" t="inlineStr"/>
      <c r="AE7" s="5" t="inlineStr"/>
    </row>
    <row r="8">
      <c r="A8" s="3" t="inlineStr">
        <is>
          <t>EST-007</t>
        </is>
      </c>
      <c r="B8" s="3" t="n">
        <v>7</v>
      </c>
      <c r="C8" s="3" t="inlineStr">
        <is>
          <t>Adjuvant multisite bacteriophage cocktail administration as salvage treatment in a patient with a multidrug-resistant Pseudomonas aeruginosa frontal relapsing complex osteitis.</t>
        </is>
      </c>
      <c r="D8" s="3" t="inlineStr">
        <is>
          <t>International journal of infectious diseases : IJID : official publication of the International Society for Infectious Diseases</t>
        </is>
      </c>
      <c r="E8" s="3" t="inlineStr">
        <is>
          <t>2026</t>
        </is>
      </c>
      <c r="F8" s="3" t="inlineStr">
        <is>
          <t>articulo</t>
        </is>
      </c>
      <c r="G8" s="3" t="inlineStr">
        <is>
          <t>10.1016/j.ijid.2026.108756</t>
        </is>
      </c>
      <c r="H8" s="4" t="inlineStr">
        <is>
          <t>abrir</t>
        </is>
      </c>
      <c r="I8" s="5" t="inlineStr"/>
      <c r="J8" s="5" t="inlineStr">
        <is>
          <t>A</t>
        </is>
      </c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>
        <f>IFERROR(IF(VLOOKUP(D8,Revistas!$A$21:$C$400,3,FALSE)=0,"",VLOOKUP(D8,Revistas!$A$21:$C$400,3,FALSE)),"")</f>
        <v/>
      </c>
      <c r="AC8" s="5" t="inlineStr"/>
      <c r="AD8" s="5" t="inlineStr"/>
      <c r="AE8" s="5" t="inlineStr"/>
    </row>
    <row r="9">
      <c r="A9" s="3" t="inlineStr">
        <is>
          <t>EST-009</t>
        </is>
      </c>
      <c r="B9" s="3" t="n">
        <v>9</v>
      </c>
      <c r="C9" s="3" t="inlineStr">
        <is>
          <t>Case Report: Chronic Bacterial Prostatitis Treated With Phage Therapy After Multiple Failed Antibiotic Treatments.</t>
        </is>
      </c>
      <c r="D9" s="3" t="inlineStr">
        <is>
          <t>Frontiers in pharmacology</t>
        </is>
      </c>
      <c r="E9" s="3" t="inlineStr">
        <is>
          <t>2021</t>
        </is>
      </c>
      <c r="F9" s="3" t="inlineStr">
        <is>
          <t>articulo</t>
        </is>
      </c>
      <c r="G9" s="3" t="inlineStr">
        <is>
          <t>10.3389/fphar.2021.692614</t>
        </is>
      </c>
      <c r="H9" s="4" t="inlineStr">
        <is>
          <t>abrir</t>
        </is>
      </c>
      <c r="I9" s="5" t="inlineStr"/>
      <c r="J9" s="5" t="inlineStr">
        <is>
          <t>A</t>
        </is>
      </c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>
        <f>IFERROR(IF(VLOOKUP(D9,Revistas!$A$21:$C$400,3,FALSE)=0,"",VLOOKUP(D9,Revistas!$A$21:$C$400,3,FALSE)),"")</f>
        <v/>
      </c>
      <c r="AC9" s="5" t="inlineStr"/>
      <c r="AD9" s="5" t="inlineStr"/>
      <c r="AE9" s="5" t="inlineStr"/>
    </row>
    <row r="10">
      <c r="A10" s="3" t="inlineStr">
        <is>
          <t>EST-010</t>
        </is>
      </c>
      <c r="B10" s="3" t="n">
        <v>10</v>
      </c>
      <c r="C10" s="3" t="inlineStr">
        <is>
          <t>Personalized bacteriophage therapy to treat pandrug-resistant spinal Pseudomonas aeruginosa infection.</t>
        </is>
      </c>
      <c r="D10" s="3" t="inlineStr">
        <is>
          <t xml:space="preserve">Nature Communications </t>
        </is>
      </c>
      <c r="E10" s="3" t="inlineStr">
        <is>
          <t>2022</t>
        </is>
      </c>
      <c r="F10" s="3" t="inlineStr">
        <is>
          <t>articulo</t>
        </is>
      </c>
      <c r="G10" s="3" t="inlineStr">
        <is>
          <t>10.1038/s41467-022-31837-9</t>
        </is>
      </c>
      <c r="H10" s="4" t="inlineStr">
        <is>
          <t>abrir</t>
        </is>
      </c>
      <c r="I10" s="5" t="inlineStr"/>
      <c r="J10" s="5" t="inlineStr">
        <is>
          <t>A</t>
        </is>
      </c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>
        <f>IFERROR(IF(VLOOKUP(D10,Revistas!$A$21:$C$400,3,FALSE)=0,"",VLOOKUP(D10,Revistas!$A$21:$C$400,3,FALSE)),"")</f>
        <v/>
      </c>
      <c r="AC10" s="5" t="inlineStr"/>
      <c r="AD10" s="5" t="inlineStr"/>
      <c r="AE10" s="5" t="inlineStr"/>
    </row>
    <row r="11">
      <c r="A11" s="3" t="inlineStr">
        <is>
          <t>EST-008</t>
        </is>
      </c>
      <c r="B11" s="3" t="n">
        <v>12</v>
      </c>
      <c r="C11" s="3" t="inlineStr">
        <is>
          <t>Phage therapy with nebulized cocktail BX004-A for chronic Pseudomonas aeruginosa infections in cystic fibrosis: a randomized first-in-human trial.</t>
        </is>
      </c>
      <c r="D11" s="3" t="inlineStr">
        <is>
          <t xml:space="preserve">Nature Communications </t>
        </is>
      </c>
      <c r="E11" s="3" t="inlineStr">
        <is>
          <t>2025</t>
        </is>
      </c>
      <c r="F11" s="3" t="inlineStr">
        <is>
          <t>articulo</t>
        </is>
      </c>
      <c r="G11" s="3" t="inlineStr">
        <is>
          <t>40593506</t>
        </is>
      </c>
      <c r="H11" s="4" t="inlineStr">
        <is>
          <t>abrir</t>
        </is>
      </c>
      <c r="I11" s="5" t="inlineStr"/>
      <c r="J11" s="5" t="inlineStr">
        <is>
          <t>A</t>
        </is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>
        <f>IFERROR(IF(VLOOKUP(D11,Revistas!$A$21:$C$400,3,FALSE)=0,"",VLOOKUP(D11,Revistas!$A$21:$C$400,3,FALSE)),"")</f>
        <v/>
      </c>
      <c r="AC11" s="5" t="inlineStr"/>
      <c r="AD11" s="5" t="inlineStr"/>
      <c r="AE11" s="5" t="inlineStr"/>
    </row>
    <row r="12">
      <c r="A12" s="3" t="inlineStr">
        <is>
          <t>EST-011</t>
        </is>
      </c>
      <c r="B12" s="3" t="n">
        <v>14</v>
      </c>
      <c r="C12" s="3" t="inlineStr">
        <is>
          <t>A case report of bacteriophage therapy for the treatment of lung infection due to carbapenem-resistant Pseudomonas aeruginosa.</t>
        </is>
      </c>
      <c r="D12" s="3" t="inlineStr">
        <is>
          <t>Scientific reports</t>
        </is>
      </c>
      <c r="E12" s="3" t="inlineStr">
        <is>
          <t>2025</t>
        </is>
      </c>
      <c r="F12" s="3" t="inlineStr">
        <is>
          <t>articulo</t>
        </is>
      </c>
      <c r="G12" s="3" t="inlineStr">
        <is>
          <t>10.1038/s41598-025-17510-3</t>
        </is>
      </c>
      <c r="H12" s="4" t="inlineStr">
        <is>
          <t>abrir</t>
        </is>
      </c>
      <c r="I12" s="5" t="inlineStr"/>
      <c r="J12" s="5" t="inlineStr">
        <is>
          <t>A</t>
        </is>
      </c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>
        <f>IFERROR(IF(VLOOKUP(D12,Revistas!$A$21:$C$400,3,FALSE)=0,"",VLOOKUP(D12,Revistas!$A$21:$C$400,3,FALSE)),"")</f>
        <v/>
      </c>
      <c r="AC12" s="5" t="inlineStr"/>
      <c r="AD12" s="5" t="inlineStr"/>
      <c r="AE12" s="5" t="inlineStr"/>
    </row>
    <row r="13">
      <c r="A13" s="3" t="inlineStr">
        <is>
          <t>EST-012</t>
        </is>
      </c>
      <c r="B13" s="3" t="n">
        <v>15</v>
      </c>
      <c r="C13" s="3" t="inlineStr">
        <is>
          <t>Chronic suppression of a multidrug-resistant Pseudomonas aeruginosa in prosthetic joint infection using personalized bacteriophage treatment.</t>
        </is>
      </c>
      <c r="D13" s="3" t="inlineStr">
        <is>
          <t>Nature communications</t>
        </is>
      </c>
      <c r="E13" s="3" t="inlineStr">
        <is>
          <t>2026</t>
        </is>
      </c>
      <c r="F13" s="3" t="inlineStr">
        <is>
          <t>articulo</t>
        </is>
      </c>
      <c r="G13" s="3" t="inlineStr">
        <is>
          <t>10.1038/s41467-026-74326-z</t>
        </is>
      </c>
      <c r="H13" s="4" t="inlineStr">
        <is>
          <t>abrir</t>
        </is>
      </c>
      <c r="I13" s="5" t="inlineStr"/>
      <c r="J13" s="5" t="inlineStr">
        <is>
          <t>A</t>
        </is>
      </c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>
        <f>IFERROR(IF(VLOOKUP(D13,Revistas!$A$21:$C$400,3,FALSE)=0,"",VLOOKUP(D13,Revistas!$A$21:$C$400,3,FALSE)),"")</f>
        <v/>
      </c>
      <c r="AC13" s="5" t="inlineStr"/>
      <c r="AD13" s="5" t="inlineStr"/>
      <c r="AE13" s="5" t="inlineStr"/>
    </row>
    <row r="14">
      <c r="A14" s="3" t="inlineStr">
        <is>
          <t>EST-013</t>
        </is>
      </c>
      <c r="B14" s="3" t="n">
        <v>22</v>
      </c>
      <c r="C14" s="3" t="inlineStr">
        <is>
          <t>Personalized bacteriophage therapy for chronic biliary tract Pseudomonas aeruginosa infections</t>
        </is>
      </c>
      <c r="D14" s="3" t="inlineStr">
        <is>
          <t>hLife</t>
        </is>
      </c>
      <c r="E14" s="3" t="inlineStr">
        <is>
          <t>2025</t>
        </is>
      </c>
      <c r="F14" s="3" t="inlineStr">
        <is>
          <t>articulo</t>
        </is>
      </c>
      <c r="G14" s="3" t="inlineStr">
        <is>
          <t>10.1016/j.hlife.2025.03.004</t>
        </is>
      </c>
      <c r="H14" s="4" t="inlineStr">
        <is>
          <t>abrir</t>
        </is>
      </c>
      <c r="I14" s="5" t="inlineStr"/>
      <c r="J14" s="5" t="inlineStr">
        <is>
          <t>A</t>
        </is>
      </c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>
        <f>IFERROR(IF(VLOOKUP(D14,Revistas!$A$21:$C$400,3,FALSE)=0,"",VLOOKUP(D14,Revistas!$A$21:$C$400,3,FALSE)),"")</f>
        <v/>
      </c>
      <c r="AC14" s="5" t="inlineStr"/>
      <c r="AD14" s="5" t="inlineStr"/>
      <c r="AE14" s="5" t="inlineStr"/>
    </row>
    <row r="15">
      <c r="A15" s="3" t="inlineStr">
        <is>
          <t>EST-014</t>
        </is>
      </c>
      <c r="B15" s="3" t="n">
        <v>23</v>
      </c>
      <c r="C15" s="3" t="inlineStr">
        <is>
          <t>Bacteriophage therapy for empyema caused by carbapenem-resistant Pseudomonas aeruginosa.</t>
        </is>
      </c>
      <c r="D15" s="3" t="inlineStr">
        <is>
          <t>Bioscience trends</t>
        </is>
      </c>
      <c r="E15" s="3" t="inlineStr">
        <is>
          <t>2022</t>
        </is>
      </c>
      <c r="F15" s="3" t="inlineStr">
        <is>
          <t>articulo</t>
        </is>
      </c>
      <c r="G15" s="3" t="inlineStr">
        <is>
          <t>10.5582/bst.2022.01147</t>
        </is>
      </c>
      <c r="H15" s="4" t="inlineStr">
        <is>
          <t>abrir</t>
        </is>
      </c>
      <c r="I15" s="5" t="inlineStr"/>
      <c r="J15" s="5" t="inlineStr">
        <is>
          <t>A</t>
        </is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>
        <f>IFERROR(IF(VLOOKUP(D15,Revistas!$A$21:$C$400,3,FALSE)=0,"",VLOOKUP(D15,Revistas!$A$21:$C$400,3,FALSE)),"")</f>
        <v/>
      </c>
      <c r="AC15" s="5" t="inlineStr"/>
      <c r="AD15" s="5" t="inlineStr"/>
      <c r="AE15" s="5" t="inlineStr"/>
    </row>
    <row r="16">
      <c r="A16" s="3" t="inlineStr">
        <is>
          <t>EST-015</t>
        </is>
      </c>
      <c r="B16" s="3" t="n">
        <v>24</v>
      </c>
      <c r="C16" s="3" t="inlineStr">
        <is>
          <t>Combination of phage therapy and cefiderocol to successfully treat Pseudomonas aeruginosa cranial osteomyelitis.</t>
        </is>
      </c>
      <c r="D16" s="3" t="inlineStr">
        <is>
          <t>JAC-antimicrobial resistance</t>
        </is>
      </c>
      <c r="E16" s="3" t="inlineStr">
        <is>
          <t>2022</t>
        </is>
      </c>
      <c r="F16" s="3" t="inlineStr">
        <is>
          <t>articulo</t>
        </is>
      </c>
      <c r="G16" s="3" t="inlineStr">
        <is>
          <t>10.1093/jacamr/dlac046</t>
        </is>
      </c>
      <c r="H16" s="4" t="inlineStr">
        <is>
          <t>abrir</t>
        </is>
      </c>
      <c r="I16" s="5" t="inlineStr"/>
      <c r="J16" s="5" t="inlineStr">
        <is>
          <t>A</t>
        </is>
      </c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>
        <f>IFERROR(IF(VLOOKUP(D16,Revistas!$A$21:$C$400,3,FALSE)=0,"",VLOOKUP(D16,Revistas!$A$21:$C$400,3,FALSE)),"")</f>
        <v/>
      </c>
      <c r="AC16" s="5" t="inlineStr"/>
      <c r="AD16" s="5" t="inlineStr"/>
      <c r="AE16" s="5" t="inlineStr"/>
    </row>
    <row r="17">
      <c r="A17" s="3" t="inlineStr">
        <is>
          <t>EST-016</t>
        </is>
      </c>
      <c r="B17" s="3" t="n">
        <v>25</v>
      </c>
      <c r="C17" s="3" t="inlineStr">
        <is>
          <t>Use of Phage Cocktail BFC 1.10 in Combination With Ceftazidime-Avibactam in the Treatment of Multidrug-Resistant Pseudomonas aeruginosa Femur Osteomyelitis-A Case Report.</t>
        </is>
      </c>
      <c r="D17" s="3" t="inlineStr">
        <is>
          <t>Frontiers in medicine</t>
        </is>
      </c>
      <c r="E17" s="3" t="inlineStr">
        <is>
          <t>2022</t>
        </is>
      </c>
      <c r="F17" s="3" t="inlineStr">
        <is>
          <t>articulo</t>
        </is>
      </c>
      <c r="G17" s="3" t="inlineStr">
        <is>
          <t>10.3389/fmed.2022.851310</t>
        </is>
      </c>
      <c r="H17" s="4" t="inlineStr">
        <is>
          <t>abrir</t>
        </is>
      </c>
      <c r="I17" s="5" t="inlineStr"/>
      <c r="J17" s="5" t="inlineStr">
        <is>
          <t>A</t>
        </is>
      </c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>
        <f>IFERROR(IF(VLOOKUP(D17,Revistas!$A$21:$C$400,3,FALSE)=0,"",VLOOKUP(D17,Revistas!$A$21:$C$400,3,FALSE)),"")</f>
        <v/>
      </c>
      <c r="AC17" s="5" t="inlineStr"/>
      <c r="AD17" s="5" t="inlineStr"/>
      <c r="AE17" s="5" t="inlineStr"/>
    </row>
    <row r="18">
      <c r="A18" s="3" t="inlineStr">
        <is>
          <t>EST-017</t>
        </is>
      </c>
      <c r="B18" s="3" t="n">
        <v>29</v>
      </c>
      <c r="C18" s="3" t="inlineStr">
        <is>
          <t>Successful Treatment of a Patient With Chronic Bronchiectasis Using an Induced Native Phage Cocktail: A Case Report.</t>
        </is>
      </c>
      <c r="D18" s="3" t="inlineStr">
        <is>
          <t>Cureus</t>
        </is>
      </c>
      <c r="E18" s="3" t="inlineStr">
        <is>
          <t>2025</t>
        </is>
      </c>
      <c r="F18" s="3" t="inlineStr">
        <is>
          <t>articulo</t>
        </is>
      </c>
      <c r="G18" s="3" t="inlineStr">
        <is>
          <t>10.7759/cureus.77681</t>
        </is>
      </c>
      <c r="H18" s="4" t="inlineStr">
        <is>
          <t>abrir</t>
        </is>
      </c>
      <c r="I18" s="5" t="inlineStr"/>
      <c r="J18" s="5" t="inlineStr">
        <is>
          <t>A</t>
        </is>
      </c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>
        <f>IFERROR(IF(VLOOKUP(D18,Revistas!$A$21:$C$400,3,FALSE)=0,"",VLOOKUP(D18,Revistas!$A$21:$C$400,3,FALSE)),"")</f>
        <v/>
      </c>
      <c r="AC18" s="5" t="inlineStr"/>
      <c r="AD18" s="5" t="inlineStr"/>
      <c r="AE18" s="5" t="inlineStr"/>
    </row>
    <row r="19">
      <c r="A19" s="3" t="inlineStr">
        <is>
          <t>EST-018</t>
        </is>
      </c>
      <c r="B19" s="3" t="n">
        <v>30</v>
      </c>
      <c r="C19" s="3" t="inlineStr">
        <is>
          <t>Bacteriophage therapy in clinical practice: case studies of Pseudomonas aeruginosa infections.</t>
        </is>
      </c>
      <c r="D19" s="3" t="inlineStr">
        <is>
          <t>Journal of chemotherapy (Florence, Italy)</t>
        </is>
      </c>
      <c r="E19" s="3" t="inlineStr">
        <is>
          <t>2026</t>
        </is>
      </c>
      <c r="F19" s="3" t="inlineStr">
        <is>
          <t>articulo</t>
        </is>
      </c>
      <c r="G19" s="3" t="inlineStr">
        <is>
          <t>10.1080/1120009x.2025.2547147</t>
        </is>
      </c>
      <c r="H19" s="4" t="inlineStr">
        <is>
          <t>abrir</t>
        </is>
      </c>
      <c r="I19" s="5" t="inlineStr"/>
      <c r="J19" s="5" t="inlineStr">
        <is>
          <t>A</t>
        </is>
      </c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>
        <f>IFERROR(IF(VLOOKUP(D19,Revistas!$A$21:$C$400,3,FALSE)=0,"",VLOOKUP(D19,Revistas!$A$21:$C$400,3,FALSE)),"")</f>
        <v/>
      </c>
      <c r="AC19" s="5" t="inlineStr"/>
      <c r="AD19" s="5" t="inlineStr"/>
      <c r="AE19" s="5" t="inlineStr"/>
    </row>
    <row r="20">
      <c r="A20" s="3" t="inlineStr">
        <is>
          <t>EST-019</t>
        </is>
      </c>
      <c r="B20" s="3" t="n">
        <v>35</v>
      </c>
      <c r="C20" s="3" t="inlineStr">
        <is>
          <t>Neutralizing antibodies after nebulized phage therapy in cystic fibrosis patients.</t>
        </is>
      </c>
      <c r="D20" s="3" t="inlineStr">
        <is>
          <t>Med (New York, N.Y.)</t>
        </is>
      </c>
      <c r="E20" s="3" t="inlineStr">
        <is>
          <t>2024</t>
        </is>
      </c>
      <c r="F20" s="3" t="inlineStr">
        <is>
          <t>articulo</t>
        </is>
      </c>
      <c r="G20" s="3" t="inlineStr">
        <is>
          <t>10.1016/j.medj.2024.05.017</t>
        </is>
      </c>
      <c r="H20" s="4" t="inlineStr">
        <is>
          <t>abrir</t>
        </is>
      </c>
      <c r="I20" s="5" t="inlineStr"/>
      <c r="J20" s="5" t="inlineStr">
        <is>
          <t>A</t>
        </is>
      </c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>
        <f>IFERROR(IF(VLOOKUP(D20,Revistas!$A$21:$C$400,3,FALSE)=0,"",VLOOKUP(D20,Revistas!$A$21:$C$400,3,FALSE)),"")</f>
        <v/>
      </c>
      <c r="AC20" s="5" t="inlineStr"/>
      <c r="AD20" s="5" t="inlineStr"/>
      <c r="AE20" s="5" t="inlineStr"/>
    </row>
    <row r="21">
      <c r="A21" s="3" t="inlineStr">
        <is>
          <t>EST-020</t>
        </is>
      </c>
      <c r="B21" s="3" t="n">
        <v>36</v>
      </c>
      <c r="C21" s="3" t="inlineStr">
        <is>
          <t>Adjunctive phage therapy improves antibiotic treatment of ventilator-associated-pneumonia with Pseudomonas aeruginosa.</t>
        </is>
      </c>
      <c r="D21" s="3" t="inlineStr">
        <is>
          <t xml:space="preserve">Nature Communications </t>
        </is>
      </c>
      <c r="E21" s="3" t="inlineStr">
        <is>
          <t>2025</t>
        </is>
      </c>
      <c r="F21" s="3" t="inlineStr">
        <is>
          <t>articulo</t>
        </is>
      </c>
      <c r="G21" s="3" t="inlineStr">
        <is>
          <t>10.1038/s41467-025-59806-y</t>
        </is>
      </c>
      <c r="H21" s="4" t="inlineStr">
        <is>
          <t>abrir</t>
        </is>
      </c>
      <c r="I21" s="5" t="inlineStr"/>
      <c r="J21" s="5" t="inlineStr">
        <is>
          <t>A</t>
        </is>
      </c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>
        <f>IFERROR(IF(VLOOKUP(D21,Revistas!$A$21:$C$400,3,FALSE)=0,"",VLOOKUP(D21,Revistas!$A$21:$C$400,3,FALSE)),"")</f>
        <v/>
      </c>
      <c r="AC21" s="5" t="inlineStr"/>
      <c r="AD21" s="5" t="inlineStr"/>
      <c r="AE21" s="5" t="inlineStr"/>
    </row>
    <row r="22">
      <c r="A22" s="3" t="inlineStr">
        <is>
          <t>EST-024</t>
        </is>
      </c>
      <c r="B22" s="3" t="n">
        <v>47</v>
      </c>
      <c r="C22" s="3" t="inlineStr">
        <is>
          <t>Bacteriophage Therapy for Pan-Drug-Resistant Pseudomonas aeruginosa in Two Persons With Cystic Fibrosis.</t>
        </is>
      </c>
      <c r="D22" s="3" t="inlineStr">
        <is>
          <t>Journal of investigative medicine high impact case reports</t>
        </is>
      </c>
      <c r="E22" s="3" t="inlineStr">
        <is>
          <t>2023</t>
        </is>
      </c>
      <c r="F22" s="3" t="inlineStr">
        <is>
          <t>articulo</t>
        </is>
      </c>
      <c r="G22" s="3" t="inlineStr">
        <is>
          <t>10.1177/23247096231188243</t>
        </is>
      </c>
      <c r="H22" s="4" t="inlineStr">
        <is>
          <t>abrir</t>
        </is>
      </c>
      <c r="I22" s="5" t="inlineStr"/>
      <c r="J22" s="5" t="inlineStr">
        <is>
          <t>A</t>
        </is>
      </c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>
        <f>IFERROR(IF(VLOOKUP(D22,Revistas!$A$21:$C$400,3,FALSE)=0,"",VLOOKUP(D22,Revistas!$A$21:$C$400,3,FALSE)),"")</f>
        <v/>
      </c>
      <c r="AC22" s="5" t="inlineStr"/>
      <c r="AD22" s="5" t="inlineStr"/>
      <c r="AE22" s="5" t="inlineStr"/>
    </row>
    <row r="23">
      <c r="A23" s="3" t="inlineStr">
        <is>
          <t>EST-021</t>
        </is>
      </c>
      <c r="B23" s="3" t="n">
        <v>54</v>
      </c>
      <c r="C23" s="3" t="inlineStr">
        <is>
          <t>Efficacy and tolerability of a cocktail of bacteriophages to treat burn wounds infected by Pseudomonas aeruginosa (PhagoBurn): a randomised, controlled, double-blind phase 1/2 tria</t>
        </is>
      </c>
      <c r="D23" s="3" t="inlineStr">
        <is>
          <t>The Lancet. Infectious diseases</t>
        </is>
      </c>
      <c r="E23" s="3" t="inlineStr">
        <is>
          <t>2019</t>
        </is>
      </c>
      <c r="F23" s="3" t="inlineStr">
        <is>
          <t>articulo</t>
        </is>
      </c>
      <c r="G23" s="3" t="inlineStr">
        <is>
          <t>30292481</t>
        </is>
      </c>
      <c r="H23" s="4" t="inlineStr">
        <is>
          <t>abrir</t>
        </is>
      </c>
      <c r="I23" s="5" t="inlineStr"/>
      <c r="J23" s="5" t="inlineStr">
        <is>
          <t>A</t>
        </is>
      </c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5" t="inlineStr"/>
      <c r="AA23" s="5" t="inlineStr"/>
      <c r="AB23" s="5">
        <f>IFERROR(IF(VLOOKUP(D23,Revistas!$A$21:$C$400,3,FALSE)=0,"",VLOOKUP(D23,Revistas!$A$21:$C$400,3,FALSE)),"")</f>
        <v/>
      </c>
      <c r="AC23" s="5" t="inlineStr"/>
      <c r="AD23" s="5" t="inlineStr"/>
      <c r="AE23" s="5" t="inlineStr"/>
    </row>
    <row r="24">
      <c r="A24" s="3" t="inlineStr">
        <is>
          <t>EST-027</t>
        </is>
      </c>
      <c r="B24" s="3" t="n">
        <v>60</v>
      </c>
      <c r="C24" s="3" t="inlineStr">
        <is>
          <t>Personalized aerosolised bacteriophage treatment of a chronic lung infection due to multidrug-resistant Pseudomonas aeruginosa.</t>
        </is>
      </c>
      <c r="D24" s="3" t="inlineStr">
        <is>
          <t>Nature communications</t>
        </is>
      </c>
      <c r="E24" s="3" t="inlineStr">
        <is>
          <t>2023</t>
        </is>
      </c>
      <c r="F24" s="3" t="inlineStr">
        <is>
          <t>articulo</t>
        </is>
      </c>
      <c r="G24" s="3" t="inlineStr">
        <is>
          <t>10.1038/s41467-023-39370-z</t>
        </is>
      </c>
      <c r="H24" s="4" t="inlineStr">
        <is>
          <t>abrir</t>
        </is>
      </c>
      <c r="I24" s="5" t="inlineStr"/>
      <c r="J24" s="5" t="inlineStr">
        <is>
          <t>A</t>
        </is>
      </c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5" t="inlineStr"/>
      <c r="AA24" s="5" t="inlineStr"/>
      <c r="AB24" s="5">
        <f>IFERROR(IF(VLOOKUP(D24,Revistas!$A$21:$C$400,3,FALSE)=0,"",VLOOKUP(D24,Revistas!$A$21:$C$400,3,FALSE)),"")</f>
        <v/>
      </c>
      <c r="AC24" s="5" t="inlineStr"/>
      <c r="AD24" s="5" t="inlineStr"/>
      <c r="AE24" s="5" t="inlineStr"/>
    </row>
    <row r="25">
      <c r="A25" s="3" t="inlineStr">
        <is>
          <t>EST-028</t>
        </is>
      </c>
      <c r="B25" s="3" t="n">
        <v>64</v>
      </c>
      <c r="C25" s="3" t="inlineStr">
        <is>
          <t>A feasibility study for personalized phage therapy against drug-resistant bacteria in Japan.</t>
        </is>
      </c>
      <c r="D25" s="3" t="inlineStr">
        <is>
          <t>Journal of infection and chemotherapy : official journal of the Japan Society of Chemotherapy</t>
        </is>
      </c>
      <c r="E25" s="3" t="inlineStr">
        <is>
          <t>2025</t>
        </is>
      </c>
      <c r="F25" s="3" t="inlineStr">
        <is>
          <t>articulo</t>
        </is>
      </c>
      <c r="G25" s="3" t="inlineStr">
        <is>
          <t>10.1016/j.jiac.2025.102770</t>
        </is>
      </c>
      <c r="H25" s="4" t="inlineStr">
        <is>
          <t>abrir</t>
        </is>
      </c>
      <c r="I25" s="5" t="inlineStr"/>
      <c r="J25" s="5" t="inlineStr">
        <is>
          <t>A</t>
        </is>
      </c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>
        <f>IFERROR(IF(VLOOKUP(D25,Revistas!$A$21:$C$400,3,FALSE)=0,"",VLOOKUP(D25,Revistas!$A$21:$C$400,3,FALSE)),"")</f>
        <v/>
      </c>
      <c r="AC25" s="5" t="inlineStr"/>
      <c r="AD25" s="5" t="inlineStr"/>
      <c r="AE25" s="5" t="inlineStr"/>
    </row>
    <row r="26">
      <c r="A26" s="3" t="inlineStr">
        <is>
          <t>EST-029</t>
        </is>
      </c>
      <c r="B26" s="3" t="n">
        <v>66</v>
      </c>
      <c r="C26" s="3" t="inlineStr">
        <is>
          <t>Randomized double-blind study on safety and tolerability of TP-102 phage cocktail in patients with infected and non-infected diabetic foot ulcers.</t>
        </is>
      </c>
      <c r="D26" s="3" t="inlineStr">
        <is>
          <t>Med (New York, N.Y.)</t>
        </is>
      </c>
      <c r="E26" s="3" t="inlineStr">
        <is>
          <t>2025</t>
        </is>
      </c>
      <c r="F26" s="3" t="inlineStr">
        <is>
          <t>articulo</t>
        </is>
      </c>
      <c r="G26" s="3" t="inlineStr">
        <is>
          <t>39740667</t>
        </is>
      </c>
      <c r="H26" s="4" t="inlineStr">
        <is>
          <t>abrir</t>
        </is>
      </c>
      <c r="I26" s="5" t="inlineStr"/>
      <c r="J26" s="5" t="inlineStr">
        <is>
          <t>A</t>
        </is>
      </c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>
        <f>IFERROR(IF(VLOOKUP(D26,Revistas!$A$21:$C$400,3,FALSE)=0,"",VLOOKUP(D26,Revistas!$A$21:$C$400,3,FALSE)),"")</f>
        <v/>
      </c>
      <c r="AC26" s="5" t="inlineStr"/>
      <c r="AD26" s="5" t="inlineStr"/>
      <c r="AE26" s="5" t="inlineStr"/>
    </row>
    <row r="27">
      <c r="A27" s="3" t="inlineStr">
        <is>
          <t>EST-030</t>
        </is>
      </c>
      <c r="B27" s="3" t="n">
        <v>67</v>
      </c>
      <c r="C27" s="3" t="inlineStr">
        <is>
          <t>Clearance of hypermutator XDR Pseudomonas osteomyelitis and hardware infection with adjunctive bacteriophage therapy.</t>
        </is>
      </c>
      <c r="D27" s="3" t="inlineStr">
        <is>
          <t>ASM case reports</t>
        </is>
      </c>
      <c r="E27" s="3" t="inlineStr">
        <is>
          <t>2026</t>
        </is>
      </c>
      <c r="F27" s="3" t="inlineStr">
        <is>
          <t>articulo</t>
        </is>
      </c>
      <c r="G27" s="3" t="inlineStr">
        <is>
          <t>10.1128/asmcr.00108-25</t>
        </is>
      </c>
      <c r="H27" s="4" t="inlineStr">
        <is>
          <t>abrir</t>
        </is>
      </c>
      <c r="I27" s="5" t="inlineStr"/>
      <c r="J27" s="5" t="inlineStr">
        <is>
          <t>A</t>
        </is>
      </c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>
        <f>IFERROR(IF(VLOOKUP(D27,Revistas!$A$21:$C$400,3,FALSE)=0,"",VLOOKUP(D27,Revistas!$A$21:$C$400,3,FALSE)),"")</f>
        <v/>
      </c>
      <c r="AC27" s="5" t="inlineStr"/>
      <c r="AD27" s="5" t="inlineStr"/>
      <c r="AE27" s="5" t="inlineStr"/>
    </row>
    <row r="28">
      <c r="A28" s="3" t="inlineStr">
        <is>
          <t>EST-031</t>
        </is>
      </c>
      <c r="B28" s="3" t="n">
        <v>68</v>
      </c>
      <c r="C28" s="3" t="inlineStr">
        <is>
          <t>Harnessing bacteriophages to combat antibiotic-resistant chronic postoperative infections: A promising case series</t>
        </is>
      </c>
      <c r="D28" s="3" t="inlineStr">
        <is>
          <t>Medicine in Microecology</t>
        </is>
      </c>
      <c r="E28" s="3" t="inlineStr">
        <is>
          <t>2026</t>
        </is>
      </c>
      <c r="F28" s="3" t="inlineStr">
        <is>
          <t>articulo</t>
        </is>
      </c>
      <c r="G28" s="3" t="inlineStr">
        <is>
          <t>10.1016/j.medmic.2026.100178</t>
        </is>
      </c>
      <c r="H28" s="4" t="inlineStr">
        <is>
          <t>abrir</t>
        </is>
      </c>
      <c r="I28" s="5" t="inlineStr"/>
      <c r="J28" s="5" t="inlineStr">
        <is>
          <t>A</t>
        </is>
      </c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>
        <f>IFERROR(IF(VLOOKUP(D28,Revistas!$A$21:$C$400,3,FALSE)=0,"",VLOOKUP(D28,Revistas!$A$21:$C$400,3,FALSE)),"")</f>
        <v/>
      </c>
      <c r="AC28" s="5" t="inlineStr"/>
      <c r="AD28" s="5" t="inlineStr"/>
      <c r="AE28" s="5" t="inlineStr"/>
    </row>
    <row r="29">
      <c r="A29" s="3" t="inlineStr">
        <is>
          <t>EST-032</t>
        </is>
      </c>
      <c r="B29" s="3" t="n">
        <v>72</v>
      </c>
      <c r="C29" s="3" t="inlineStr">
        <is>
          <t>Refractory Pseudomonas Bacteremia in a 2-Year-Old Sterilized by Bacteriophage Therapy.</t>
        </is>
      </c>
      <c r="D29" s="3" t="inlineStr">
        <is>
          <t>Journal of the Pediatric Infectious Diseases Society</t>
        </is>
      </c>
      <c r="E29" s="3" t="inlineStr">
        <is>
          <t>2018</t>
        </is>
      </c>
      <c r="F29" s="3" t="inlineStr">
        <is>
          <t>articulo</t>
        </is>
      </c>
      <c r="G29" s="3" t="inlineStr">
        <is>
          <t>10.1093/jpids/pix056</t>
        </is>
      </c>
      <c r="H29" s="4" t="inlineStr">
        <is>
          <t>abrir</t>
        </is>
      </c>
      <c r="I29" s="5" t="inlineStr"/>
      <c r="J29" s="5" t="inlineStr">
        <is>
          <t>A</t>
        </is>
      </c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>
        <f>IFERROR(IF(VLOOKUP(D29,Revistas!$A$21:$C$400,3,FALSE)=0,"",VLOOKUP(D29,Revistas!$A$21:$C$400,3,FALSE)),"")</f>
        <v/>
      </c>
      <c r="AC29" s="5" t="inlineStr"/>
      <c r="AD29" s="5" t="inlineStr"/>
      <c r="AE29" s="5" t="inlineStr"/>
    </row>
    <row r="30">
      <c r="A30" s="3" t="inlineStr">
        <is>
          <t>EST-033</t>
        </is>
      </c>
      <c r="B30" s="3" t="n">
        <v>74</v>
      </c>
      <c r="C30" s="3" t="inlineStr">
        <is>
          <t>Bacteriophage Therapy of Ventilator-associated Pneumonia and Empyema Caused by Pseudomonas aeruginosa.</t>
        </is>
      </c>
      <c r="D30" s="3" t="inlineStr">
        <is>
          <t>American journal of respiratory and critical care medicine</t>
        </is>
      </c>
      <c r="E30" s="3" t="inlineStr">
        <is>
          <t>2019</t>
        </is>
      </c>
      <c r="F30" s="3" t="inlineStr">
        <is>
          <t>articulo</t>
        </is>
      </c>
      <c r="G30" s="3" t="inlineStr">
        <is>
          <t>10.1164/rccm.201904-0839le</t>
        </is>
      </c>
      <c r="H30" s="4" t="inlineStr">
        <is>
          <t>abrir</t>
        </is>
      </c>
      <c r="I30" s="5" t="inlineStr"/>
      <c r="J30" s="5" t="inlineStr">
        <is>
          <t>A</t>
        </is>
      </c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>
        <f>IFERROR(IF(VLOOKUP(D30,Revistas!$A$21:$C$400,3,FALSE)=0,"",VLOOKUP(D30,Revistas!$A$21:$C$400,3,FALSE)),"")</f>
        <v/>
      </c>
      <c r="AC30" s="5" t="inlineStr"/>
      <c r="AD30" s="5" t="inlineStr"/>
      <c r="AE30" s="5" t="inlineStr"/>
    </row>
    <row r="31">
      <c r="A31" s="3" t="inlineStr">
        <is>
          <t>EST-034</t>
        </is>
      </c>
      <c r="B31" s="3" t="n">
        <v>75</v>
      </c>
      <c r="C31" s="3" t="inlineStr">
        <is>
          <t>Lessons Learned From the First 10 Consecutive Cases of Intravenous Bacteriophage Therapy to Treat Multidrug-Resistant Bacterial Infections at a Single Center in the United States.</t>
        </is>
      </c>
      <c r="D31" s="3" t="inlineStr">
        <is>
          <t>Open forum infectious diseases</t>
        </is>
      </c>
      <c r="E31" s="3" t="inlineStr">
        <is>
          <t>2020</t>
        </is>
      </c>
      <c r="F31" s="3" t="inlineStr">
        <is>
          <t>articulo</t>
        </is>
      </c>
      <c r="G31" s="3" t="inlineStr">
        <is>
          <t>10.1093/ofid/ofaa389</t>
        </is>
      </c>
      <c r="H31" s="4" t="inlineStr">
        <is>
          <t>abrir</t>
        </is>
      </c>
      <c r="I31" s="5" t="inlineStr"/>
      <c r="J31" s="5" t="inlineStr">
        <is>
          <t>A</t>
        </is>
      </c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>
        <f>IFERROR(IF(VLOOKUP(D31,Revistas!$A$21:$C$400,3,FALSE)=0,"",VLOOKUP(D31,Revistas!$A$21:$C$400,3,FALSE)),"")</f>
        <v/>
      </c>
      <c r="AC31" s="5" t="inlineStr"/>
      <c r="AD31" s="5" t="inlineStr"/>
      <c r="AE31" s="5" t="inlineStr"/>
    </row>
    <row r="32">
      <c r="A32" s="3" t="inlineStr">
        <is>
          <t>EST-035</t>
        </is>
      </c>
      <c r="B32" s="3" t="n">
        <v>80</v>
      </c>
      <c r="C32" s="3" t="inlineStr">
        <is>
          <t>Safety and microbiological activity of phage therapy in persons with cystic fibrosis colonized with Pseudomonas aeruginosa: study protocol for a phase 1b/2, multicenter, randomized</t>
        </is>
      </c>
      <c r="D32" s="3" t="inlineStr">
        <is>
          <t>Trials</t>
        </is>
      </c>
      <c r="E32" s="3" t="inlineStr">
        <is>
          <t>2022</t>
        </is>
      </c>
      <c r="F32" s="3" t="inlineStr">
        <is>
          <t>articulo</t>
        </is>
      </c>
      <c r="G32" s="3" t="inlineStr">
        <is>
          <t>36578069</t>
        </is>
      </c>
      <c r="H32" s="4" t="inlineStr">
        <is>
          <t>abrir</t>
        </is>
      </c>
      <c r="I32" s="5" t="inlineStr"/>
      <c r="J32" s="5" t="inlineStr">
        <is>
          <t>A</t>
        </is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>
        <f>IFERROR(IF(VLOOKUP(D32,Revistas!$A$21:$C$400,3,FALSE)=0,"",VLOOKUP(D32,Revistas!$A$21:$C$400,3,FALSE)),"")</f>
        <v/>
      </c>
      <c r="AC32" s="5" t="inlineStr"/>
      <c r="AD32" s="5" t="inlineStr"/>
      <c r="AE32" s="5" t="inlineStr"/>
    </row>
    <row r="33">
      <c r="A33" s="3" t="inlineStr">
        <is>
          <t>EST-037</t>
        </is>
      </c>
      <c r="B33" s="3" t="n">
        <v>88</v>
      </c>
      <c r="C33" s="3" t="inlineStr">
        <is>
          <t>Pan-Resistant Pseudomonas aeruginosa Septic Shock in a Critically Ill Patient: A Case Report.</t>
        </is>
      </c>
      <c r="D33" s="3" t="inlineStr">
        <is>
          <t xml:space="preserve">Clinical Medicine Insights: Case Reports </t>
        </is>
      </c>
      <c r="E33" s="3" t="inlineStr">
        <is>
          <t>2026</t>
        </is>
      </c>
      <c r="F33" s="3" t="inlineStr">
        <is>
          <t>articulo</t>
        </is>
      </c>
      <c r="G33" s="3" t="inlineStr">
        <is>
          <t>10.1177/11795476251411094</t>
        </is>
      </c>
      <c r="H33" s="4" t="inlineStr">
        <is>
          <t>abrir</t>
        </is>
      </c>
      <c r="I33" s="5" t="inlineStr"/>
      <c r="J33" s="5" t="inlineStr">
        <is>
          <t>A</t>
        </is>
      </c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>
        <f>IFERROR(IF(VLOOKUP(D33,Revistas!$A$21:$C$400,3,FALSE)=0,"",VLOOKUP(D33,Revistas!$A$21:$C$400,3,FALSE)),"")</f>
        <v/>
      </c>
      <c r="AC33" s="5" t="inlineStr"/>
      <c r="AD33" s="5" t="inlineStr"/>
      <c r="AE33" s="5" t="inlineStr"/>
    </row>
    <row r="34">
      <c r="A34" s="3" t="inlineStr">
        <is>
          <t>EST-038</t>
        </is>
      </c>
      <c r="B34" s="3" t="n">
        <v>95</v>
      </c>
      <c r="C34" s="3" t="inlineStr">
        <is>
          <t>Phage Therapy Experience at the Eliava Phage Therapy Center: Three Cases of Bacterial Persistence.</t>
        </is>
      </c>
      <c r="D34" s="3" t="inlineStr">
        <is>
          <t>Viruses</t>
        </is>
      </c>
      <c r="E34" s="3" t="inlineStr">
        <is>
          <t>2021</t>
        </is>
      </c>
      <c r="F34" s="3" t="inlineStr">
        <is>
          <t>articulo</t>
        </is>
      </c>
      <c r="G34" s="3" t="inlineStr">
        <is>
          <t>10.3390/v13101901</t>
        </is>
      </c>
      <c r="H34" s="4" t="inlineStr">
        <is>
          <t>abrir</t>
        </is>
      </c>
      <c r="I34" s="5" t="inlineStr"/>
      <c r="J34" s="5" t="inlineStr">
        <is>
          <t>A</t>
        </is>
      </c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>
        <f>IFERROR(IF(VLOOKUP(D34,Revistas!$A$21:$C$400,3,FALSE)=0,"",VLOOKUP(D34,Revistas!$A$21:$C$400,3,FALSE)),"")</f>
        <v/>
      </c>
      <c r="AC34" s="5" t="inlineStr"/>
      <c r="AD34" s="5" t="inlineStr"/>
      <c r="AE34" s="5" t="inlineStr"/>
    </row>
    <row r="35">
      <c r="A35" s="3" t="inlineStr">
        <is>
          <t>EST-039</t>
        </is>
      </c>
      <c r="B35" s="3" t="n">
        <v>97</v>
      </c>
      <c r="C35" s="3" t="inlineStr">
        <is>
          <t>Adaptive Phage Therapy for the Prevention of Recurrent Nosocomial Pneumonia: Novel Protocol Description and Case Series</t>
        </is>
      </c>
      <c r="D35" s="3" t="inlineStr">
        <is>
          <t>Antibiotics</t>
        </is>
      </c>
      <c r="E35" s="3" t="inlineStr">
        <is>
          <t>2023</t>
        </is>
      </c>
      <c r="F35" s="3" t="inlineStr">
        <is>
          <t>articulo</t>
        </is>
      </c>
      <c r="G35" s="3" t="inlineStr">
        <is>
          <t>10.3390/antibiotics12121734</t>
        </is>
      </c>
      <c r="H35" s="4" t="inlineStr">
        <is>
          <t>abrir</t>
        </is>
      </c>
      <c r="I35" s="5" t="inlineStr"/>
      <c r="J35" s="5" t="inlineStr">
        <is>
          <t>A</t>
        </is>
      </c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>
        <f>IFERROR(IF(VLOOKUP(D35,Revistas!$A$21:$C$400,3,FALSE)=0,"",VLOOKUP(D35,Revistas!$A$21:$C$400,3,FALSE)),"")</f>
        <v/>
      </c>
      <c r="AC35" s="5" t="inlineStr"/>
      <c r="AD35" s="5" t="inlineStr"/>
      <c r="AE35" s="5" t="inlineStr"/>
    </row>
    <row r="36">
      <c r="A36" s="3" t="inlineStr">
        <is>
          <t>EST-040</t>
        </is>
      </c>
      <c r="B36" s="3" t="n">
        <v>99</v>
      </c>
      <c r="C36" s="3" t="inlineStr">
        <is>
          <t>Refractory Pseudomonas aeruginosa Bronchopulmonary Infection After Lung Transplantation for Common Variable Immunodeficiency Despite Maximal Treatment Including IgM/IgA-Enriched Im</t>
        </is>
      </c>
      <c r="D36" s="3" t="inlineStr">
        <is>
          <t>Infection and drug resistance</t>
        </is>
      </c>
      <c r="E36" s="3" t="inlineStr">
        <is>
          <t>2023</t>
        </is>
      </c>
      <c r="F36" s="3" t="inlineStr">
        <is>
          <t>articulo</t>
        </is>
      </c>
      <c r="G36" s="3" t="inlineStr">
        <is>
          <t>10.2147/idr.s413900</t>
        </is>
      </c>
      <c r="H36" s="4" t="inlineStr">
        <is>
          <t>abrir</t>
        </is>
      </c>
      <c r="I36" s="5" t="inlineStr"/>
      <c r="J36" s="5" t="inlineStr">
        <is>
          <t>A</t>
        </is>
      </c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inlineStr"/>
      <c r="S36" s="5" t="inlineStr"/>
      <c r="T36" s="5" t="inlineStr"/>
      <c r="U36" s="5" t="inlineStr"/>
      <c r="V36" s="5" t="inlineStr"/>
      <c r="W36" s="5" t="inlineStr"/>
      <c r="X36" s="5" t="inlineStr"/>
      <c r="Y36" s="5" t="inlineStr"/>
      <c r="Z36" s="5" t="inlineStr"/>
      <c r="AA36" s="5" t="inlineStr"/>
      <c r="AB36" s="5">
        <f>IFERROR(IF(VLOOKUP(D36,Revistas!$A$21:$C$400,3,FALSE)=0,"",VLOOKUP(D36,Revistas!$A$21:$C$400,3,FALSE)),"")</f>
        <v/>
      </c>
      <c r="AC36" s="5" t="inlineStr"/>
      <c r="AD36" s="5" t="inlineStr"/>
      <c r="AE36" s="5" t="inlineStr"/>
    </row>
    <row r="37">
      <c r="A37" s="3" t="inlineStr">
        <is>
          <t>EST-041</t>
        </is>
      </c>
      <c r="B37" s="3" t="n">
        <v>104</v>
      </c>
      <c r="C37" s="3" t="inlineStr">
        <is>
          <t>Optimized preparation pipeline for emergency phage therapy against Pseudomonas aeruginosa at Yale University.</t>
        </is>
      </c>
      <c r="D37" s="3" t="inlineStr">
        <is>
          <t>Scientific reports</t>
        </is>
      </c>
      <c r="E37" s="3" t="inlineStr">
        <is>
          <t>2024</t>
        </is>
      </c>
      <c r="F37" s="3" t="inlineStr">
        <is>
          <t>articulo</t>
        </is>
      </c>
      <c r="G37" s="3" t="inlineStr">
        <is>
          <t>10.1038/s41598-024-52192-3</t>
        </is>
      </c>
      <c r="H37" s="4" t="inlineStr">
        <is>
          <t>abrir</t>
        </is>
      </c>
      <c r="I37" s="5" t="inlineStr"/>
      <c r="J37" s="5" t="inlineStr">
        <is>
          <t>A</t>
        </is>
      </c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>
        <f>IFERROR(IF(VLOOKUP(D37,Revistas!$A$21:$C$400,3,FALSE)=0,"",VLOOKUP(D37,Revistas!$A$21:$C$400,3,FALSE)),"")</f>
        <v/>
      </c>
      <c r="AC37" s="5" t="inlineStr"/>
      <c r="AD37" s="5" t="inlineStr"/>
      <c r="AE37" s="5" t="inlineStr"/>
    </row>
    <row r="38">
      <c r="A38" s="3" t="inlineStr">
        <is>
          <t>EST-042</t>
        </is>
      </c>
      <c r="B38" s="3" t="n">
        <v>110</v>
      </c>
      <c r="C38" s="3" t="inlineStr">
        <is>
          <t>Phage therapy of perinephric abscess in kidney transplantation recipients caused by drug-resistant Pseudomonas aeruginosa.</t>
        </is>
      </c>
      <c r="D38" s="3" t="inlineStr">
        <is>
          <t>mLife</t>
        </is>
      </c>
      <c r="E38" s="3" t="inlineStr">
        <is>
          <t>2025</t>
        </is>
      </c>
      <c r="F38" s="3" t="inlineStr">
        <is>
          <t>articulo</t>
        </is>
      </c>
      <c r="G38" s="3" t="inlineStr">
        <is>
          <t>10.1002/mlf2.70042</t>
        </is>
      </c>
      <c r="H38" s="4" t="inlineStr">
        <is>
          <t>abrir</t>
        </is>
      </c>
      <c r="I38" s="5" t="inlineStr"/>
      <c r="J38" s="5" t="inlineStr">
        <is>
          <t>A</t>
        </is>
      </c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>
        <f>IFERROR(IF(VLOOKUP(D38,Revistas!$A$21:$C$400,3,FALSE)=0,"",VLOOKUP(D38,Revistas!$A$21:$C$400,3,FALSE)),"")</f>
        <v/>
      </c>
      <c r="AC38" s="5" t="inlineStr"/>
      <c r="AD38" s="5" t="inlineStr"/>
      <c r="AE38" s="5" t="inlineStr"/>
    </row>
    <row r="39">
      <c r="A39" s="3" t="inlineStr">
        <is>
          <t>EST-043</t>
        </is>
      </c>
      <c r="B39" s="3" t="n">
        <v>111</v>
      </c>
      <c r="C39" s="3" t="inlineStr">
        <is>
          <t>Calciphylaxis complicated by NDM-1-producing Pseudomonas aeruginosa: first experience with cefepime-zidebactam alongside phage therapy in the USA.</t>
        </is>
      </c>
      <c r="D39" s="3" t="inlineStr">
        <is>
          <t>The Lancet. Infectious diseases</t>
        </is>
      </c>
      <c r="E39" s="3" t="inlineStr">
        <is>
          <t>2026</t>
        </is>
      </c>
      <c r="F39" s="3" t="inlineStr">
        <is>
          <t>articulo</t>
        </is>
      </c>
      <c r="G39" s="3" t="inlineStr">
        <is>
          <t>10.1016/s1473-3099(26)00176-3</t>
        </is>
      </c>
      <c r="H39" s="4" t="inlineStr">
        <is>
          <t>abrir</t>
        </is>
      </c>
      <c r="I39" s="5" t="inlineStr"/>
      <c r="J39" s="5" t="inlineStr">
        <is>
          <t>A</t>
        </is>
      </c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5" t="inlineStr"/>
      <c r="AA39" s="5" t="inlineStr"/>
      <c r="AB39" s="5">
        <f>IFERROR(IF(VLOOKUP(D39,Revistas!$A$21:$C$400,3,FALSE)=0,"",VLOOKUP(D39,Revistas!$A$21:$C$400,3,FALSE)),"")</f>
        <v/>
      </c>
      <c r="AC39" s="5" t="inlineStr"/>
      <c r="AD39" s="5" t="inlineStr"/>
      <c r="AE39" s="5" t="inlineStr"/>
    </row>
    <row r="40">
      <c r="A40" s="3" t="inlineStr">
        <is>
          <t>EST-044</t>
        </is>
      </c>
      <c r="B40" s="3" t="n">
        <v>116</v>
      </c>
      <c r="C40" s="3" t="inlineStr">
        <is>
          <t>Successful Bacteriophage Treatment of a Recalcitrant Intra-Abdominal Infection Caused by Multidrug-Resistant Pseudomonas aeruginosa in a 2-Year-Old Child.</t>
        </is>
      </c>
      <c r="D40" s="3" t="inlineStr">
        <is>
          <t>The Journal of pediatrics</t>
        </is>
      </c>
      <c r="E40" s="3" t="inlineStr">
        <is>
          <t>2026</t>
        </is>
      </c>
      <c r="F40" s="3" t="inlineStr">
        <is>
          <t>articulo</t>
        </is>
      </c>
      <c r="G40" s="3" t="inlineStr">
        <is>
          <t>10.1016/j.jpeds.2026.115005</t>
        </is>
      </c>
      <c r="H40" s="4" t="inlineStr">
        <is>
          <t>abrir</t>
        </is>
      </c>
      <c r="I40" s="5" t="inlineStr"/>
      <c r="J40" s="5" t="inlineStr">
        <is>
          <t>A</t>
        </is>
      </c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5" t="inlineStr"/>
      <c r="AA40" s="5" t="inlineStr"/>
      <c r="AB40" s="5">
        <f>IFERROR(IF(VLOOKUP(D40,Revistas!$A$21:$C$400,3,FALSE)=0,"",VLOOKUP(D40,Revistas!$A$21:$C$400,3,FALSE)),"")</f>
        <v/>
      </c>
      <c r="AC40" s="5" t="inlineStr"/>
      <c r="AD40" s="5" t="inlineStr"/>
      <c r="AE40" s="5" t="inlineStr"/>
    </row>
    <row r="41">
      <c r="A41" s="3" t="inlineStr">
        <is>
          <t>EST-045</t>
        </is>
      </c>
      <c r="B41" s="3" t="n">
        <v>120</v>
      </c>
      <c r="C41" s="3" t="inlineStr">
        <is>
          <t>Concept of individualized medicine based on personalized phage therapy for intensive care unit patients suffering from healthcare-associated infections</t>
        </is>
      </c>
      <c r="D41" s="3" t="inlineStr">
        <is>
          <t>Infektsionnye Bolezni</t>
        </is>
      </c>
      <c r="E41" s="3" t="inlineStr">
        <is>
          <t>2017</t>
        </is>
      </c>
      <c r="F41" s="3" t="inlineStr">
        <is>
          <t>articulo</t>
        </is>
      </c>
      <c r="G41" s="3" t="inlineStr">
        <is>
          <t>10.20953/1729-9225-2017-4-49-54</t>
        </is>
      </c>
      <c r="H41" s="4" t="inlineStr">
        <is>
          <t>abrir</t>
        </is>
      </c>
      <c r="I41" s="5" t="inlineStr"/>
      <c r="J41" s="5" t="inlineStr">
        <is>
          <t>A</t>
        </is>
      </c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5" t="inlineStr"/>
      <c r="AA41" s="5" t="inlineStr"/>
      <c r="AB41" s="5">
        <f>IFERROR(IF(VLOOKUP(D41,Revistas!$A$21:$C$400,3,FALSE)=0,"",VLOOKUP(D41,Revistas!$A$21:$C$400,3,FALSE)),"")</f>
        <v/>
      </c>
      <c r="AC41" s="5" t="inlineStr"/>
      <c r="AD41" s="5" t="inlineStr"/>
      <c r="AE41" s="5" t="inlineStr"/>
    </row>
    <row r="42">
      <c r="A42" s="3" t="inlineStr">
        <is>
          <t>EST-046</t>
        </is>
      </c>
      <c r="B42" s="3" t="n">
        <v>121</v>
      </c>
      <c r="C42" s="3" t="inlineStr">
        <is>
          <t>Use of bacteriophages in the treatment of colistin-only-sensitive Pseudomonas aeruginosa septicaemia in a patient with acute kidney injury-a case report.</t>
        </is>
      </c>
      <c r="D42" s="3" t="inlineStr">
        <is>
          <t>Critical care (London, England)</t>
        </is>
      </c>
      <c r="E42" s="3" t="inlineStr">
        <is>
          <t>2017</t>
        </is>
      </c>
      <c r="F42" s="3" t="inlineStr">
        <is>
          <t>articulo</t>
        </is>
      </c>
      <c r="G42" s="3" t="inlineStr">
        <is>
          <t>10.1186/s13054-017-1709-y</t>
        </is>
      </c>
      <c r="H42" s="4" t="inlineStr">
        <is>
          <t>abrir</t>
        </is>
      </c>
      <c r="I42" s="5" t="inlineStr"/>
      <c r="J42" s="5" t="inlineStr">
        <is>
          <t>A</t>
        </is>
      </c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>
        <f>IFERROR(IF(VLOOKUP(D42,Revistas!$A$21:$C$400,3,FALSE)=0,"",VLOOKUP(D42,Revistas!$A$21:$C$400,3,FALSE)),"")</f>
        <v/>
      </c>
      <c r="AC42" s="5" t="inlineStr"/>
      <c r="AD42" s="5" t="inlineStr"/>
      <c r="AE42" s="5" t="inlineStr"/>
    </row>
    <row r="43">
      <c r="A43" s="3" t="inlineStr">
        <is>
          <t>EST-047</t>
        </is>
      </c>
      <c r="B43" s="3" t="n">
        <v>122</v>
      </c>
      <c r="C43" s="3" t="inlineStr">
        <is>
          <t>Bacteriophages as Adjuvant to Antibiotics for the Treatment of Periprosthetic Joint Infection Caused by Multidrug-Resistant Pseudomonas aeruginosa.</t>
        </is>
      </c>
      <c r="D43" s="3" t="inlineStr">
        <is>
          <t>Antimicrobial agents and chemotherapy</t>
        </is>
      </c>
      <c r="E43" s="3" t="inlineStr">
        <is>
          <t>2019</t>
        </is>
      </c>
      <c r="F43" s="3" t="inlineStr">
        <is>
          <t>articulo</t>
        </is>
      </c>
      <c r="G43" s="3" t="inlineStr">
        <is>
          <t>10.1128/aac.00924-19</t>
        </is>
      </c>
      <c r="H43" s="4" t="inlineStr">
        <is>
          <t>abrir</t>
        </is>
      </c>
      <c r="I43" s="5" t="inlineStr"/>
      <c r="J43" s="5" t="inlineStr">
        <is>
          <t>A</t>
        </is>
      </c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>
        <f>IFERROR(IF(VLOOKUP(D43,Revistas!$A$21:$C$400,3,FALSE)=0,"",VLOOKUP(D43,Revistas!$A$21:$C$400,3,FALSE)),"")</f>
        <v/>
      </c>
      <c r="AC43" s="5" t="inlineStr"/>
      <c r="AD43" s="5" t="inlineStr"/>
      <c r="AE43" s="5" t="inlineStr"/>
    </row>
    <row r="44">
      <c r="A44" s="3" t="inlineStr">
        <is>
          <t>EST-048</t>
        </is>
      </c>
      <c r="B44" s="3" t="n">
        <v>125</v>
      </c>
      <c r="C44" s="3" t="inlineStr">
        <is>
          <t>Application of Phage Therapy in a Case of a Chronic Hip-Prosthetic Joint Infection due to Pseudomonas aeruginosa: An Italian Real-Life Experience and In Vitro Analysis.</t>
        </is>
      </c>
      <c r="D44" s="3" t="inlineStr">
        <is>
          <t>Open forum infectious diseases</t>
        </is>
      </c>
      <c r="E44" s="3" t="inlineStr">
        <is>
          <t>2023</t>
        </is>
      </c>
      <c r="F44" s="3" t="inlineStr">
        <is>
          <t>articulo</t>
        </is>
      </c>
      <c r="G44" s="3" t="inlineStr">
        <is>
          <t>10.1093/ofid/ofad051</t>
        </is>
      </c>
      <c r="H44" s="4" t="inlineStr">
        <is>
          <t>abrir</t>
        </is>
      </c>
      <c r="I44" s="5" t="inlineStr"/>
      <c r="J44" s="5" t="inlineStr">
        <is>
          <t>A</t>
        </is>
      </c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>
        <f>IFERROR(IF(VLOOKUP(D44,Revistas!$A$21:$C$400,3,FALSE)=0,"",VLOOKUP(D44,Revistas!$A$21:$C$400,3,FALSE)),"")</f>
        <v/>
      </c>
      <c r="AC44" s="5" t="inlineStr"/>
      <c r="AD44" s="5" t="inlineStr"/>
      <c r="AE44" s="5" t="inlineStr"/>
    </row>
    <row r="45">
      <c r="A45" s="3" t="inlineStr">
        <is>
          <t>EST-049</t>
        </is>
      </c>
      <c r="B45" s="3" t="n">
        <v>128</v>
      </c>
      <c r="C45" s="3" t="inlineStr">
        <is>
          <t>Development of Host Immune Response to Bacteriophage in a Lung Transplant Recipient on Adjunctive Phage Therapy for a Multidrug-Resistant Pneumonia.</t>
        </is>
      </c>
      <c r="D45" s="3" t="inlineStr">
        <is>
          <t>The Journal of infectious diseases</t>
        </is>
      </c>
      <c r="E45" s="3" t="inlineStr">
        <is>
          <t>2023</t>
        </is>
      </c>
      <c r="F45" s="3" t="inlineStr">
        <is>
          <t>articulo</t>
        </is>
      </c>
      <c r="G45" s="3" t="inlineStr">
        <is>
          <t>10.1093/infdis/jiac368</t>
        </is>
      </c>
      <c r="H45" s="4" t="inlineStr">
        <is>
          <t>abrir</t>
        </is>
      </c>
      <c r="I45" s="5" t="inlineStr"/>
      <c r="J45" s="5" t="inlineStr">
        <is>
          <t>A</t>
        </is>
      </c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>
        <f>IFERROR(IF(VLOOKUP(D45,Revistas!$A$21:$C$400,3,FALSE)=0,"",VLOOKUP(D45,Revistas!$A$21:$C$400,3,FALSE)),"")</f>
        <v/>
      </c>
      <c r="AC45" s="5" t="inlineStr"/>
      <c r="AD45" s="5" t="inlineStr"/>
      <c r="AE45" s="5" t="inlineStr"/>
    </row>
    <row r="46">
      <c r="A46" s="3" t="inlineStr">
        <is>
          <t>EST-050</t>
        </is>
      </c>
      <c r="B46" s="3" t="n">
        <v>130</v>
      </c>
      <c r="C46" s="3" t="inlineStr">
        <is>
          <t>Access to phage therapy at Hospices Civils de Lyon in 2022: Implementation of the PHAGEinLYON Clinic programme.</t>
        </is>
      </c>
      <c r="D46" s="3" t="inlineStr">
        <is>
          <t>International journal of antimicrobial agents</t>
        </is>
      </c>
      <c r="E46" s="3" t="inlineStr">
        <is>
          <t>2024</t>
        </is>
      </c>
      <c r="F46" s="3" t="inlineStr">
        <is>
          <t>articulo</t>
        </is>
      </c>
      <c r="G46" s="3" t="inlineStr">
        <is>
          <t>10.1016/j.ijantimicag.2024.107372</t>
        </is>
      </c>
      <c r="H46" s="4" t="inlineStr">
        <is>
          <t>abrir</t>
        </is>
      </c>
      <c r="I46" s="5" t="inlineStr"/>
      <c r="J46" s="5" t="inlineStr">
        <is>
          <t>A</t>
        </is>
      </c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5" t="inlineStr"/>
      <c r="AA46" s="5" t="inlineStr"/>
      <c r="AB46" s="5">
        <f>IFERROR(IF(VLOOKUP(D46,Revistas!$A$21:$C$400,3,FALSE)=0,"",VLOOKUP(D46,Revistas!$A$21:$C$400,3,FALSE)),"")</f>
        <v/>
      </c>
      <c r="AC46" s="5" t="inlineStr"/>
      <c r="AD46" s="5" t="inlineStr"/>
      <c r="AE46" s="5" t="inlineStr"/>
    </row>
    <row r="47">
      <c r="A47" s="3" t="inlineStr">
        <is>
          <t>EST-051</t>
        </is>
      </c>
      <c r="B47" s="3" t="n">
        <v>131</v>
      </c>
      <c r="C47" s="3" t="inlineStr">
        <is>
          <t>Case report: Local bacteriophage therapy for fracture-related infection with polymicrobial multi-resistant bacteria: hydrogel application and postoperative phage analysis through m</t>
        </is>
      </c>
      <c r="D47" s="3" t="inlineStr">
        <is>
          <t>Frontiers in Medicine</t>
        </is>
      </c>
      <c r="E47" s="3" t="inlineStr">
        <is>
          <t>2024</t>
        </is>
      </c>
      <c r="F47" s="3" t="inlineStr">
        <is>
          <t>articulo</t>
        </is>
      </c>
      <c r="G47" s="3" t="inlineStr">
        <is>
          <t>10.3389/fmed.2024.1428432</t>
        </is>
      </c>
      <c r="H47" s="4" t="inlineStr">
        <is>
          <t>abrir</t>
        </is>
      </c>
      <c r="I47" s="5" t="inlineStr"/>
      <c r="J47" s="5" t="inlineStr">
        <is>
          <t>A</t>
        </is>
      </c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>
        <f>IFERROR(IF(VLOOKUP(D47,Revistas!$A$21:$C$400,3,FALSE)=0,"",VLOOKUP(D47,Revistas!$A$21:$C$400,3,FALSE)),"")</f>
        <v/>
      </c>
      <c r="AC47" s="5" t="inlineStr"/>
      <c r="AD47" s="5" t="inlineStr"/>
      <c r="AE47" s="5" t="inlineStr"/>
    </row>
    <row r="48">
      <c r="A48" s="3" t="inlineStr">
        <is>
          <t>EST-053</t>
        </is>
      </c>
      <c r="B48" s="3" t="n">
        <v>135</v>
      </c>
      <c r="C48" s="3" t="inlineStr">
        <is>
          <t>Phage-Antibiotic Combination Therapy against Recurrent Pseudomonas Septicaemia in a Patient with an Arterial Stent.</t>
        </is>
      </c>
      <c r="D48" s="3" t="inlineStr">
        <is>
          <t>Antibiotics (Basel, Switzerland)</t>
        </is>
      </c>
      <c r="E48" s="3" t="inlineStr">
        <is>
          <t>2024</t>
        </is>
      </c>
      <c r="F48" s="3" t="inlineStr">
        <is>
          <t>articulo</t>
        </is>
      </c>
      <c r="G48" s="3" t="inlineStr">
        <is>
          <t>10.3390/antibiotics13100916</t>
        </is>
      </c>
      <c r="H48" s="4" t="inlineStr">
        <is>
          <t>abrir</t>
        </is>
      </c>
      <c r="I48" s="5" t="inlineStr"/>
      <c r="J48" s="5" t="inlineStr">
        <is>
          <t>A</t>
        </is>
      </c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>
        <f>IFERROR(IF(VLOOKUP(D48,Revistas!$A$21:$C$400,3,FALSE)=0,"",VLOOKUP(D48,Revistas!$A$21:$C$400,3,FALSE)),"")</f>
        <v/>
      </c>
      <c r="AC48" s="5" t="inlineStr"/>
      <c r="AD48" s="5" t="inlineStr"/>
      <c r="AE48" s="5" t="inlineStr"/>
    </row>
    <row r="49">
      <c r="A49" s="3" t="inlineStr">
        <is>
          <t>EST-054</t>
        </is>
      </c>
      <c r="B49" s="3" t="n">
        <v>137</v>
      </c>
      <c r="C49" s="3" t="inlineStr">
        <is>
          <t>Bacteriophage Therapy for Chronic Mastoiditis.</t>
        </is>
      </c>
      <c r="D49" s="3" t="inlineStr">
        <is>
          <t>Otology &amp; neurotology : official publication of the American Otological Society, American Neurotology Society [and] European Academy of Otology and Neurotology</t>
        </is>
      </c>
      <c r="E49" s="3" t="inlineStr">
        <is>
          <t>2025</t>
        </is>
      </c>
      <c r="F49" s="3" t="inlineStr">
        <is>
          <t>articulo</t>
        </is>
      </c>
      <c r="G49" s="3" t="inlineStr">
        <is>
          <t>10.1097/mao.0000000000004417</t>
        </is>
      </c>
      <c r="H49" s="4" t="inlineStr">
        <is>
          <t>abrir</t>
        </is>
      </c>
      <c r="I49" s="5" t="inlineStr"/>
      <c r="J49" s="5" t="inlineStr">
        <is>
          <t>A</t>
        </is>
      </c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>
        <f>IFERROR(IF(VLOOKUP(D49,Revistas!$A$21:$C$400,3,FALSE)=0,"",VLOOKUP(D49,Revistas!$A$21:$C$400,3,FALSE)),"")</f>
        <v/>
      </c>
      <c r="AC49" s="5" t="inlineStr"/>
      <c r="AD49" s="5" t="inlineStr"/>
      <c r="AE49" s="5" t="inlineStr"/>
    </row>
    <row r="50">
      <c r="A50" s="3" t="inlineStr">
        <is>
          <t>EST-055</t>
        </is>
      </c>
      <c r="B50" s="3" t="n">
        <v>138</v>
      </c>
      <c r="C50" s="3" t="inlineStr">
        <is>
          <t>Bacteriophage therapy in women with chronic recurrent cystitis caused by multidrug-resistant bacteria: A prospective, observational, comparative study</t>
        </is>
      </c>
      <c r="D50" s="3" t="inlineStr">
        <is>
          <t>Current Urology</t>
        </is>
      </c>
      <c r="E50" s="3" t="inlineStr">
        <is>
          <t>2025</t>
        </is>
      </c>
      <c r="F50" s="3" t="inlineStr">
        <is>
          <t>articulo</t>
        </is>
      </c>
      <c r="G50" s="3" t="inlineStr">
        <is>
          <t>10.1097/cu9.0000000000000268</t>
        </is>
      </c>
      <c r="H50" s="4" t="inlineStr">
        <is>
          <t>abrir</t>
        </is>
      </c>
      <c r="I50" s="5" t="inlineStr"/>
      <c r="J50" s="5" t="inlineStr">
        <is>
          <t>A</t>
        </is>
      </c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>
        <f>IFERROR(IF(VLOOKUP(D50,Revistas!$A$21:$C$400,3,FALSE)=0,"",VLOOKUP(D50,Revistas!$A$21:$C$400,3,FALSE)),"")</f>
        <v/>
      </c>
      <c r="AC50" s="5" t="inlineStr"/>
      <c r="AD50" s="5" t="inlineStr"/>
      <c r="AE50" s="5" t="inlineStr"/>
    </row>
    <row r="51">
      <c r="A51" s="3" t="inlineStr">
        <is>
          <t>EST-057</t>
        </is>
      </c>
      <c r="B51" s="3" t="n">
        <v>141</v>
      </c>
      <c r="C51" s="3" t="inlineStr">
        <is>
          <t>Phage Therapy as a Rescue Treatment for Recurrent Pseudomonas aeruginosa Bentall Infection.</t>
        </is>
      </c>
      <c r="D51" s="3" t="inlineStr">
        <is>
          <t>Viruses</t>
        </is>
      </c>
      <c r="E51" s="3" t="inlineStr">
        <is>
          <t>2025</t>
        </is>
      </c>
      <c r="F51" s="3" t="inlineStr">
        <is>
          <t>articulo</t>
        </is>
      </c>
      <c r="G51" s="3" t="inlineStr">
        <is>
          <t>10.3390/v17010123</t>
        </is>
      </c>
      <c r="H51" s="4" t="inlineStr">
        <is>
          <t>abrir</t>
        </is>
      </c>
      <c r="I51" s="5" t="inlineStr"/>
      <c r="J51" s="5" t="inlineStr">
        <is>
          <t>A</t>
        </is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>
        <f>IFERROR(IF(VLOOKUP(D51,Revistas!$A$21:$C$400,3,FALSE)=0,"",VLOOKUP(D51,Revistas!$A$21:$C$400,3,FALSE)),"")</f>
        <v/>
      </c>
      <c r="AC51" s="5" t="inlineStr"/>
      <c r="AD51" s="5" t="inlineStr"/>
      <c r="AE51" s="5" t="inlineStr"/>
    </row>
    <row r="52">
      <c r="A52" s="3" t="inlineStr">
        <is>
          <t>EST-058</t>
        </is>
      </c>
      <c r="B52" s="3" t="n">
        <v>142</v>
      </c>
      <c r="C52" s="3" t="inlineStr">
        <is>
          <t>Resolution of acute rejection in a bilateral double-lung transplanted cystic fibrosis patient following phage intervention.</t>
        </is>
      </c>
      <c r="D52" s="3" t="inlineStr">
        <is>
          <t>ASM case reports</t>
        </is>
      </c>
      <c r="E52" s="3" t="inlineStr">
        <is>
          <t>2025</t>
        </is>
      </c>
      <c r="F52" s="3" t="inlineStr">
        <is>
          <t>articulo</t>
        </is>
      </c>
      <c r="G52" s="3" t="inlineStr">
        <is>
          <t>10.1128/asmcr.00058-24</t>
        </is>
      </c>
      <c r="H52" s="4" t="inlineStr">
        <is>
          <t>abrir</t>
        </is>
      </c>
      <c r="I52" s="5" t="inlineStr"/>
      <c r="J52" s="5" t="inlineStr">
        <is>
          <t>A</t>
        </is>
      </c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>
        <f>IFERROR(IF(VLOOKUP(D52,Revistas!$A$21:$C$400,3,FALSE)=0,"",VLOOKUP(D52,Revistas!$A$21:$C$400,3,FALSE)),"")</f>
        <v/>
      </c>
      <c r="AC52" s="5" t="inlineStr"/>
      <c r="AD52" s="5" t="inlineStr"/>
      <c r="AE52" s="5" t="inlineStr"/>
    </row>
    <row r="53">
      <c r="A53" s="3" t="inlineStr">
        <is>
          <t>EST-059</t>
        </is>
      </c>
      <c r="B53" s="3" t="n">
        <v>151</v>
      </c>
      <c r="C53" s="3" t="inlineStr">
        <is>
          <t>Anti-phage antibody response in phage therapy against healthcare-associated infections (HAIs)</t>
        </is>
      </c>
      <c r="D53" s="3" t="inlineStr">
        <is>
          <t>Infektsionnye Bolezni</t>
        </is>
      </c>
      <c r="E53" s="3" t="inlineStr">
        <is>
          <t>2017</t>
        </is>
      </c>
      <c r="F53" s="3" t="inlineStr">
        <is>
          <t>articulo</t>
        </is>
      </c>
      <c r="G53" s="3" t="inlineStr">
        <is>
          <t>10.20953/1729-9225-2017-1-35-40</t>
        </is>
      </c>
      <c r="H53" s="4" t="inlineStr">
        <is>
          <t>abrir</t>
        </is>
      </c>
      <c r="I53" s="5" t="inlineStr"/>
      <c r="J53" s="5" t="inlineStr">
        <is>
          <t>A</t>
        </is>
      </c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>
        <f>IFERROR(IF(VLOOKUP(D53,Revistas!$A$21:$C$400,3,FALSE)=0,"",VLOOKUP(D53,Revistas!$A$21:$C$400,3,FALSE)),"")</f>
        <v/>
      </c>
      <c r="AC53" s="5" t="inlineStr"/>
      <c r="AD53" s="5" t="inlineStr"/>
      <c r="AE53" s="5" t="inlineStr"/>
    </row>
    <row r="54">
      <c r="A54" s="3" t="inlineStr">
        <is>
          <t>EST-060</t>
        </is>
      </c>
      <c r="B54" s="3" t="n">
        <v>154</v>
      </c>
      <c r="C54" s="3" t="inlineStr">
        <is>
          <t>Clinical Indications and Compassionate Use of Phage Therapy: Personal Experience and Literature Review with a Focus on Osteoarticular Infections.</t>
        </is>
      </c>
      <c r="D54" s="3" t="inlineStr">
        <is>
          <t>Viruses</t>
        </is>
      </c>
      <c r="E54" s="3" t="inlineStr">
        <is>
          <t>2018</t>
        </is>
      </c>
      <c r="F54" s="3" t="inlineStr">
        <is>
          <t>articulo</t>
        </is>
      </c>
      <c r="G54" s="3" t="inlineStr">
        <is>
          <t>10.3390/v11010018</t>
        </is>
      </c>
      <c r="H54" s="4" t="inlineStr">
        <is>
          <t>abrir</t>
        </is>
      </c>
      <c r="I54" s="5" t="inlineStr"/>
      <c r="J54" s="5" t="inlineStr">
        <is>
          <t>A</t>
        </is>
      </c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5" t="inlineStr"/>
      <c r="AA54" s="5" t="inlineStr"/>
      <c r="AB54" s="5">
        <f>IFERROR(IF(VLOOKUP(D54,Revistas!$A$21:$C$400,3,FALSE)=0,"",VLOOKUP(D54,Revistas!$A$21:$C$400,3,FALSE)),"")</f>
        <v/>
      </c>
      <c r="AC54" s="5" t="inlineStr"/>
      <c r="AD54" s="5" t="inlineStr"/>
      <c r="AE54" s="5" t="inlineStr"/>
    </row>
    <row r="55">
      <c r="A55" s="3" t="inlineStr">
        <is>
          <t>EST-061</t>
        </is>
      </c>
      <c r="B55" s="3" t="n">
        <v>156</v>
      </c>
      <c r="C55" s="3" t="inlineStr">
        <is>
          <t>Early clinical experience of bacteriophage therapy in 3 lung transplant recipients.</t>
        </is>
      </c>
      <c r="D55" s="3" t="inlineStr">
        <is>
          <t>American journal of transplantation : official journal of the American Society of Transplantation and the American Society of Transplant Surgeons</t>
        </is>
      </c>
      <c r="E55" s="3" t="inlineStr">
        <is>
          <t>2019</t>
        </is>
      </c>
      <c r="F55" s="3" t="inlineStr">
        <is>
          <t>articulo</t>
        </is>
      </c>
      <c r="G55" s="3" t="inlineStr">
        <is>
          <t>10.1111/ajt.15503</t>
        </is>
      </c>
      <c r="H55" s="4" t="inlineStr">
        <is>
          <t>abrir</t>
        </is>
      </c>
      <c r="I55" s="5" t="inlineStr"/>
      <c r="J55" s="5" t="inlineStr">
        <is>
          <t>A</t>
        </is>
      </c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>
        <f>IFERROR(IF(VLOOKUP(D55,Revistas!$A$21:$C$400,3,FALSE)=0,"",VLOOKUP(D55,Revistas!$A$21:$C$400,3,FALSE)),"")</f>
        <v/>
      </c>
      <c r="AC55" s="5" t="inlineStr"/>
      <c r="AD55" s="5" t="inlineStr"/>
      <c r="AE55" s="5" t="inlineStr"/>
    </row>
    <row r="56">
      <c r="A56" s="3" t="inlineStr">
        <is>
          <t>EST-062</t>
        </is>
      </c>
      <c r="B56" s="3" t="n">
        <v>169</v>
      </c>
      <c r="C56" s="3" t="inlineStr">
        <is>
          <t>Bacteriophage-antibiotic combination therapy against extensively drug-resistant Pseudomonas aeruginosa infection to allow liver transplantation in a toddler.</t>
        </is>
      </c>
      <c r="D56" s="3" t="inlineStr">
        <is>
          <t xml:space="preserve">Nature Communications </t>
        </is>
      </c>
      <c r="E56" s="3" t="inlineStr">
        <is>
          <t>2022</t>
        </is>
      </c>
      <c r="F56" s="3" t="inlineStr">
        <is>
          <t>articulo</t>
        </is>
      </c>
      <c r="G56" s="3" t="inlineStr">
        <is>
          <t>10.1038/s41467-022-33294-w</t>
        </is>
      </c>
      <c r="H56" s="4" t="inlineStr">
        <is>
          <t>abrir</t>
        </is>
      </c>
      <c r="I56" s="5" t="inlineStr"/>
      <c r="J56" s="5" t="inlineStr">
        <is>
          <t>A</t>
        </is>
      </c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>
        <f>IFERROR(IF(VLOOKUP(D56,Revistas!$A$21:$C$400,3,FALSE)=0,"",VLOOKUP(D56,Revistas!$A$21:$C$400,3,FALSE)),"")</f>
        <v/>
      </c>
      <c r="AC56" s="5" t="inlineStr"/>
      <c r="AD56" s="5" t="inlineStr"/>
      <c r="AE56" s="5" t="inlineStr"/>
    </row>
    <row r="57">
      <c r="A57" s="3" t="inlineStr">
        <is>
          <t>EST-063</t>
        </is>
      </c>
      <c r="B57" s="3" t="n">
        <v>181</v>
      </c>
      <c r="C57" s="3" t="inlineStr">
        <is>
          <t>Single-arm, open-labelled, safety and tolerability of intrabronchial and nebulised bacteriophage treatment in children with cystic fibrosis and Pseudomonas aeruginosa.</t>
        </is>
      </c>
      <c r="D57" s="3" t="inlineStr">
        <is>
          <t>BMJ open respiratory research</t>
        </is>
      </c>
      <c r="E57" s="3" t="inlineStr">
        <is>
          <t>2023</t>
        </is>
      </c>
      <c r="F57" s="3" t="inlineStr">
        <is>
          <t>articulo</t>
        </is>
      </c>
      <c r="G57" s="3" t="inlineStr">
        <is>
          <t>10.1136/bmjresp-2022-001360</t>
        </is>
      </c>
      <c r="H57" s="4" t="inlineStr">
        <is>
          <t>abrir</t>
        </is>
      </c>
      <c r="I57" s="5" t="inlineStr"/>
      <c r="J57" s="5" t="inlineStr">
        <is>
          <t>A</t>
        </is>
      </c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>
        <f>IFERROR(IF(VLOOKUP(D57,Revistas!$A$21:$C$400,3,FALSE)=0,"",VLOOKUP(D57,Revistas!$A$21:$C$400,3,FALSE)),"")</f>
        <v/>
      </c>
      <c r="AC57" s="5" t="inlineStr"/>
      <c r="AD57" s="5" t="inlineStr"/>
      <c r="AE57" s="5" t="inlineStr"/>
    </row>
    <row r="58">
      <c r="A58" s="3" t="inlineStr">
        <is>
          <t>EST-064</t>
        </is>
      </c>
      <c r="B58" s="3" t="n">
        <v>185</v>
      </c>
      <c r="C58" s="3" t="inlineStr">
        <is>
          <t>Adjunctive bacteriophage therapy for refractory/resistant Pseudomonas aeruginosa infections: Bottlenecks and proposed solutions.</t>
        </is>
      </c>
      <c r="D58" s="3" t="inlineStr">
        <is>
          <t>International journal of antimicrobial agents</t>
        </is>
      </c>
      <c r="E58" s="3" t="inlineStr">
        <is>
          <t>2025</t>
        </is>
      </c>
      <c r="F58" s="3" t="inlineStr">
        <is>
          <t>articulo</t>
        </is>
      </c>
      <c r="G58" s="3" t="inlineStr">
        <is>
          <t>10.1016/j.ijantimicag.2025.107629</t>
        </is>
      </c>
      <c r="H58" s="4" t="inlineStr">
        <is>
          <t>abrir</t>
        </is>
      </c>
      <c r="I58" s="5" t="inlineStr"/>
      <c r="J58" s="5" t="inlineStr">
        <is>
          <t>A</t>
        </is>
      </c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>
        <f>IFERROR(IF(VLOOKUP(D58,Revistas!$A$21:$C$400,3,FALSE)=0,"",VLOOKUP(D58,Revistas!$A$21:$C$400,3,FALSE)),"")</f>
        <v/>
      </c>
      <c r="AC58" s="5" t="inlineStr"/>
      <c r="AD58" s="5" t="inlineStr"/>
      <c r="AE58" s="5" t="inlineStr"/>
    </row>
    <row r="59">
      <c r="A59" s="3" t="inlineStr">
        <is>
          <t>EST-065</t>
        </is>
      </c>
      <c r="B59" s="3" t="n">
        <v>193</v>
      </c>
      <c r="C59" s="3" t="inlineStr">
        <is>
          <t>Successful phage therapy in a patient with prosthetic joint infection; [Tratamiento exitoso con fagoterapia en una paciente con infección periprotésica]</t>
        </is>
      </c>
      <c r="D59" s="3" t="inlineStr">
        <is>
          <t>Enfermedades Infecciosas y Microbiologia Clinica</t>
        </is>
      </c>
      <c r="E59" s="3" t="inlineStr">
        <is>
          <t>2025</t>
        </is>
      </c>
      <c r="F59" s="3" t="inlineStr">
        <is>
          <t>articulo</t>
        </is>
      </c>
      <c r="G59" s="3" t="inlineStr">
        <is>
          <t>10.1016/j.eimc.2025.05.008</t>
        </is>
      </c>
      <c r="H59" s="4" t="inlineStr">
        <is>
          <t>abrir</t>
        </is>
      </c>
      <c r="I59" s="5" t="inlineStr"/>
      <c r="J59" s="5" t="inlineStr">
        <is>
          <t>A</t>
        </is>
      </c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>
        <f>IFERROR(IF(VLOOKUP(D59,Revistas!$A$21:$C$400,3,FALSE)=0,"",VLOOKUP(D59,Revistas!$A$21:$C$400,3,FALSE)),"")</f>
        <v/>
      </c>
      <c r="AC59" s="5" t="inlineStr"/>
      <c r="AD59" s="5" t="inlineStr"/>
      <c r="AE59" s="5" t="inlineStr"/>
    </row>
    <row r="60">
      <c r="A60" s="3" t="inlineStr">
        <is>
          <t>EST-067</t>
        </is>
      </c>
      <c r="B60" s="3" t="n">
        <v>210</v>
      </c>
      <c r="C60" s="3" t="inlineStr">
        <is>
          <t>Adaptive Phage Therapy in the Treatment of Patients with Recurrent Pneumonia (Pilot Study)</t>
        </is>
      </c>
      <c r="D60" s="3" t="inlineStr">
        <is>
          <t>Obshchaya Reanimatologiya</t>
        </is>
      </c>
      <c r="E60" s="3" t="inlineStr">
        <is>
          <t>2021</t>
        </is>
      </c>
      <c r="F60" s="3" t="inlineStr">
        <is>
          <t>articulo</t>
        </is>
      </c>
      <c r="G60" s="3" t="inlineStr">
        <is>
          <t>10.15360/1813-9779-2021-6-4-14</t>
        </is>
      </c>
      <c r="H60" s="4" t="inlineStr">
        <is>
          <t>abrir</t>
        </is>
      </c>
      <c r="I60" s="5" t="inlineStr"/>
      <c r="J60" s="5" t="inlineStr">
        <is>
          <t>A</t>
        </is>
      </c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>
        <f>IFERROR(IF(VLOOKUP(D60,Revistas!$A$21:$C$400,3,FALSE)=0,"",VLOOKUP(D60,Revistas!$A$21:$C$400,3,FALSE)),"")</f>
        <v/>
      </c>
      <c r="AC60" s="5" t="inlineStr"/>
      <c r="AD60" s="5" t="inlineStr"/>
      <c r="AE60" s="5" t="inlineStr"/>
    </row>
    <row r="61">
      <c r="A61" s="3" t="inlineStr">
        <is>
          <t>EST-052</t>
        </is>
      </c>
      <c r="B61" s="3" t="n">
        <v>219</v>
      </c>
      <c r="C61" s="3" t="inlineStr">
        <is>
          <t>CYstic Fibrosis bacterioPHage study at Yale (CYPHY)</t>
        </is>
      </c>
      <c r="D61" s="3" t="inlineStr">
        <is>
          <t>Journal of cystic fibrosis</t>
        </is>
      </c>
      <c r="E61" s="3" t="inlineStr">
        <is>
          <t>2023</t>
        </is>
      </c>
      <c r="F61" s="3" t="inlineStr">
        <is>
          <t>articulo</t>
        </is>
      </c>
      <c r="G61" s="3" t="inlineStr">
        <is>
          <t>NCT04684641</t>
        </is>
      </c>
      <c r="H61" s="4" t="inlineStr">
        <is>
          <t>abrir</t>
        </is>
      </c>
      <c r="I61" s="5" t="inlineStr"/>
      <c r="J61" s="5" t="inlineStr">
        <is>
          <t>A</t>
        </is>
      </c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>
        <f>IFERROR(IF(VLOOKUP(D61,Revistas!$A$21:$C$400,3,FALSE)=0,"",VLOOKUP(D61,Revistas!$A$21:$C$400,3,FALSE)),"")</f>
        <v/>
      </c>
      <c r="AC61" s="5" t="inlineStr"/>
      <c r="AD61" s="5" t="inlineStr"/>
      <c r="AE61" s="5" t="inlineStr"/>
    </row>
    <row r="62">
      <c r="A62" s="3" t="inlineStr">
        <is>
          <t>EST-070</t>
        </is>
      </c>
      <c r="B62" s="3" t="n">
        <v>220</v>
      </c>
      <c r="C62" s="3" t="inlineStr">
        <is>
          <t>Compassionate Use of Bacteriophages for Failed Persistent Infections During the First 5 Years of the Israeli Phage Therapy Center</t>
        </is>
      </c>
      <c r="D62" s="3" t="inlineStr">
        <is>
          <t>Open Forum Infectious Diseases</t>
        </is>
      </c>
      <c r="E62" s="3" t="inlineStr">
        <is>
          <t>2023</t>
        </is>
      </c>
      <c r="F62" s="3" t="inlineStr">
        <is>
          <t>articulo</t>
        </is>
      </c>
      <c r="G62" s="3" t="inlineStr">
        <is>
          <t>10.1093/ofid/ofad221</t>
        </is>
      </c>
      <c r="H62" s="4" t="inlineStr">
        <is>
          <t>abrir</t>
        </is>
      </c>
      <c r="I62" s="5" t="inlineStr"/>
      <c r="J62" s="5" t="inlineStr">
        <is>
          <t>A</t>
        </is>
      </c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>
        <f>IFERROR(IF(VLOOKUP(D62,Revistas!$A$21:$C$400,3,FALSE)=0,"",VLOOKUP(D62,Revistas!$A$21:$C$400,3,FALSE)),"")</f>
        <v/>
      </c>
      <c r="AC62" s="5" t="inlineStr"/>
      <c r="AD62" s="5" t="inlineStr"/>
      <c r="AE62" s="5" t="inlineStr"/>
    </row>
    <row r="63">
      <c r="A63" s="3" t="inlineStr">
        <is>
          <t>EST-073</t>
        </is>
      </c>
      <c r="B63" s="3" t="n">
        <v>253</v>
      </c>
      <c r="C63" s="3" t="inlineStr">
        <is>
          <t>Bacteriophage Therapy of Chronic Nonhealing Wound: Clinical Study.</t>
        </is>
      </c>
      <c r="D63" s="3" t="inlineStr">
        <is>
          <t>The international journal of lower extremity wounds</t>
        </is>
      </c>
      <c r="E63" s="3" t="inlineStr">
        <is>
          <t>2019</t>
        </is>
      </c>
      <c r="F63" s="3" t="inlineStr">
        <is>
          <t>articulo</t>
        </is>
      </c>
      <c r="G63" s="3" t="inlineStr">
        <is>
          <t>10.1177/1534734619835115</t>
        </is>
      </c>
      <c r="H63" s="4" t="inlineStr">
        <is>
          <t>abrir</t>
        </is>
      </c>
      <c r="I63" s="5" t="inlineStr"/>
      <c r="J63" s="5" t="inlineStr">
        <is>
          <t>A</t>
        </is>
      </c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>
        <f>IFERROR(IF(VLOOKUP(D63,Revistas!$A$21:$C$400,3,FALSE)=0,"",VLOOKUP(D63,Revistas!$A$21:$C$400,3,FALSE)),"")</f>
        <v/>
      </c>
      <c r="AC63" s="5" t="inlineStr"/>
      <c r="AD63" s="5" t="inlineStr"/>
      <c r="AE63" s="5" t="inlineStr"/>
    </row>
    <row r="64">
      <c r="A64" s="3" t="inlineStr">
        <is>
          <t>EST-074</t>
        </is>
      </c>
      <c r="B64" s="3" t="n">
        <v>259</v>
      </c>
      <c r="C64" s="3" t="inlineStr">
        <is>
          <t>Bacteriophage Therapy for Critical Infections Related to Cardiothoracic Surgery.</t>
        </is>
      </c>
      <c r="D64" s="3" t="inlineStr">
        <is>
          <t>Antibiotics (Basel, Switzerland)</t>
        </is>
      </c>
      <c r="E64" s="3" t="inlineStr">
        <is>
          <t>2020</t>
        </is>
      </c>
      <c r="F64" s="3" t="inlineStr">
        <is>
          <t>articulo</t>
        </is>
      </c>
      <c r="G64" s="3" t="inlineStr">
        <is>
          <t>10.3390/antibiotics9050232</t>
        </is>
      </c>
      <c r="H64" s="4" t="inlineStr">
        <is>
          <t>abrir</t>
        </is>
      </c>
      <c r="I64" s="5" t="inlineStr"/>
      <c r="J64" s="5" t="inlineStr">
        <is>
          <t>A</t>
        </is>
      </c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>
        <f>IFERROR(IF(VLOOKUP(D64,Revistas!$A$21:$C$400,3,FALSE)=0,"",VLOOKUP(D64,Revistas!$A$21:$C$400,3,FALSE)),"")</f>
        <v/>
      </c>
      <c r="AC64" s="5" t="inlineStr"/>
      <c r="AD64" s="5" t="inlineStr"/>
      <c r="AE64" s="5" t="inlineStr"/>
    </row>
    <row r="65">
      <c r="A65" s="3" t="inlineStr">
        <is>
          <t>EST-075</t>
        </is>
      </c>
      <c r="B65" s="3" t="n">
        <v>264</v>
      </c>
      <c r="C65" s="3" t="inlineStr">
        <is>
          <t>Phage therapy in antibiotic resistant pneumonia: Immunomodulation or redistribution?; [ФАГОТЕРАПИЯ АНТИБИОТИКОРЕЗИСТЕНТНОЙ ПНЕВМОНИИ: ИММУНОМОДУЛЯЦИЯ ИЛИ ПЕРЕРАСПРЕДЕЛЕНИЕ?]</t>
        </is>
      </c>
      <c r="D65" s="3" t="inlineStr">
        <is>
          <t>Medical Immunology (Russia)</t>
        </is>
      </c>
      <c r="E65" s="3" t="inlineStr">
        <is>
          <t>2021</t>
        </is>
      </c>
      <c r="F65" s="3" t="inlineStr">
        <is>
          <t>articulo</t>
        </is>
      </c>
      <c r="G65" s="3" t="inlineStr">
        <is>
          <t>10.15789/1563-0625-pti-2012</t>
        </is>
      </c>
      <c r="H65" s="4" t="inlineStr">
        <is>
          <t>abrir</t>
        </is>
      </c>
      <c r="I65" s="5" t="inlineStr"/>
      <c r="J65" s="5" t="inlineStr">
        <is>
          <t>A</t>
        </is>
      </c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>
        <f>IFERROR(IF(VLOOKUP(D65,Revistas!$A$21:$C$400,3,FALSE)=0,"",VLOOKUP(D65,Revistas!$A$21:$C$400,3,FALSE)),"")</f>
        <v/>
      </c>
      <c r="AC65" s="5" t="inlineStr"/>
      <c r="AD65" s="5" t="inlineStr"/>
      <c r="AE65" s="5" t="inlineStr"/>
    </row>
    <row r="66">
      <c r="A66" s="3" t="inlineStr">
        <is>
          <t>EST-076</t>
        </is>
      </c>
      <c r="B66" s="3" t="n">
        <v>274</v>
      </c>
      <c r="C66" s="3" t="inlineStr">
        <is>
          <t>Experience Using Adjuvant Bacteriophage Therapy for the Treatment of 10 Recalcitrant Periprosthetic Joint Infections: A Case Series.</t>
        </is>
      </c>
      <c r="D66" s="3" t="inlineStr">
        <is>
          <t>Clinical infectious diseases : an official publication of the Infectious Diseases Society of America</t>
        </is>
      </c>
      <c r="E66" s="3" t="inlineStr">
        <is>
          <t>2023</t>
        </is>
      </c>
      <c r="F66" s="3" t="inlineStr">
        <is>
          <t>articulo</t>
        </is>
      </c>
      <c r="G66" s="3" t="inlineStr">
        <is>
          <t>10.1093/cid/ciac694</t>
        </is>
      </c>
      <c r="H66" s="4" t="inlineStr">
        <is>
          <t>abrir</t>
        </is>
      </c>
      <c r="I66" s="5" t="inlineStr"/>
      <c r="J66" s="5" t="inlineStr">
        <is>
          <t>A</t>
        </is>
      </c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>
        <f>IFERROR(IF(VLOOKUP(D66,Revistas!$A$21:$C$400,3,FALSE)=0,"",VLOOKUP(D66,Revistas!$A$21:$C$400,3,FALSE)),"")</f>
        <v/>
      </c>
      <c r="AC66" s="5" t="inlineStr"/>
      <c r="AD66" s="5" t="inlineStr"/>
      <c r="AE66" s="5" t="inlineStr"/>
    </row>
    <row r="67">
      <c r="A67" s="3" t="inlineStr">
        <is>
          <t>EST-077</t>
        </is>
      </c>
      <c r="B67" s="3" t="n">
        <v>278</v>
      </c>
      <c r="C67" s="3" t="inlineStr">
        <is>
          <t>Pseudomonas aeruginosa ventricular assist device infections: findings from ineffective phage therapies in five cases.</t>
        </is>
      </c>
      <c r="D67" s="3" t="inlineStr">
        <is>
          <t>Antimicrobial agents and chemotherapy</t>
        </is>
      </c>
      <c r="E67" s="3" t="inlineStr">
        <is>
          <t>2024</t>
        </is>
      </c>
      <c r="F67" s="3" t="inlineStr">
        <is>
          <t>articulo</t>
        </is>
      </c>
      <c r="G67" s="3" t="inlineStr">
        <is>
          <t>10.1128/aac.01728-23</t>
        </is>
      </c>
      <c r="H67" s="4" t="inlineStr">
        <is>
          <t>abrir</t>
        </is>
      </c>
      <c r="I67" s="5" t="inlineStr"/>
      <c r="J67" s="5" t="inlineStr">
        <is>
          <t>A</t>
        </is>
      </c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5" t="inlineStr"/>
      <c r="AA67" s="5" t="inlineStr"/>
      <c r="AB67" s="5">
        <f>IFERROR(IF(VLOOKUP(D67,Revistas!$A$21:$C$400,3,FALSE)=0,"",VLOOKUP(D67,Revistas!$A$21:$C$400,3,FALSE)),"")</f>
        <v/>
      </c>
      <c r="AC67" s="5" t="inlineStr"/>
      <c r="AD67" s="5" t="inlineStr"/>
      <c r="AE67" s="5" t="inlineStr"/>
    </row>
    <row r="68">
      <c r="A68" s="3" t="inlineStr">
        <is>
          <t>EST-078</t>
        </is>
      </c>
      <c r="B68" s="3" t="n">
        <v>288</v>
      </c>
      <c r="C68" s="3" t="inlineStr">
        <is>
          <t>Efficacy of Bacteriophage Therapy in the Treatment of Diabetic Foot Ulcers: a Pilot Study from South India</t>
        </is>
      </c>
      <c r="D68" s="3" t="inlineStr">
        <is>
          <t>International journal of diabetes in developing countries</t>
        </is>
      </c>
      <c r="E68" s="3" t="inlineStr">
        <is>
          <t>2025</t>
        </is>
      </c>
      <c r="F68" s="3" t="inlineStr">
        <is>
          <t>resumen de congreso</t>
        </is>
      </c>
      <c r="G68" s="3" t="inlineStr">
        <is>
          <t>cita: Int J Diabetes Dev Ctries 2025</t>
        </is>
      </c>
      <c r="H68" s="4" t="inlineStr">
        <is>
          <t>abrir</t>
        </is>
      </c>
      <c r="I68" s="5" t="inlineStr"/>
      <c r="J68" s="5" t="inlineStr">
        <is>
          <t>A</t>
        </is>
      </c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>
        <f>IFERROR(IF(VLOOKUP(D68,Revistas!$A$21:$C$400,3,FALSE)=0,"",VLOOKUP(D68,Revistas!$A$21:$C$400,3,FALSE)),"")</f>
        <v/>
      </c>
      <c r="AC68" s="5" t="inlineStr"/>
      <c r="AD68" s="5" t="inlineStr"/>
      <c r="AE68" s="5" t="inlineStr"/>
    </row>
    <row r="69">
      <c r="A69" s="3" t="inlineStr">
        <is>
          <t>EST-079</t>
        </is>
      </c>
      <c r="B69" s="3" t="n">
        <v>295</v>
      </c>
      <c r="C69" s="3" t="inlineStr">
        <is>
          <t>The potential use of phage therapy in the treatment of exacerbated chronic suppurative otitis media; [Возможности фаготерапии в лечении хронического гнойного среднего отита в стади</t>
        </is>
      </c>
      <c r="D69" s="3" t="inlineStr">
        <is>
          <t>Meditsinskiy Sovet</t>
        </is>
      </c>
      <c r="E69" s="3" t="inlineStr">
        <is>
          <t>2025</t>
        </is>
      </c>
      <c r="F69" s="3" t="inlineStr">
        <is>
          <t>articulo</t>
        </is>
      </c>
      <c r="G69" s="3" t="inlineStr">
        <is>
          <t>10.21518/ms2025-451</t>
        </is>
      </c>
      <c r="H69" s="4" t="inlineStr">
        <is>
          <t>abrir</t>
        </is>
      </c>
      <c r="I69" s="5" t="inlineStr"/>
      <c r="J69" s="5" t="inlineStr">
        <is>
          <t>A</t>
        </is>
      </c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5" t="inlineStr"/>
      <c r="AA69" s="5" t="inlineStr"/>
      <c r="AB69" s="5">
        <f>IFERROR(IF(VLOOKUP(D69,Revistas!$A$21:$C$400,3,FALSE)=0,"",VLOOKUP(D69,Revistas!$A$21:$C$400,3,FALSE)),"")</f>
        <v/>
      </c>
      <c r="AC69" s="5" t="inlineStr"/>
      <c r="AD69" s="5" t="inlineStr"/>
      <c r="AE69" s="5" t="inlineStr"/>
    </row>
    <row r="70">
      <c r="A70" s="3" t="inlineStr">
        <is>
          <t>EST-080</t>
        </is>
      </c>
      <c r="B70" s="3" t="n">
        <v>321</v>
      </c>
      <c r="C70" s="3" t="inlineStr">
        <is>
          <t>Bacteriophage Therapy as a Potential Management Option for Surgical Wound Infections</t>
        </is>
      </c>
      <c r="D70" s="3" t="inlineStr">
        <is>
          <t>PHAGE: Therapy, Applications, and Research</t>
        </is>
      </c>
      <c r="E70" s="3" t="inlineStr">
        <is>
          <t>2020</t>
        </is>
      </c>
      <c r="F70" s="3" t="inlineStr">
        <is>
          <t>articulo</t>
        </is>
      </c>
      <c r="G70" s="3" t="inlineStr">
        <is>
          <t>10.1089/phage.2020.0010</t>
        </is>
      </c>
      <c r="H70" s="4" t="inlineStr">
        <is>
          <t>abrir</t>
        </is>
      </c>
      <c r="I70" s="5" t="inlineStr"/>
      <c r="J70" s="5" t="inlineStr">
        <is>
          <t>A</t>
        </is>
      </c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5" t="inlineStr"/>
      <c r="AA70" s="5" t="inlineStr"/>
      <c r="AB70" s="5">
        <f>IFERROR(IF(VLOOKUP(D70,Revistas!$A$21:$C$400,3,FALSE)=0,"",VLOOKUP(D70,Revistas!$A$21:$C$400,3,FALSE)),"")</f>
        <v/>
      </c>
      <c r="AC70" s="5" t="inlineStr"/>
      <c r="AD70" s="5" t="inlineStr"/>
      <c r="AE70" s="5" t="inlineStr"/>
    </row>
    <row r="71">
      <c r="A71" s="3" t="inlineStr">
        <is>
          <t>EST-081</t>
        </is>
      </c>
      <c r="B71" s="3" t="n">
        <v>324</v>
      </c>
      <c r="C71" s="3" t="inlineStr">
        <is>
          <t>Bacteriophage therapy as a treatment option for transplant infections.</t>
        </is>
      </c>
      <c r="D71" s="3" t="inlineStr">
        <is>
          <t>Current opinion in infectious diseases</t>
        </is>
      </c>
      <c r="E71" s="3" t="inlineStr">
        <is>
          <t>2020</t>
        </is>
      </c>
      <c r="F71" s="3" t="inlineStr">
        <is>
          <t>articulo</t>
        </is>
      </c>
      <c r="G71" s="3" t="inlineStr">
        <is>
          <t>10.1097/qco.0000000000000658</t>
        </is>
      </c>
      <c r="H71" s="4" t="inlineStr">
        <is>
          <t>abrir</t>
        </is>
      </c>
      <c r="I71" s="5" t="inlineStr"/>
      <c r="J71" s="5" t="inlineStr">
        <is>
          <t>A</t>
        </is>
      </c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5" t="inlineStr"/>
      <c r="AA71" s="5" t="inlineStr"/>
      <c r="AB71" s="5">
        <f>IFERROR(IF(VLOOKUP(D71,Revistas!$A$21:$C$400,3,FALSE)=0,"",VLOOKUP(D71,Revistas!$A$21:$C$400,3,FALSE)),"")</f>
        <v/>
      </c>
      <c r="AC71" s="5" t="inlineStr"/>
      <c r="AD71" s="5" t="inlineStr"/>
      <c r="AE71" s="5" t="inlineStr"/>
    </row>
    <row r="72">
      <c r="A72" s="3" t="inlineStr">
        <is>
          <t>EST-083</t>
        </is>
      </c>
      <c r="B72" s="3" t="n">
        <v>336</v>
      </c>
      <c r="C72" s="3" t="inlineStr">
        <is>
          <t>Bacteriophage Therapy for Difficult-to-Treat Infections: The Implementation of a Multidisciplinary Phage Task Force (The PHAGEFORCE Study Protocol).</t>
        </is>
      </c>
      <c r="D72" s="3" t="inlineStr">
        <is>
          <t>Viruses</t>
        </is>
      </c>
      <c r="E72" s="3" t="inlineStr">
        <is>
          <t>2021</t>
        </is>
      </c>
      <c r="F72" s="3" t="inlineStr">
        <is>
          <t>articulo</t>
        </is>
      </c>
      <c r="G72" s="3" t="inlineStr">
        <is>
          <t>10.3390/v13081543</t>
        </is>
      </c>
      <c r="H72" s="4" t="inlineStr">
        <is>
          <t>abrir</t>
        </is>
      </c>
      <c r="I72" s="5" t="inlineStr"/>
      <c r="J72" s="5" t="inlineStr">
        <is>
          <t>A</t>
        </is>
      </c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5" t="inlineStr"/>
      <c r="AA72" s="5" t="inlineStr"/>
      <c r="AB72" s="5">
        <f>IFERROR(IF(VLOOKUP(D72,Revistas!$A$21:$C$400,3,FALSE)=0,"",VLOOKUP(D72,Revistas!$A$21:$C$400,3,FALSE)),"")</f>
        <v/>
      </c>
      <c r="AC72" s="5" t="inlineStr"/>
      <c r="AD72" s="5" t="inlineStr"/>
      <c r="AE72" s="5" t="inlineStr"/>
    </row>
    <row r="73">
      <c r="A73" s="3" t="inlineStr">
        <is>
          <t>EST-085</t>
        </is>
      </c>
      <c r="B73" s="3" t="n">
        <v>359</v>
      </c>
      <c r="C73" s="3" t="inlineStr">
        <is>
          <t>First-in-human application of double-stranded RNA bacteriophage in the treatment of pulmonary Pseudomonas aeruginosa infection.</t>
        </is>
      </c>
      <c r="D73" s="3" t="inlineStr">
        <is>
          <t>Microbial biotechnology</t>
        </is>
      </c>
      <c r="E73" s="3" t="inlineStr">
        <is>
          <t>2023</t>
        </is>
      </c>
      <c r="F73" s="3" t="inlineStr">
        <is>
          <t>articulo</t>
        </is>
      </c>
      <c r="G73" s="3" t="inlineStr">
        <is>
          <t>10.1111/1751-7915.14217</t>
        </is>
      </c>
      <c r="H73" s="4" t="inlineStr">
        <is>
          <t>abrir</t>
        </is>
      </c>
      <c r="I73" s="5" t="inlineStr"/>
      <c r="J73" s="5" t="inlineStr">
        <is>
          <t>A</t>
        </is>
      </c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5" t="inlineStr"/>
      <c r="AA73" s="5" t="inlineStr"/>
      <c r="AB73" s="5">
        <f>IFERROR(IF(VLOOKUP(D73,Revistas!$A$21:$C$400,3,FALSE)=0,"",VLOOKUP(D73,Revistas!$A$21:$C$400,3,FALSE)),"")</f>
        <v/>
      </c>
      <c r="AC73" s="5" t="inlineStr"/>
      <c r="AD73" s="5" t="inlineStr"/>
      <c r="AE73" s="5" t="inlineStr"/>
    </row>
    <row r="74">
      <c r="A74" s="3" t="inlineStr">
        <is>
          <t>EST-086</t>
        </is>
      </c>
      <c r="B74" s="3" t="n">
        <v>361</v>
      </c>
      <c r="C74" s="3" t="inlineStr">
        <is>
          <t>Inhalation phage therapy as a new approach to preventing secondary bacterial pneumonia in patients with moderate to severe COVID-19: A double-blind clinical trial study</t>
        </is>
      </c>
      <c r="D74" s="3" t="inlineStr">
        <is>
          <t>Journal of Drug Delivery Science and Technology</t>
        </is>
      </c>
      <c r="E74" s="3" t="inlineStr">
        <is>
          <t>2023</t>
        </is>
      </c>
      <c r="F74" s="3" t="inlineStr">
        <is>
          <t>articulo</t>
        </is>
      </c>
      <c r="G74" s="3" t="inlineStr">
        <is>
          <t>10.1016/j.jddst.2023.104486</t>
        </is>
      </c>
      <c r="H74" s="4" t="inlineStr">
        <is>
          <t>abrir</t>
        </is>
      </c>
      <c r="I74" s="5" t="inlineStr"/>
      <c r="J74" s="5" t="inlineStr">
        <is>
          <t>A</t>
        </is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5" t="inlineStr"/>
      <c r="AA74" s="5" t="inlineStr"/>
      <c r="AB74" s="5">
        <f>IFERROR(IF(VLOOKUP(D74,Revistas!$A$21:$C$400,3,FALSE)=0,"",VLOOKUP(D74,Revistas!$A$21:$C$400,3,FALSE)),"")</f>
        <v/>
      </c>
      <c r="AC74" s="5" t="inlineStr"/>
      <c r="AD74" s="5" t="inlineStr"/>
      <c r="AE74" s="5" t="inlineStr"/>
    </row>
    <row r="75">
      <c r="A75" s="3" t="inlineStr">
        <is>
          <t>EST-088</t>
        </is>
      </c>
      <c r="B75" s="3" t="n">
        <v>373</v>
      </c>
      <c r="C75" s="3" t="inlineStr">
        <is>
          <t>Case report: Personalized triple phage-antibiotic combination therapy to rescue necrotizing fasciitis caused by Panton-Valentine leukocidin-producing MRSA in a 12-year-old boy.</t>
        </is>
      </c>
      <c r="D75" s="3" t="inlineStr">
        <is>
          <t>Frontiers in cellular and infection microbiology</t>
        </is>
      </c>
      <c r="E75" s="3" t="inlineStr">
        <is>
          <t>2024</t>
        </is>
      </c>
      <c r="F75" s="3" t="inlineStr">
        <is>
          <t>articulo</t>
        </is>
      </c>
      <c r="G75" s="3" t="inlineStr">
        <is>
          <t>10.3389/fcimb.2024.1354681</t>
        </is>
      </c>
      <c r="H75" s="4" t="inlineStr">
        <is>
          <t>abrir</t>
        </is>
      </c>
      <c r="I75" s="5" t="inlineStr"/>
      <c r="J75" s="5" t="inlineStr">
        <is>
          <t>A</t>
        </is>
      </c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5" t="inlineStr"/>
      <c r="AA75" s="5" t="inlineStr"/>
      <c r="AB75" s="5">
        <f>IFERROR(IF(VLOOKUP(D75,Revistas!$A$21:$C$400,3,FALSE)=0,"",VLOOKUP(D75,Revistas!$A$21:$C$400,3,FALSE)),"")</f>
        <v/>
      </c>
      <c r="AC75" s="5" t="inlineStr"/>
      <c r="AD75" s="5" t="inlineStr"/>
      <c r="AE75" s="5" t="inlineStr"/>
    </row>
    <row r="76">
      <c r="A76" s="3" t="inlineStr">
        <is>
          <t>EST-089</t>
        </is>
      </c>
      <c r="B76" s="3" t="n">
        <v>375</v>
      </c>
      <c r="C76" s="3" t="inlineStr">
        <is>
          <t>Combined use of light and phage therapy in patients with pharyngeal tonsil hypertrophy</t>
        </is>
      </c>
      <c r="D76" s="3" t="inlineStr">
        <is>
          <t>Voprosy Prakticheskoi Pediatrii</t>
        </is>
      </c>
      <c r="E76" s="3" t="inlineStr">
        <is>
          <t>2024</t>
        </is>
      </c>
      <c r="F76" s="3" t="inlineStr">
        <is>
          <t>articulo</t>
        </is>
      </c>
      <c r="G76" s="3" t="inlineStr">
        <is>
          <t>10.20953/1817-7646-2024-2-123-127</t>
        </is>
      </c>
      <c r="H76" s="4" t="inlineStr">
        <is>
          <t>abrir</t>
        </is>
      </c>
      <c r="I76" s="5" t="inlineStr"/>
      <c r="J76" s="5" t="inlineStr">
        <is>
          <t>A</t>
        </is>
      </c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5" t="inlineStr"/>
      <c r="AA76" s="5" t="inlineStr"/>
      <c r="AB76" s="5">
        <f>IFERROR(IF(VLOOKUP(D76,Revistas!$A$21:$C$400,3,FALSE)=0,"",VLOOKUP(D76,Revistas!$A$21:$C$400,3,FALSE)),"")</f>
        <v/>
      </c>
      <c r="AC76" s="5" t="inlineStr"/>
      <c r="AD76" s="5" t="inlineStr"/>
      <c r="AE76" s="5" t="inlineStr"/>
    </row>
    <row r="77">
      <c r="A77" s="3" t="inlineStr">
        <is>
          <t>EST-090</t>
        </is>
      </c>
      <c r="B77" s="3" t="n">
        <v>386</v>
      </c>
      <c r="C77" s="3" t="inlineStr">
        <is>
          <t xml:space="preserve">'Bacteriophage therapy, a solution for increasing antibiotic resistance'. UMC Utrecht treats a patient with bacteriophage for the first time; [IBACTERIOFAAGTH ERAPI E UITKOMST BIJ </t>
        </is>
      </c>
      <c r="D77" s="3" t="inlineStr">
        <is>
          <t>Pharmaceutisch Weekblad</t>
        </is>
      </c>
      <c r="E77" s="3" t="inlineStr">
        <is>
          <t>2025</t>
        </is>
      </c>
      <c r="F77" s="3" t="inlineStr">
        <is>
          <t>articulo</t>
        </is>
      </c>
      <c r="G77" s="3" t="inlineStr">
        <is>
          <t>cita: Pharmaceutisch Weekblad 2025</t>
        </is>
      </c>
      <c r="H77" s="4" t="inlineStr">
        <is>
          <t>abrir</t>
        </is>
      </c>
      <c r="I77" s="5" t="inlineStr"/>
      <c r="J77" s="5" t="inlineStr">
        <is>
          <t>A</t>
        </is>
      </c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5" t="inlineStr"/>
      <c r="AA77" s="5" t="inlineStr"/>
      <c r="AB77" s="5">
        <f>IFERROR(IF(VLOOKUP(D77,Revistas!$A$21:$C$400,3,FALSE)=0,"",VLOOKUP(D77,Revistas!$A$21:$C$400,3,FALSE)),"")</f>
        <v/>
      </c>
      <c r="AC77" s="5" t="inlineStr"/>
      <c r="AD77" s="5" t="inlineStr"/>
      <c r="AE77" s="5" t="inlineStr"/>
    </row>
    <row r="78">
      <c r="A78" s="3" t="inlineStr">
        <is>
          <t>EST-091</t>
        </is>
      </c>
      <c r="B78" s="3" t="n">
        <v>387</v>
      </c>
      <c r="C78" s="3" t="inlineStr">
        <is>
          <t>Analysis of Pro- and Anti-Inflammatory Gene Response Patterns in Patients Receiving Phage Therapy.</t>
        </is>
      </c>
      <c r="D78" s="3" t="inlineStr">
        <is>
          <t>International journal of molecular sciences</t>
        </is>
      </c>
      <c r="E78" s="3" t="inlineStr">
        <is>
          <t>2025</t>
        </is>
      </c>
      <c r="F78" s="3" t="inlineStr">
        <is>
          <t>articulo</t>
        </is>
      </c>
      <c r="G78" s="3" t="inlineStr">
        <is>
          <t>10.3390/ijms27010172</t>
        </is>
      </c>
      <c r="H78" s="4" t="inlineStr">
        <is>
          <t>abrir</t>
        </is>
      </c>
      <c r="I78" s="5" t="inlineStr"/>
      <c r="J78" s="5" t="inlineStr">
        <is>
          <t>A</t>
        </is>
      </c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5" t="inlineStr"/>
      <c r="AA78" s="5" t="inlineStr"/>
      <c r="AB78" s="5">
        <f>IFERROR(IF(VLOOKUP(D78,Revistas!$A$21:$C$400,3,FALSE)=0,"",VLOOKUP(D78,Revistas!$A$21:$C$400,3,FALSE)),"")</f>
        <v/>
      </c>
      <c r="AC78" s="5" t="inlineStr"/>
      <c r="AD78" s="5" t="inlineStr"/>
      <c r="AE78" s="5" t="inlineStr"/>
    </row>
    <row r="79">
      <c r="A79" s="3" t="inlineStr">
        <is>
          <t>EST-092</t>
        </is>
      </c>
      <c r="B79" s="3" t="n">
        <v>399</v>
      </c>
      <c r="C79" s="3" t="inlineStr">
        <is>
          <t>Phage therapy analysis of effectiveness in comorbid patients with wounds and surgical infections of various etiology based on the results of a comparative clinical study; [Анализ э</t>
        </is>
      </c>
      <c r="D79" s="3" t="inlineStr">
        <is>
          <t>Pirogov Russian Journal of Surgery</t>
        </is>
      </c>
      <c r="E79" s="3" t="inlineStr">
        <is>
          <t>2025</t>
        </is>
      </c>
      <c r="F79" s="3" t="inlineStr">
        <is>
          <t>articulo</t>
        </is>
      </c>
      <c r="G79" s="3" t="inlineStr">
        <is>
          <t>40103254</t>
        </is>
      </c>
      <c r="H79" s="4" t="inlineStr">
        <is>
          <t>abrir</t>
        </is>
      </c>
      <c r="I79" s="5" t="inlineStr"/>
      <c r="J79" s="5" t="inlineStr">
        <is>
          <t>A</t>
        </is>
      </c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5" t="inlineStr"/>
      <c r="AA79" s="5" t="inlineStr"/>
      <c r="AB79" s="5">
        <f>IFERROR(IF(VLOOKUP(D79,Revistas!$A$21:$C$400,3,FALSE)=0,"",VLOOKUP(D79,Revistas!$A$21:$C$400,3,FALSE)),"")</f>
        <v/>
      </c>
      <c r="AC79" s="5" t="inlineStr"/>
      <c r="AD79" s="5" t="inlineStr"/>
      <c r="AE79" s="5" t="inlineStr"/>
    </row>
    <row r="80">
      <c r="A80" s="3" t="inlineStr">
        <is>
          <t>EST-093</t>
        </is>
      </c>
      <c r="B80" s="3" t="n">
        <v>414</v>
      </c>
      <c r="C80" s="3" t="inlineStr">
        <is>
          <t>Pharmacodynamic individualization of phage therapy against a KPC-5-producing Pseudomonas aeruginosa.</t>
        </is>
      </c>
      <c r="D80" s="3" t="inlineStr">
        <is>
          <t>JAC-antimicrobial resistance</t>
        </is>
      </c>
      <c r="E80" s="3" t="inlineStr">
        <is>
          <t>2026</t>
        </is>
      </c>
      <c r="F80" s="3" t="inlineStr">
        <is>
          <t>articulo</t>
        </is>
      </c>
      <c r="G80" s="3" t="inlineStr">
        <is>
          <t>10.1093/jacamr/dlaf257</t>
        </is>
      </c>
      <c r="H80" s="4" t="inlineStr">
        <is>
          <t>abrir</t>
        </is>
      </c>
      <c r="I80" s="5" t="inlineStr"/>
      <c r="J80" s="5" t="inlineStr">
        <is>
          <t>A</t>
        </is>
      </c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5" t="inlineStr"/>
      <c r="AA80" s="5" t="inlineStr"/>
      <c r="AB80" s="5">
        <f>IFERROR(IF(VLOOKUP(D80,Revistas!$A$21:$C$400,3,FALSE)=0,"",VLOOKUP(D80,Revistas!$A$21:$C$400,3,FALSE)),"")</f>
        <v/>
      </c>
      <c r="AC80" s="5" t="inlineStr"/>
      <c r="AD80" s="5" t="inlineStr"/>
      <c r="AE80" s="5" t="inlineStr"/>
    </row>
    <row r="81">
      <c r="A81" s="3" t="inlineStr">
        <is>
          <t>EST-094</t>
        </is>
      </c>
      <c r="B81" s="3" t="n">
        <v>418</v>
      </c>
      <c r="C81" s="3" t="inlineStr">
        <is>
          <t>Timely bespoke phage-antibiotic combination to treat refractory Pseudomonas aeruginosa mediastinitis and vascular graft infection.</t>
        </is>
      </c>
      <c r="D81" s="3" t="inlineStr">
        <is>
          <t xml:space="preserve">Nature Communications </t>
        </is>
      </c>
      <c r="E81" s="3" t="inlineStr">
        <is>
          <t>2026</t>
        </is>
      </c>
      <c r="F81" s="3" t="inlineStr">
        <is>
          <t>articulo</t>
        </is>
      </c>
      <c r="G81" s="3" t="inlineStr">
        <is>
          <t>10.1038/s41467-025-68136-y</t>
        </is>
      </c>
      <c r="H81" s="4" t="inlineStr">
        <is>
          <t>abrir</t>
        </is>
      </c>
      <c r="I81" s="5" t="inlineStr"/>
      <c r="J81" s="5" t="inlineStr">
        <is>
          <t>A</t>
        </is>
      </c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5" t="inlineStr"/>
      <c r="AA81" s="5" t="inlineStr"/>
      <c r="AB81" s="5">
        <f>IFERROR(IF(VLOOKUP(D81,Revistas!$A$21:$C$400,3,FALSE)=0,"",VLOOKUP(D81,Revistas!$A$21:$C$400,3,FALSE)),"")</f>
        <v/>
      </c>
      <c r="AC81" s="5" t="inlineStr"/>
      <c r="AD81" s="5" t="inlineStr"/>
      <c r="AE81" s="5" t="inlineStr"/>
    </row>
    <row r="82">
      <c r="A82" s="3" t="inlineStr">
        <is>
          <t>EST-095</t>
        </is>
      </c>
      <c r="B82" s="3" t="n">
        <v>436</v>
      </c>
      <c r="C82" s="3" t="inlineStr">
        <is>
          <t>Bacterial lysis, autophagy and innate immune responses during adjunctive phage therapy in a child.</t>
        </is>
      </c>
      <c r="D82" s="3" t="inlineStr">
        <is>
          <t>EMBO molecular medicine</t>
        </is>
      </c>
      <c r="E82" s="3" t="inlineStr">
        <is>
          <t>2021</t>
        </is>
      </c>
      <c r="F82" s="3" t="inlineStr">
        <is>
          <t>articulo</t>
        </is>
      </c>
      <c r="G82" s="3" t="inlineStr">
        <is>
          <t>10.15252/emmm.202113936</t>
        </is>
      </c>
      <c r="H82" s="4" t="inlineStr">
        <is>
          <t>abrir</t>
        </is>
      </c>
      <c r="I82" s="5" t="inlineStr"/>
      <c r="J82" s="5" t="inlineStr">
        <is>
          <t>A</t>
        </is>
      </c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5" t="inlineStr"/>
      <c r="AA82" s="5" t="inlineStr"/>
      <c r="AB82" s="5">
        <f>IFERROR(IF(VLOOKUP(D82,Revistas!$A$21:$C$400,3,FALSE)=0,"",VLOOKUP(D82,Revistas!$A$21:$C$400,3,FALSE)),"")</f>
        <v/>
      </c>
      <c r="AC82" s="5" t="inlineStr"/>
      <c r="AD82" s="5" t="inlineStr"/>
      <c r="AE82" s="5" t="inlineStr"/>
    </row>
    <row r="83">
      <c r="A83" s="3" t="inlineStr">
        <is>
          <t>EST-096</t>
        </is>
      </c>
      <c r="B83" s="3" t="n">
        <v>443</v>
      </c>
      <c r="C83" s="3" t="inlineStr">
        <is>
          <t>Low immunogenicity of intravesical phage therapy for urogenitary tract infections</t>
        </is>
      </c>
      <c r="D83" s="3" t="inlineStr">
        <is>
          <t>Antibiotics</t>
        </is>
      </c>
      <c r="E83" s="3" t="inlineStr">
        <is>
          <t>2021</t>
        </is>
      </c>
      <c r="F83" s="3" t="inlineStr">
        <is>
          <t>articulo</t>
        </is>
      </c>
      <c r="G83" s="3" t="inlineStr">
        <is>
          <t>10.3390/antibiotics10060627</t>
        </is>
      </c>
      <c r="H83" s="4" t="inlineStr">
        <is>
          <t>abrir</t>
        </is>
      </c>
      <c r="I83" s="5" t="inlineStr"/>
      <c r="J83" s="5" t="inlineStr">
        <is>
          <t>A</t>
        </is>
      </c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  <c r="T83" s="5" t="inlineStr"/>
      <c r="U83" s="5" t="inlineStr"/>
      <c r="V83" s="5" t="inlineStr"/>
      <c r="W83" s="5" t="inlineStr"/>
      <c r="X83" s="5" t="inlineStr"/>
      <c r="Y83" s="5" t="inlineStr"/>
      <c r="Z83" s="5" t="inlineStr"/>
      <c r="AA83" s="5" t="inlineStr"/>
      <c r="AB83" s="5">
        <f>IFERROR(IF(VLOOKUP(D83,Revistas!$A$21:$C$400,3,FALSE)=0,"",VLOOKUP(D83,Revistas!$A$21:$C$400,3,FALSE)),"")</f>
        <v/>
      </c>
      <c r="AC83" s="5" t="inlineStr"/>
      <c r="AD83" s="5" t="inlineStr"/>
      <c r="AE83" s="5" t="inlineStr"/>
    </row>
    <row r="84">
      <c r="A84" s="3" t="inlineStr">
        <is>
          <t>EST-098</t>
        </is>
      </c>
      <c r="B84" s="3" t="n">
        <v>451</v>
      </c>
      <c r="C84" s="3" t="inlineStr">
        <is>
          <t>Bacteriophage therapy as a treatment option for complex cardiovascular implant infection: The German Heart Center Berlin experience.</t>
        </is>
      </c>
      <c r="D84" s="3" t="inlineStr">
        <is>
          <t>The Journal of heart and lung transplantation : the official publication of the International Society for Heart Transplantation</t>
        </is>
      </c>
      <c r="E84" s="3" t="inlineStr">
        <is>
          <t>2022</t>
        </is>
      </c>
      <c r="F84" s="3" t="inlineStr">
        <is>
          <t>articulo</t>
        </is>
      </c>
      <c r="G84" s="3" t="inlineStr">
        <is>
          <t>10.1016/j.healun.2022.01.018</t>
        </is>
      </c>
      <c r="H84" s="4" t="inlineStr">
        <is>
          <t>abrir</t>
        </is>
      </c>
      <c r="I84" s="5" t="inlineStr"/>
      <c r="J84" s="5" t="inlineStr">
        <is>
          <t>A</t>
        </is>
      </c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  <c r="T84" s="5" t="inlineStr"/>
      <c r="U84" s="5" t="inlineStr"/>
      <c r="V84" s="5" t="inlineStr"/>
      <c r="W84" s="5" t="inlineStr"/>
      <c r="X84" s="5" t="inlineStr"/>
      <c r="Y84" s="5" t="inlineStr"/>
      <c r="Z84" s="5" t="inlineStr"/>
      <c r="AA84" s="5" t="inlineStr"/>
      <c r="AB84" s="5">
        <f>IFERROR(IF(VLOOKUP(D84,Revistas!$A$21:$C$400,3,FALSE)=0,"",VLOOKUP(D84,Revistas!$A$21:$C$400,3,FALSE)),"")</f>
        <v/>
      </c>
      <c r="AC84" s="5" t="inlineStr"/>
      <c r="AD84" s="5" t="inlineStr"/>
      <c r="AE84" s="5" t="inlineStr"/>
    </row>
    <row r="85">
      <c r="A85" s="3" t="inlineStr">
        <is>
          <t>EST-100</t>
        </is>
      </c>
      <c r="B85" s="3" t="n">
        <v>479</v>
      </c>
      <c r="C85" s="3" t="inlineStr">
        <is>
          <t>Personalized phagotherapy in the treatment of healthcare-associated infections caused by multidrug-resistant pathogens</t>
        </is>
      </c>
      <c r="D85" s="3" t="inlineStr">
        <is>
          <t>Infektsionnye Bolezni</t>
        </is>
      </c>
      <c r="E85" s="3" t="inlineStr">
        <is>
          <t>2024</t>
        </is>
      </c>
      <c r="F85" s="3" t="inlineStr">
        <is>
          <t>articulo</t>
        </is>
      </c>
      <c r="G85" s="3" t="inlineStr">
        <is>
          <t>10.20953/1729-9225-2024-4-76-85</t>
        </is>
      </c>
      <c r="H85" s="4" t="inlineStr">
        <is>
          <t>abrir</t>
        </is>
      </c>
      <c r="I85" s="5" t="inlineStr"/>
      <c r="J85" s="5" t="inlineStr">
        <is>
          <t>A</t>
        </is>
      </c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5" t="inlineStr"/>
      <c r="AA85" s="5" t="inlineStr"/>
      <c r="AB85" s="5">
        <f>IFERROR(IF(VLOOKUP(D85,Revistas!$A$21:$C$400,3,FALSE)=0,"",VLOOKUP(D85,Revistas!$A$21:$C$400,3,FALSE)),"")</f>
        <v/>
      </c>
      <c r="AC85" s="5" t="inlineStr"/>
      <c r="AD85" s="5" t="inlineStr"/>
      <c r="AE85" s="5" t="inlineStr"/>
    </row>
    <row r="86">
      <c r="A86" s="3" t="inlineStr">
        <is>
          <t>EST-101</t>
        </is>
      </c>
      <c r="B86" s="3" t="n">
        <v>498</v>
      </c>
      <c r="C86" s="3" t="inlineStr">
        <is>
          <t>The Efficacy of Inhaled Phage Cocktail to Prevent Ventilator-Associated Pneumonia in Children: A Double-Blind Clinical Trial</t>
        </is>
      </c>
      <c r="D86" s="3" t="inlineStr">
        <is>
          <t>Biomedicines</t>
        </is>
      </c>
      <c r="E86" s="3" t="inlineStr">
        <is>
          <t>2025</t>
        </is>
      </c>
      <c r="F86" s="3" t="inlineStr">
        <is>
          <t>articulo</t>
        </is>
      </c>
      <c r="G86" s="3" t="inlineStr">
        <is>
          <t>10.3390/biomedicines13092103</t>
        </is>
      </c>
      <c r="H86" s="4" t="inlineStr">
        <is>
          <t>abrir</t>
        </is>
      </c>
      <c r="I86" s="5" t="inlineStr"/>
      <c r="J86" s="5" t="inlineStr">
        <is>
          <t>A</t>
        </is>
      </c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5" t="inlineStr"/>
      <c r="AA86" s="5" t="inlineStr"/>
      <c r="AB86" s="5">
        <f>IFERROR(IF(VLOOKUP(D86,Revistas!$A$21:$C$400,3,FALSE)=0,"",VLOOKUP(D86,Revistas!$A$21:$C$400,3,FALSE)),"")</f>
        <v/>
      </c>
      <c r="AC86" s="5" t="inlineStr"/>
      <c r="AD86" s="5" t="inlineStr"/>
      <c r="AE86" s="5" t="inlineStr"/>
    </row>
    <row r="87">
      <c r="A87" s="3" t="inlineStr">
        <is>
          <t>EST-103</t>
        </is>
      </c>
      <c r="B87" s="3" t="n">
        <v>506</v>
      </c>
      <c r="C87" s="3" t="inlineStr">
        <is>
          <t>Phage therapy of purulent wounds: comparative clinical cytomorphological and microbiological analysis of effectiveness; [Фаготерапиягнойныхран:сравнительныйклинико-цитоморфологичес</t>
        </is>
      </c>
      <c r="D87" s="3" t="inlineStr">
        <is>
          <t>Pirogov Russian Journal of Surgery</t>
        </is>
      </c>
      <c r="E87" s="3" t="inlineStr">
        <is>
          <t>2026</t>
        </is>
      </c>
      <c r="F87" s="3" t="inlineStr">
        <is>
          <t>articulo</t>
        </is>
      </c>
      <c r="G87" s="3" t="inlineStr">
        <is>
          <t>41885494</t>
        </is>
      </c>
      <c r="H87" s="4" t="inlineStr">
        <is>
          <t>abrir</t>
        </is>
      </c>
      <c r="I87" s="5" t="inlineStr"/>
      <c r="J87" s="5" t="inlineStr">
        <is>
          <t>A</t>
        </is>
      </c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5" t="inlineStr"/>
      <c r="Z87" s="5" t="inlineStr"/>
      <c r="AA87" s="5" t="inlineStr"/>
      <c r="AB87" s="5">
        <f>IFERROR(IF(VLOOKUP(D87,Revistas!$A$21:$C$400,3,FALSE)=0,"",VLOOKUP(D87,Revistas!$A$21:$C$400,3,FALSE)),"")</f>
        <v/>
      </c>
      <c r="AC87" s="5" t="inlineStr"/>
      <c r="AD87" s="5" t="inlineStr"/>
      <c r="AE87" s="5" t="inlineStr"/>
    </row>
    <row r="88">
      <c r="A88" s="3" t="inlineStr">
        <is>
          <t>EST-105</t>
        </is>
      </c>
      <c r="B88" s="3" t="n">
        <v>525</v>
      </c>
      <c r="C88" s="3" t="inlineStr">
        <is>
          <t>Innovations for the treatment of a complex bone and joint infection due to XDR Pseudomonas aeruginosa including local application of a selected cocktail of bacteriophages.</t>
        </is>
      </c>
      <c r="D88" s="3" t="inlineStr">
        <is>
          <t>The Journal of antimicrobial chemotherapy</t>
        </is>
      </c>
      <c r="E88" s="3" t="inlineStr">
        <is>
          <t>2018</t>
        </is>
      </c>
      <c r="F88" s="3" t="inlineStr">
        <is>
          <t>articulo</t>
        </is>
      </c>
      <c r="G88" s="3" t="inlineStr">
        <is>
          <t>10.1093/jac/dky263</t>
        </is>
      </c>
      <c r="H88" s="4" t="inlineStr">
        <is>
          <t>abrir</t>
        </is>
      </c>
      <c r="I88" s="5" t="inlineStr"/>
      <c r="J88" s="5" t="inlineStr">
        <is>
          <t>A</t>
        </is>
      </c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5" t="inlineStr"/>
      <c r="AA88" s="5" t="inlineStr"/>
      <c r="AB88" s="5">
        <f>IFERROR(IF(VLOOKUP(D88,Revistas!$A$21:$C$400,3,FALSE)=0,"",VLOOKUP(D88,Revistas!$A$21:$C$400,3,FALSE)),"")</f>
        <v/>
      </c>
      <c r="AC88" s="5" t="inlineStr"/>
      <c r="AD88" s="5" t="inlineStr"/>
      <c r="AE88" s="5" t="inlineStr"/>
    </row>
    <row r="89">
      <c r="A89" s="3" t="inlineStr">
        <is>
          <t>EST-106</t>
        </is>
      </c>
      <c r="B89" s="3" t="n">
        <v>529</v>
      </c>
      <c r="C89" s="3" t="inlineStr">
        <is>
          <t>Phage treatment of an aortic graft infected with Pseudomonas aeruginosa.</t>
        </is>
      </c>
      <c r="D89" s="3" t="inlineStr">
        <is>
          <t>Evolution, medicine, and public health</t>
        </is>
      </c>
      <c r="E89" s="3" t="inlineStr">
        <is>
          <t>2018</t>
        </is>
      </c>
      <c r="F89" s="3" t="inlineStr">
        <is>
          <t>articulo</t>
        </is>
      </c>
      <c r="G89" s="3" t="inlineStr">
        <is>
          <t>10.1093/emph/eoy005</t>
        </is>
      </c>
      <c r="H89" s="4" t="inlineStr">
        <is>
          <t>abrir</t>
        </is>
      </c>
      <c r="I89" s="5" t="inlineStr"/>
      <c r="J89" s="5" t="inlineStr">
        <is>
          <t>A</t>
        </is>
      </c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5" t="inlineStr"/>
      <c r="AA89" s="5" t="inlineStr"/>
      <c r="AB89" s="5">
        <f>IFERROR(IF(VLOOKUP(D89,Revistas!$A$21:$C$400,3,FALSE)=0,"",VLOOKUP(D89,Revistas!$A$21:$C$400,3,FALSE)),"")</f>
        <v/>
      </c>
      <c r="AC89" s="5" t="inlineStr"/>
      <c r="AD89" s="5" t="inlineStr"/>
      <c r="AE89" s="5" t="inlineStr"/>
    </row>
    <row r="90">
      <c r="A90" s="3" t="inlineStr">
        <is>
          <t>EST-108</t>
        </is>
      </c>
      <c r="B90" s="3" t="n">
        <v>606</v>
      </c>
      <c r="C90" s="3" t="inlineStr">
        <is>
          <t>Personalized bacteriophage therapy outcomes for 100 consecutive cases: a multicentre, multinational, retrospective observational study.</t>
        </is>
      </c>
      <c r="D90" s="3" t="inlineStr">
        <is>
          <t>Nature microbiology</t>
        </is>
      </c>
      <c r="E90" s="3" t="inlineStr">
        <is>
          <t>2024</t>
        </is>
      </c>
      <c r="F90" s="3" t="inlineStr">
        <is>
          <t>articulo</t>
        </is>
      </c>
      <c r="G90" s="3" t="inlineStr">
        <is>
          <t>10.1038/s41564-024-01705-x</t>
        </is>
      </c>
      <c r="H90" s="4" t="inlineStr">
        <is>
          <t>abrir</t>
        </is>
      </c>
      <c r="I90" s="5" t="inlineStr"/>
      <c r="J90" s="5" t="inlineStr">
        <is>
          <t>A</t>
        </is>
      </c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5" t="inlineStr"/>
      <c r="AA90" s="5" t="inlineStr"/>
      <c r="AB90" s="5">
        <f>IFERROR(IF(VLOOKUP(D90,Revistas!$A$21:$C$400,3,FALSE)=0,"",VLOOKUP(D90,Revistas!$A$21:$C$400,3,FALSE)),"")</f>
        <v/>
      </c>
      <c r="AC90" s="5" t="inlineStr"/>
      <c r="AD90" s="5" t="inlineStr"/>
      <c r="AE90" s="5" t="inlineStr"/>
    </row>
    <row r="91">
      <c r="A91" s="3" t="inlineStr">
        <is>
          <t>EST-109</t>
        </is>
      </c>
      <c r="B91" s="3" t="n">
        <v>610</v>
      </c>
      <c r="C91" s="3" t="inlineStr">
        <is>
          <t>Prevention of nosocomial pneumonia recurrence using a bacteriophage cocktail in intensive care unit</t>
        </is>
      </c>
      <c r="D91" s="3" t="inlineStr">
        <is>
          <t>Russian Journal of Anesthesiology and Reanimatology /Anesteziologiya i Reanimatologiya</t>
        </is>
      </c>
      <c r="E91" s="3" t="inlineStr">
        <is>
          <t>2024</t>
        </is>
      </c>
      <c r="F91" s="3" t="inlineStr">
        <is>
          <t>articulo</t>
        </is>
      </c>
      <c r="G91" s="3" t="inlineStr">
        <is>
          <t>10.17116/anaesthesiology202402139</t>
        </is>
      </c>
      <c r="H91" s="4" t="inlineStr">
        <is>
          <t>abrir</t>
        </is>
      </c>
      <c r="I91" s="5" t="inlineStr"/>
      <c r="J91" s="5" t="inlineStr">
        <is>
          <t>A</t>
        </is>
      </c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5" t="inlineStr"/>
      <c r="AA91" s="5" t="inlineStr"/>
      <c r="AB91" s="5">
        <f>IFERROR(IF(VLOOKUP(D91,Revistas!$A$21:$C$400,3,FALSE)=0,"",VLOOKUP(D91,Revistas!$A$21:$C$400,3,FALSE)),"")</f>
        <v/>
      </c>
      <c r="AC91" s="5" t="inlineStr"/>
      <c r="AD91" s="5" t="inlineStr"/>
      <c r="AE91" s="5" t="inlineStr"/>
    </row>
    <row r="92">
      <c r="A92" s="3" t="inlineStr">
        <is>
          <t>EST-110</t>
        </is>
      </c>
      <c r="B92" s="3" t="n">
        <v>613</v>
      </c>
      <c r="C92" s="3" t="inlineStr">
        <is>
          <t>Successful Use of Phage and Antibiotics Therapy for the Eradication of Two Bacterial Pathogens from the Respiratory Tract of an Infant.</t>
        </is>
      </c>
      <c r="D92" s="3" t="inlineStr">
        <is>
          <t>Methods in molecular biology (Clifton, N.J.)</t>
        </is>
      </c>
      <c r="E92" s="3" t="inlineStr">
        <is>
          <t>2024</t>
        </is>
      </c>
      <c r="F92" s="3" t="inlineStr">
        <is>
          <t>articulo</t>
        </is>
      </c>
      <c r="G92" s="3" t="inlineStr">
        <is>
          <t>10.1007/978-1-0716-3523-0_15</t>
        </is>
      </c>
      <c r="H92" s="4" t="inlineStr">
        <is>
          <t>abrir</t>
        </is>
      </c>
      <c r="I92" s="5" t="inlineStr"/>
      <c r="J92" s="5" t="inlineStr">
        <is>
          <t>A</t>
        </is>
      </c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5" t="inlineStr"/>
      <c r="AA92" s="5" t="inlineStr"/>
      <c r="AB92" s="5">
        <f>IFERROR(IF(VLOOKUP(D92,Revistas!$A$21:$C$400,3,FALSE)=0,"",VLOOKUP(D92,Revistas!$A$21:$C$400,3,FALSE)),"")</f>
        <v/>
      </c>
      <c r="AC92" s="5" t="inlineStr"/>
      <c r="AD92" s="5" t="inlineStr"/>
      <c r="AE92" s="5" t="inlineStr"/>
    </row>
    <row r="93">
      <c r="A93" s="3" t="inlineStr">
        <is>
          <t>EST-115</t>
        </is>
      </c>
      <c r="B93" s="3" t="n">
        <v>665</v>
      </c>
      <c r="C93" s="3" t="inlineStr">
        <is>
          <t>Antiphage activity of sera during phage therapy in relation to its outcome.</t>
        </is>
      </c>
      <c r="D93" s="3" t="inlineStr">
        <is>
          <t>Future microbiology</t>
        </is>
      </c>
      <c r="E93" s="3" t="inlineStr">
        <is>
          <t>2017</t>
        </is>
      </c>
      <c r="F93" s="3" t="inlineStr">
        <is>
          <t>articulo</t>
        </is>
      </c>
      <c r="G93" s="3" t="inlineStr">
        <is>
          <t>10.2217/fmb-2016-0156</t>
        </is>
      </c>
      <c r="H93" s="4" t="inlineStr">
        <is>
          <t>abrir</t>
        </is>
      </c>
      <c r="I93" s="5" t="inlineStr"/>
      <c r="J93" s="5" t="inlineStr">
        <is>
          <t>A</t>
        </is>
      </c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5" t="inlineStr"/>
      <c r="AA93" s="5" t="inlineStr"/>
      <c r="AB93" s="5">
        <f>IFERROR(IF(VLOOKUP(D93,Revistas!$A$21:$C$400,3,FALSE)=0,"",VLOOKUP(D93,Revistas!$A$21:$C$400,3,FALSE)),"")</f>
        <v/>
      </c>
      <c r="AC93" s="5" t="inlineStr"/>
      <c r="AD93" s="5" t="inlineStr"/>
      <c r="AE93" s="5" t="inlineStr"/>
    </row>
    <row r="94">
      <c r="A94" s="3" t="inlineStr">
        <is>
          <t>EST-116</t>
        </is>
      </c>
      <c r="B94" s="3" t="n">
        <v>686</v>
      </c>
      <c r="C94" s="3" t="inlineStr">
        <is>
          <t>Processing Phage Therapy Requests in a Brussels Military Hospital: Lessons Identified.</t>
        </is>
      </c>
      <c r="D94" s="3" t="inlineStr">
        <is>
          <t>Viruses</t>
        </is>
      </c>
      <c r="E94" s="3" t="inlineStr">
        <is>
          <t>2019</t>
        </is>
      </c>
      <c r="F94" s="3" t="inlineStr">
        <is>
          <t>articulo</t>
        </is>
      </c>
      <c r="G94" s="3" t="inlineStr">
        <is>
          <t>10.3390/v11030265</t>
        </is>
      </c>
      <c r="H94" s="4" t="inlineStr">
        <is>
          <t>abrir</t>
        </is>
      </c>
      <c r="I94" s="5" t="inlineStr"/>
      <c r="J94" s="5" t="inlineStr">
        <is>
          <t>A</t>
        </is>
      </c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5" t="inlineStr"/>
      <c r="AA94" s="5" t="inlineStr"/>
      <c r="AB94" s="5">
        <f>IFERROR(IF(VLOOKUP(D94,Revistas!$A$21:$C$400,3,FALSE)=0,"",VLOOKUP(D94,Revistas!$A$21:$C$400,3,FALSE)),"")</f>
        <v/>
      </c>
      <c r="AC94" s="5" t="inlineStr"/>
      <c r="AD94" s="5" t="inlineStr"/>
      <c r="AE94" s="5" t="inlineStr"/>
    </row>
    <row r="95">
      <c r="A95" s="3" t="inlineStr">
        <is>
          <t>EST-117</t>
        </is>
      </c>
      <c r="B95" s="3" t="n">
        <v>707</v>
      </c>
      <c r="C95" s="3" t="inlineStr">
        <is>
          <t>Anti-phage serum antibody responses and the outcome of phage therapy.</t>
        </is>
      </c>
      <c r="D95" s="3" t="inlineStr">
        <is>
          <t>Folia microbiologica</t>
        </is>
      </c>
      <c r="E95" s="3" t="inlineStr">
        <is>
          <t>2021</t>
        </is>
      </c>
      <c r="F95" s="3" t="inlineStr">
        <is>
          <t>articulo</t>
        </is>
      </c>
      <c r="G95" s="3" t="inlineStr">
        <is>
          <t>10.1007/s12223-020-00835-z</t>
        </is>
      </c>
      <c r="H95" s="4" t="inlineStr">
        <is>
          <t>abrir</t>
        </is>
      </c>
      <c r="I95" s="5" t="inlineStr"/>
      <c r="J95" s="5" t="inlineStr">
        <is>
          <t>A</t>
        </is>
      </c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5" t="inlineStr"/>
      <c r="AA95" s="5" t="inlineStr"/>
      <c r="AB95" s="5">
        <f>IFERROR(IF(VLOOKUP(D95,Revistas!$A$21:$C$400,3,FALSE)=0,"",VLOOKUP(D95,Revistas!$A$21:$C$400,3,FALSE)),"")</f>
        <v/>
      </c>
      <c r="AC95" s="5" t="inlineStr"/>
      <c r="AD95" s="5" t="inlineStr"/>
      <c r="AE95" s="5" t="inlineStr"/>
    </row>
    <row r="96">
      <c r="A96" s="3" t="inlineStr">
        <is>
          <t>EST-118</t>
        </is>
      </c>
      <c r="B96" s="3" t="n">
        <v>719</v>
      </c>
      <c r="C96" s="3" t="inlineStr">
        <is>
          <t>Intravesical bacteriophages for treating urinary tract infections in patients undergoing transurethral resection of the prostate: a randomised, placebo-controlled, double-blind cli</t>
        </is>
      </c>
      <c r="D96" s="3" t="inlineStr">
        <is>
          <t>The Lancet. Infectious diseases</t>
        </is>
      </c>
      <c r="E96" s="3" t="inlineStr">
        <is>
          <t>2021</t>
        </is>
      </c>
      <c r="F96" s="3" t="inlineStr">
        <is>
          <t>articulo</t>
        </is>
      </c>
      <c r="G96" s="3" t="inlineStr">
        <is>
          <t>32949500</t>
        </is>
      </c>
      <c r="H96" s="4" t="inlineStr">
        <is>
          <t>abrir</t>
        </is>
      </c>
      <c r="I96" s="5" t="inlineStr"/>
      <c r="J96" s="5" t="inlineStr">
        <is>
          <t>A</t>
        </is>
      </c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5" t="inlineStr"/>
      <c r="AA96" s="5" t="inlineStr"/>
      <c r="AB96" s="5">
        <f>IFERROR(IF(VLOOKUP(D96,Revistas!$A$21:$C$400,3,FALSE)=0,"",VLOOKUP(D96,Revistas!$A$21:$C$400,3,FALSE)),"")</f>
        <v/>
      </c>
      <c r="AC96" s="5" t="inlineStr"/>
      <c r="AD96" s="5" t="inlineStr"/>
      <c r="AE96" s="5" t="inlineStr"/>
    </row>
    <row r="97">
      <c r="A97" s="3" t="inlineStr">
        <is>
          <t>EST-120</t>
        </is>
      </c>
      <c r="B97" s="3" t="n">
        <v>729</v>
      </c>
      <c r="C97" s="3" t="inlineStr">
        <is>
          <t>Possibilities of inhalation bacteriophage therapy in treatment of children with acute tonsillitis</t>
        </is>
      </c>
      <c r="D97" s="3" t="inlineStr">
        <is>
          <t>Meditsinskiy Sovet</t>
        </is>
      </c>
      <c r="E97" s="3" t="inlineStr">
        <is>
          <t>2021</t>
        </is>
      </c>
      <c r="F97" s="3" t="inlineStr">
        <is>
          <t>articulo</t>
        </is>
      </c>
      <c r="G97" s="3" t="inlineStr">
        <is>
          <t>10.21518/2079-701x-2021-17-86-93</t>
        </is>
      </c>
      <c r="H97" s="4" t="inlineStr">
        <is>
          <t>abrir</t>
        </is>
      </c>
      <c r="I97" s="5" t="inlineStr"/>
      <c r="J97" s="5" t="inlineStr">
        <is>
          <t>A</t>
        </is>
      </c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5" t="inlineStr"/>
      <c r="AA97" s="5" t="inlineStr"/>
      <c r="AB97" s="5">
        <f>IFERROR(IF(VLOOKUP(D97,Revistas!$A$21:$C$400,3,FALSE)=0,"",VLOOKUP(D97,Revistas!$A$21:$C$400,3,FALSE)),"")</f>
        <v/>
      </c>
      <c r="AC97" s="5" t="inlineStr"/>
      <c r="AD97" s="5" t="inlineStr"/>
      <c r="AE97" s="5" t="inlineStr"/>
    </row>
    <row r="98">
      <c r="A98" s="3" t="inlineStr">
        <is>
          <t>EST-121</t>
        </is>
      </c>
      <c r="B98" s="3" t="n">
        <v>741</v>
      </c>
      <c r="C98" s="3" t="inlineStr">
        <is>
          <t>Do Anti-Phage Antibodies Persist after Phage Therapy? A Preliminary Report</t>
        </is>
      </c>
      <c r="D98" s="3" t="inlineStr">
        <is>
          <t>Antibiotics</t>
        </is>
      </c>
      <c r="E98" s="3" t="inlineStr">
        <is>
          <t>2022</t>
        </is>
      </c>
      <c r="F98" s="3" t="inlineStr">
        <is>
          <t>articulo</t>
        </is>
      </c>
      <c r="G98" s="3" t="inlineStr">
        <is>
          <t>10.3390/antibiotics11101358</t>
        </is>
      </c>
      <c r="H98" s="4" t="inlineStr">
        <is>
          <t>abrir</t>
        </is>
      </c>
      <c r="I98" s="5" t="inlineStr"/>
      <c r="J98" s="5" t="inlineStr">
        <is>
          <t>A</t>
        </is>
      </c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5" t="inlineStr"/>
      <c r="AA98" s="5" t="inlineStr"/>
      <c r="AB98" s="5">
        <f>IFERROR(IF(VLOOKUP(D98,Revistas!$A$21:$C$400,3,FALSE)=0,"",VLOOKUP(D98,Revistas!$A$21:$C$400,3,FALSE)),"")</f>
        <v/>
      </c>
      <c r="AC98" s="5" t="inlineStr"/>
      <c r="AD98" s="5" t="inlineStr"/>
      <c r="AE98" s="5" t="inlineStr"/>
    </row>
    <row r="99">
      <c r="A99" s="3" t="inlineStr">
        <is>
          <t>EST-122</t>
        </is>
      </c>
      <c r="B99" s="3" t="n">
        <v>751</v>
      </c>
      <c r="C99" s="3" t="inlineStr">
        <is>
          <t>Standardised treatment and monitoring protocol to assess safety and tolerability of bacteriophage therapy for adult and paediatric patients (STAMP study): protocol for an open-labe</t>
        </is>
      </c>
      <c r="D99" s="3" t="inlineStr">
        <is>
          <t>BMJ open</t>
        </is>
      </c>
      <c r="E99" s="3" t="inlineStr">
        <is>
          <t>2022</t>
        </is>
      </c>
      <c r="F99" s="3" t="inlineStr">
        <is>
          <t>articulo</t>
        </is>
      </c>
      <c r="G99" s="3" t="inlineStr">
        <is>
          <t>10.1136/bmjopen-2022-065401</t>
        </is>
      </c>
      <c r="H99" s="4" t="inlineStr">
        <is>
          <t>abrir</t>
        </is>
      </c>
      <c r="I99" s="5" t="inlineStr"/>
      <c r="J99" s="5" t="inlineStr">
        <is>
          <t>A</t>
        </is>
      </c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5" t="inlineStr"/>
      <c r="AA99" s="5" t="inlineStr"/>
      <c r="AB99" s="5">
        <f>IFERROR(IF(VLOOKUP(D99,Revistas!$A$21:$C$400,3,FALSE)=0,"",VLOOKUP(D99,Revistas!$A$21:$C$400,3,FALSE)),"")</f>
        <v/>
      </c>
      <c r="AC99" s="5" t="inlineStr"/>
      <c r="AD99" s="5" t="inlineStr"/>
      <c r="AE99" s="5" t="inlineStr"/>
    </row>
    <row r="100">
      <c r="A100" s="3" t="inlineStr">
        <is>
          <t>EST-123</t>
        </is>
      </c>
      <c r="B100" s="3" t="n">
        <v>759</v>
      </c>
      <c r="C100" s="3" t="inlineStr">
        <is>
          <t>INFLUENCE OF INHALED BACTERIOPHAGE THERAPY ON ORAL MUCOSAL IMMUNITY IN CHILDREN WITH ACUTE TONSILLITIS; [ВЛИЯНИЕ ИНГАЛЯЦИОННОЙ БАКТЕРИОФАГТЕРАПИИ НА МУКОЗАЛЬНЫЙ ИММУНИТЕТ РОТОВОЙ П</t>
        </is>
      </c>
      <c r="D100" s="3" t="inlineStr">
        <is>
          <t>Russian Journal of Infection and Immunity</t>
        </is>
      </c>
      <c r="E100" s="3" t="inlineStr">
        <is>
          <t>2023</t>
        </is>
      </c>
      <c r="F100" s="3" t="inlineStr">
        <is>
          <t>articulo</t>
        </is>
      </c>
      <c r="G100" s="3" t="inlineStr">
        <is>
          <t>10.15789/2220-7619-ioi-2081</t>
        </is>
      </c>
      <c r="H100" s="4" t="inlineStr">
        <is>
          <t>abrir</t>
        </is>
      </c>
      <c r="I100" s="5" t="inlineStr"/>
      <c r="J100" s="5" t="inlineStr">
        <is>
          <t>A</t>
        </is>
      </c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5" t="inlineStr"/>
      <c r="AA100" s="5" t="inlineStr"/>
      <c r="AB100" s="5">
        <f>IFERROR(IF(VLOOKUP(D100,Revistas!$A$21:$C$400,3,FALSE)=0,"",VLOOKUP(D100,Revistas!$A$21:$C$400,3,FALSE)),"")</f>
        <v/>
      </c>
      <c r="AC100" s="5" t="inlineStr"/>
      <c r="AD100" s="5" t="inlineStr"/>
      <c r="AE100" s="5" t="inlineStr"/>
    </row>
    <row r="101">
      <c r="A101" s="3" t="inlineStr">
        <is>
          <t>EST-124</t>
        </is>
      </c>
      <c r="B101" s="3" t="n">
        <v>772</v>
      </c>
      <c r="C101" s="3" t="inlineStr">
        <is>
          <t>Successful Bacteriophage-Antibiotic Combination Therapy against Multidrug-Resistant Pseudomonas aeruginosa Left Ventricular Assist Device Driveline Infection.</t>
        </is>
      </c>
      <c r="D101" s="3" t="inlineStr">
        <is>
          <t>Viruses</t>
        </is>
      </c>
      <c r="E101" s="3" t="inlineStr">
        <is>
          <t>2023</t>
        </is>
      </c>
      <c r="F101" s="3" t="inlineStr">
        <is>
          <t>articulo</t>
        </is>
      </c>
      <c r="G101" s="3" t="inlineStr">
        <is>
          <t>10.3390/v15051210</t>
        </is>
      </c>
      <c r="H101" s="4" t="inlineStr">
        <is>
          <t>abrir</t>
        </is>
      </c>
      <c r="I101" s="5" t="inlineStr"/>
      <c r="J101" s="5" t="inlineStr">
        <is>
          <t>A</t>
        </is>
      </c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5" t="inlineStr"/>
      <c r="AA101" s="5" t="inlineStr"/>
      <c r="AB101" s="5">
        <f>IFERROR(IF(VLOOKUP(D101,Revistas!$A$21:$C$400,3,FALSE)=0,"",VLOOKUP(D101,Revistas!$A$21:$C$400,3,FALSE)),"")</f>
        <v/>
      </c>
      <c r="AC101" s="5" t="inlineStr"/>
      <c r="AD101" s="5" t="inlineStr"/>
      <c r="AE101" s="5" t="inlineStr"/>
    </row>
    <row r="102">
      <c r="A102" s="3" t="inlineStr">
        <is>
          <t>EST-125</t>
        </is>
      </c>
      <c r="B102" s="3" t="n">
        <v>778</v>
      </c>
      <c r="C102" s="3" t="inlineStr">
        <is>
          <t>[Phage therapy in overcoming antibiotic resistance in chronic rhinosinusitis].</t>
        </is>
      </c>
      <c r="D102" s="3" t="inlineStr">
        <is>
          <t>Vestnik otorinolaringologii</t>
        </is>
      </c>
      <c r="E102" s="3" t="inlineStr">
        <is>
          <t>2023</t>
        </is>
      </c>
      <c r="F102" s="3" t="inlineStr">
        <is>
          <t>articulo</t>
        </is>
      </c>
      <c r="G102" s="3" t="inlineStr">
        <is>
          <t>10.17116/otorino20238806148</t>
        </is>
      </c>
      <c r="H102" s="4" t="inlineStr">
        <is>
          <t>abrir</t>
        </is>
      </c>
      <c r="I102" s="5" t="inlineStr"/>
      <c r="J102" s="5" t="inlineStr">
        <is>
          <t>A</t>
        </is>
      </c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5" t="inlineStr"/>
      <c r="AA102" s="5" t="inlineStr"/>
      <c r="AB102" s="5">
        <f>IFERROR(IF(VLOOKUP(D102,Revistas!$A$21:$C$400,3,FALSE)=0,"",VLOOKUP(D102,Revistas!$A$21:$C$400,3,FALSE)),"")</f>
        <v/>
      </c>
      <c r="AC102" s="5" t="inlineStr"/>
      <c r="AD102" s="5" t="inlineStr"/>
      <c r="AE102" s="5" t="inlineStr"/>
    </row>
    <row r="103">
      <c r="A103" s="3" t="inlineStr">
        <is>
          <t>EST-126</t>
        </is>
      </c>
      <c r="B103" s="3" t="n">
        <v>785</v>
      </c>
      <c r="C103" s="3" t="inlineStr">
        <is>
          <t>Application of bacteriophage therapy in the treatment of children with acute tonsillitis</t>
        </is>
      </c>
      <c r="D103" s="3" t="inlineStr">
        <is>
          <t xml:space="preserve">International Journal of Pediatrics and Adolescent Medicine </t>
        </is>
      </c>
      <c r="E103" s="3" t="inlineStr">
        <is>
          <t>2024</t>
        </is>
      </c>
      <c r="F103" s="3" t="inlineStr">
        <is>
          <t>articulo</t>
        </is>
      </c>
      <c r="G103" s="3" t="inlineStr">
        <is>
          <t>10.4103/ijpam.ijpam_1_24</t>
        </is>
      </c>
      <c r="H103" s="4" t="inlineStr">
        <is>
          <t>abrir</t>
        </is>
      </c>
      <c r="I103" s="5" t="inlineStr"/>
      <c r="J103" s="5" t="inlineStr">
        <is>
          <t>A</t>
        </is>
      </c>
      <c r="K103" s="5" t="inlineStr"/>
      <c r="L103" s="5" t="inlineStr"/>
      <c r="M103" s="5" t="inlineStr"/>
      <c r="N103" s="5" t="inlineStr"/>
      <c r="O103" s="5" t="inlineStr"/>
      <c r="P103" s="5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5" t="inlineStr"/>
      <c r="AA103" s="5" t="inlineStr"/>
      <c r="AB103" s="5">
        <f>IFERROR(IF(VLOOKUP(D103,Revistas!$A$21:$C$400,3,FALSE)=0,"",VLOOKUP(D103,Revistas!$A$21:$C$400,3,FALSE)),"")</f>
        <v/>
      </c>
      <c r="AC103" s="5" t="inlineStr"/>
      <c r="AD103" s="5" t="inlineStr"/>
      <c r="AE103" s="5" t="inlineStr"/>
    </row>
    <row r="104">
      <c r="A104" s="3" t="inlineStr">
        <is>
          <t>EST-127</t>
        </is>
      </c>
      <c r="B104" s="3" t="n">
        <v>788</v>
      </c>
      <c r="C104" s="3" t="inlineStr">
        <is>
          <t>Bacteriophage Therapy for Vaginal Infections Pregnancy as a Way of its Favorable Outcome</t>
        </is>
      </c>
      <c r="D104" s="3" t="inlineStr">
        <is>
          <t>Reproductive Health Eastern Europe</t>
        </is>
      </c>
      <c r="E104" s="3" t="inlineStr">
        <is>
          <t>2024</t>
        </is>
      </c>
      <c r="F104" s="3" t="inlineStr">
        <is>
          <t>articulo</t>
        </is>
      </c>
      <c r="G104" s="3" t="inlineStr">
        <is>
          <t>10.34883/pi.2024.14.3.006</t>
        </is>
      </c>
      <c r="H104" s="4" t="inlineStr">
        <is>
          <t>abrir</t>
        </is>
      </c>
      <c r="I104" s="5" t="inlineStr"/>
      <c r="J104" s="5" t="inlineStr">
        <is>
          <t>A</t>
        </is>
      </c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5" t="inlineStr"/>
      <c r="AA104" s="5" t="inlineStr"/>
      <c r="AB104" s="5">
        <f>IFERROR(IF(VLOOKUP(D104,Revistas!$A$21:$C$400,3,FALSE)=0,"",VLOOKUP(D104,Revistas!$A$21:$C$400,3,FALSE)),"")</f>
        <v/>
      </c>
      <c r="AC104" s="5" t="inlineStr"/>
      <c r="AD104" s="5" t="inlineStr"/>
      <c r="AE104" s="5" t="inlineStr"/>
    </row>
    <row r="105">
      <c r="A105" s="3" t="inlineStr">
        <is>
          <t>EST-128</t>
        </is>
      </c>
      <c r="B105" s="3" t="n">
        <v>793</v>
      </c>
      <c r="C105" s="3" t="inlineStr">
        <is>
          <t>Bacteriophages for the treatment of pseudomonas-infected vascular prosthesis; [Bakteriofager til behandling af pseudomonasinficeret karprotese]</t>
        </is>
      </c>
      <c r="D105" s="3" t="inlineStr">
        <is>
          <t>Ugeskrift for laeger</t>
        </is>
      </c>
      <c r="E105" s="3" t="inlineStr">
        <is>
          <t>2024</t>
        </is>
      </c>
      <c r="F105" s="3" t="inlineStr">
        <is>
          <t>articulo</t>
        </is>
      </c>
      <c r="G105" s="3" t="inlineStr">
        <is>
          <t>10.61409/v09230617</t>
        </is>
      </c>
      <c r="H105" s="4" t="inlineStr">
        <is>
          <t>abrir</t>
        </is>
      </c>
      <c r="I105" s="5" t="inlineStr"/>
      <c r="J105" s="5" t="inlineStr">
        <is>
          <t>A</t>
        </is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5" t="inlineStr"/>
      <c r="AA105" s="5" t="inlineStr"/>
      <c r="AB105" s="5">
        <f>IFERROR(IF(VLOOKUP(D105,Revistas!$A$21:$C$400,3,FALSE)=0,"",VLOOKUP(D105,Revistas!$A$21:$C$400,3,FALSE)),"")</f>
        <v/>
      </c>
      <c r="AC105" s="5" t="inlineStr"/>
      <c r="AD105" s="5" t="inlineStr"/>
      <c r="AE105" s="5" t="inlineStr"/>
    </row>
    <row r="106">
      <c r="A106" s="3" t="inlineStr">
        <is>
          <t>EST-129</t>
        </is>
      </c>
      <c r="B106" s="3" t="n">
        <v>843</v>
      </c>
      <c r="C106" s="3" t="inlineStr">
        <is>
          <t>Phage Therapy for Orthopaedic Infections: The First Three Cases from the United Kingdom</t>
        </is>
      </c>
      <c r="D106" s="3" t="inlineStr">
        <is>
          <t>Antibiotics</t>
        </is>
      </c>
      <c r="E106" s="3" t="inlineStr">
        <is>
          <t>2025</t>
        </is>
      </c>
      <c r="F106" s="3" t="inlineStr">
        <is>
          <t>articulo</t>
        </is>
      </c>
      <c r="G106" s="3" t="inlineStr">
        <is>
          <t>10.3390/antibiotics14020114</t>
        </is>
      </c>
      <c r="H106" s="4" t="inlineStr">
        <is>
          <t>abrir</t>
        </is>
      </c>
      <c r="I106" s="5" t="inlineStr"/>
      <c r="J106" s="5" t="inlineStr">
        <is>
          <t>A</t>
        </is>
      </c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5" t="inlineStr"/>
      <c r="AA106" s="5" t="inlineStr"/>
      <c r="AB106" s="5">
        <f>IFERROR(IF(VLOOKUP(D106,Revistas!$A$21:$C$400,3,FALSE)=0,"",VLOOKUP(D106,Revistas!$A$21:$C$400,3,FALSE)),"")</f>
        <v/>
      </c>
      <c r="AC106" s="5" t="inlineStr"/>
      <c r="AD106" s="5" t="inlineStr"/>
      <c r="AE106" s="5" t="inlineStr"/>
    </row>
    <row r="107">
      <c r="A107" s="3" t="inlineStr">
        <is>
          <t>EST-130</t>
        </is>
      </c>
      <c r="B107" s="3" t="n">
        <v>853</v>
      </c>
      <c r="C107" s="3" t="inlineStr">
        <is>
          <t>Prolonged disease remission of the chronic immunological skin disorder hidradenitis suppurativa with adjunctive bacteriophage therapy.</t>
        </is>
      </c>
      <c r="D107" s="3" t="inlineStr">
        <is>
          <t>Nature communications</t>
        </is>
      </c>
      <c r="E107" s="3" t="inlineStr">
        <is>
          <t>2025</t>
        </is>
      </c>
      <c r="F107" s="3" t="inlineStr">
        <is>
          <t>articulo</t>
        </is>
      </c>
      <c r="G107" s="3" t="inlineStr">
        <is>
          <t>10.1038/s41467-025-65939-x</t>
        </is>
      </c>
      <c r="H107" s="4" t="inlineStr">
        <is>
          <t>abrir</t>
        </is>
      </c>
      <c r="I107" s="5" t="inlineStr"/>
      <c r="J107" s="5" t="inlineStr">
        <is>
          <t>A</t>
        </is>
      </c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5" t="inlineStr"/>
      <c r="AA107" s="5" t="inlineStr"/>
      <c r="AB107" s="5">
        <f>IFERROR(IF(VLOOKUP(D107,Revistas!$A$21:$C$400,3,FALSE)=0,"",VLOOKUP(D107,Revistas!$A$21:$C$400,3,FALSE)),"")</f>
        <v/>
      </c>
      <c r="AC107" s="5" t="inlineStr"/>
      <c r="AD107" s="5" t="inlineStr"/>
      <c r="AE107" s="5" t="inlineStr"/>
    </row>
    <row r="108">
      <c r="A108" s="3" t="inlineStr">
        <is>
          <t>EST-131</t>
        </is>
      </c>
      <c r="B108" s="3" t="n">
        <v>856</v>
      </c>
      <c r="C108" s="3" t="inlineStr">
        <is>
          <t>Results of TOR001: An open-label single patient study using targeted bacteriophage therapy for the treatment of a chronic urinary tract infection</t>
        </is>
      </c>
      <c r="D108" s="3" t="inlineStr">
        <is>
          <t>International journal of antimicrobial agents</t>
        </is>
      </c>
      <c r="E108" s="3" t="inlineStr">
        <is>
          <t>2025</t>
        </is>
      </c>
      <c r="F108" s="3" t="inlineStr">
        <is>
          <t>articulo</t>
        </is>
      </c>
      <c r="G108" s="3" t="inlineStr">
        <is>
          <t>10.1016/j.ijantimicag.2025.107613</t>
        </is>
      </c>
      <c r="H108" s="4" t="inlineStr">
        <is>
          <t>abrir</t>
        </is>
      </c>
      <c r="I108" s="5" t="inlineStr"/>
      <c r="J108" s="5" t="inlineStr">
        <is>
          <t>A</t>
        </is>
      </c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5" t="inlineStr"/>
      <c r="AA108" s="5" t="inlineStr"/>
      <c r="AB108" s="5">
        <f>IFERROR(IF(VLOOKUP(D108,Revistas!$A$21:$C$400,3,FALSE)=0,"",VLOOKUP(D108,Revistas!$A$21:$C$400,3,FALSE)),"")</f>
        <v/>
      </c>
      <c r="AC108" s="5" t="inlineStr"/>
      <c r="AD108" s="5" t="inlineStr"/>
      <c r="AE108" s="5" t="inlineStr"/>
    </row>
    <row r="109">
      <c r="A109" s="3" t="inlineStr">
        <is>
          <t>EST-132</t>
        </is>
      </c>
      <c r="B109" s="3" t="n">
        <v>867</v>
      </c>
      <c r="C109" s="3" t="inlineStr">
        <is>
          <t>Evaluation of the Potential Efficacy of Bacteriophage Therapy for the Management of Pressure Ulcers and Its Comparison to Conventional Therapy: A Randomized Controlled Trial</t>
        </is>
      </c>
      <c r="D109" s="3" t="inlineStr">
        <is>
          <t>Indian Journal of Critical Care Medicine</t>
        </is>
      </c>
      <c r="E109" s="3" t="inlineStr">
        <is>
          <t>2026</t>
        </is>
      </c>
      <c r="F109" s="3" t="inlineStr">
        <is>
          <t>articulo</t>
        </is>
      </c>
      <c r="G109" s="3" t="inlineStr">
        <is>
          <t>10.5005/jp-journals-10071-25143</t>
        </is>
      </c>
      <c r="H109" s="4" t="inlineStr">
        <is>
          <t>abrir</t>
        </is>
      </c>
      <c r="I109" s="5" t="inlineStr"/>
      <c r="J109" s="5" t="inlineStr">
        <is>
          <t>A</t>
        </is>
      </c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5" t="inlineStr"/>
      <c r="AA109" s="5" t="inlineStr"/>
      <c r="AB109" s="5">
        <f>IFERROR(IF(VLOOKUP(D109,Revistas!$A$21:$C$400,3,FALSE)=0,"",VLOOKUP(D109,Revistas!$A$21:$C$400,3,FALSE)),"")</f>
        <v/>
      </c>
      <c r="AC109" s="5" t="inlineStr"/>
      <c r="AD109" s="5" t="inlineStr"/>
      <c r="AE109" s="5" t="inlineStr"/>
    </row>
    <row r="110">
      <c r="A110" s="3" t="inlineStr">
        <is>
          <t>EST-133</t>
        </is>
      </c>
      <c r="B110" s="3" t="n">
        <v>888</v>
      </c>
      <c r="C110" s="3" t="inlineStr">
        <is>
          <t>Phage therapy for the treatment for urinary tract infection: results of in-vitro screenings and in-vivo application using commercially available bacteriophage cocktails</t>
        </is>
      </c>
      <c r="D110" s="3" t="inlineStr">
        <is>
          <t>European urology, supplements</t>
        </is>
      </c>
      <c r="E110" s="3" t="inlineStr">
        <is>
          <t>2016</t>
        </is>
      </c>
      <c r="F110" s="3" t="inlineStr">
        <is>
          <t>resumen de congreso</t>
        </is>
      </c>
      <c r="G110" s="3" t="inlineStr">
        <is>
          <t>cita: Eur Urol Suppl 2016 (informe previo del grupo de Leitner)</t>
        </is>
      </c>
      <c r="H110" s="4" t="inlineStr">
        <is>
          <t>abrir</t>
        </is>
      </c>
      <c r="I110" s="5" t="inlineStr"/>
      <c r="J110" s="5" t="inlineStr">
        <is>
          <t>A</t>
        </is>
      </c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5" t="inlineStr"/>
      <c r="S110" s="5" t="inlineStr"/>
      <c r="T110" s="5" t="inlineStr"/>
      <c r="U110" s="5" t="inlineStr"/>
      <c r="V110" s="5" t="inlineStr"/>
      <c r="W110" s="5" t="inlineStr"/>
      <c r="X110" s="5" t="inlineStr"/>
      <c r="Y110" s="5" t="inlineStr"/>
      <c r="Z110" s="5" t="inlineStr"/>
      <c r="AA110" s="5" t="inlineStr"/>
      <c r="AB110" s="5">
        <f>IFERROR(IF(VLOOKUP(D110,Revistas!$A$21:$C$400,3,FALSE)=0,"",VLOOKUP(D110,Revistas!$A$21:$C$400,3,FALSE)),"")</f>
        <v/>
      </c>
      <c r="AC110" s="5" t="inlineStr"/>
      <c r="AD110" s="5" t="inlineStr"/>
      <c r="AE110" s="5" t="inlineStr"/>
    </row>
    <row r="111">
      <c r="A111" s="3" t="inlineStr">
        <is>
          <t>EST-134</t>
        </is>
      </c>
      <c r="B111" s="3" t="n">
        <v>894</v>
      </c>
      <c r="C111" s="3" t="inlineStr">
        <is>
          <t>Adapted Bacteriophages for Treating Urinary Tract Infections.</t>
        </is>
      </c>
      <c r="D111" s="3" t="inlineStr">
        <is>
          <t>Frontiers in microbiology</t>
        </is>
      </c>
      <c r="E111" s="3" t="inlineStr">
        <is>
          <t>2018</t>
        </is>
      </c>
      <c r="F111" s="3" t="inlineStr">
        <is>
          <t>articulo</t>
        </is>
      </c>
      <c r="G111" s="3" t="inlineStr">
        <is>
          <t>30131795</t>
        </is>
      </c>
      <c r="H111" s="4" t="inlineStr">
        <is>
          <t>abrir</t>
        </is>
      </c>
      <c r="I111" s="5" t="inlineStr"/>
      <c r="J111" s="5" t="inlineStr">
        <is>
          <t>A</t>
        </is>
      </c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5" t="inlineStr"/>
      <c r="AA111" s="5" t="inlineStr"/>
      <c r="AB111" s="5">
        <f>IFERROR(IF(VLOOKUP(D111,Revistas!$A$21:$C$400,3,FALSE)=0,"",VLOOKUP(D111,Revistas!$A$21:$C$400,3,FALSE)),"")</f>
        <v/>
      </c>
      <c r="AC111" s="5" t="inlineStr"/>
      <c r="AD111" s="5" t="inlineStr"/>
      <c r="AE111" s="5" t="inlineStr"/>
    </row>
    <row r="112">
      <c r="A112" s="3" t="inlineStr">
        <is>
          <t>EST-135</t>
        </is>
      </c>
      <c r="B112" s="3" t="n">
        <v>911</v>
      </c>
      <c r="C112" s="3" t="inlineStr">
        <is>
          <t>The Potential Innovative Use of Bacteriophages Within the DAC® Hydrogel to Treat Patients With Knee Megaprosthesis Infection Requiring “Debridement Antibiotics and Implant Retentio</t>
        </is>
      </c>
      <c r="D112" s="3" t="inlineStr">
        <is>
          <t>Frontiers in Medicine</t>
        </is>
      </c>
      <c r="E112" s="3" t="inlineStr">
        <is>
          <t>2020</t>
        </is>
      </c>
      <c r="F112" s="3" t="inlineStr">
        <is>
          <t>articulo</t>
        </is>
      </c>
      <c r="G112" s="3" t="inlineStr">
        <is>
          <t>10.3389/fmed.2020.00342</t>
        </is>
      </c>
      <c r="H112" s="4" t="inlineStr">
        <is>
          <t>abrir</t>
        </is>
      </c>
      <c r="I112" s="5" t="inlineStr"/>
      <c r="J112" s="5" t="inlineStr">
        <is>
          <t>A</t>
        </is>
      </c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5" t="inlineStr"/>
      <c r="AA112" s="5" t="inlineStr"/>
      <c r="AB112" s="5">
        <f>IFERROR(IF(VLOOKUP(D112,Revistas!$A$21:$C$400,3,FALSE)=0,"",VLOOKUP(D112,Revistas!$A$21:$C$400,3,FALSE)),"")</f>
        <v/>
      </c>
      <c r="AC112" s="5" t="inlineStr"/>
      <c r="AD112" s="5" t="inlineStr"/>
      <c r="AE112" s="5" t="inlineStr"/>
    </row>
    <row r="113">
      <c r="A113" s="3" t="inlineStr">
        <is>
          <t>EST-136</t>
        </is>
      </c>
      <c r="B113" s="3" t="n">
        <v>979</v>
      </c>
      <c r="C113" s="3" t="inlineStr">
        <is>
          <t>[Clinical efficiency of polyvalent piobacteriophage in the complex treatment of nosocomial sinusitis].</t>
        </is>
      </c>
      <c r="D113" s="3" t="inlineStr">
        <is>
          <t>Vestnik otorinolaringologii</t>
        </is>
      </c>
      <c r="E113" s="3" t="inlineStr">
        <is>
          <t>2025</t>
        </is>
      </c>
      <c r="F113" s="3" t="inlineStr">
        <is>
          <t>articulo</t>
        </is>
      </c>
      <c r="G113" s="3" t="inlineStr">
        <is>
          <t>10.17116/otorino20259004133</t>
        </is>
      </c>
      <c r="H113" s="4" t="inlineStr">
        <is>
          <t>abrir</t>
        </is>
      </c>
      <c r="I113" s="5" t="inlineStr"/>
      <c r="J113" s="5" t="inlineStr">
        <is>
          <t>A</t>
        </is>
      </c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5" t="inlineStr"/>
      <c r="AA113" s="5" t="inlineStr"/>
      <c r="AB113" s="5">
        <f>IFERROR(IF(VLOOKUP(D113,Revistas!$A$21:$C$400,3,FALSE)=0,"",VLOOKUP(D113,Revistas!$A$21:$C$400,3,FALSE)),"")</f>
        <v/>
      </c>
      <c r="AC113" s="5" t="inlineStr"/>
      <c r="AD113" s="5" t="inlineStr"/>
      <c r="AE113" s="5" t="inlineStr"/>
    </row>
    <row r="114">
      <c r="A114" s="3" t="inlineStr">
        <is>
          <t>EST-139</t>
        </is>
      </c>
      <c r="B114" s="3" t="n">
        <v>1041</v>
      </c>
      <c r="C114" s="3" t="inlineStr">
        <is>
          <t>Hemodynamic aspects of combination treatment using medical ozone and bacteriophages in patients with chronic endometritis</t>
        </is>
      </c>
      <c r="D114" s="3" t="inlineStr">
        <is>
          <t>Russian Bulletin of Obstetrician-Gynecologist</t>
        </is>
      </c>
      <c r="E114" s="3" t="inlineStr">
        <is>
          <t>2018</t>
        </is>
      </c>
      <c r="F114" s="3" t="inlineStr">
        <is>
          <t>articulo</t>
        </is>
      </c>
      <c r="G114" s="3" t="inlineStr">
        <is>
          <t>10.17116/rosakush201818475</t>
        </is>
      </c>
      <c r="H114" s="4" t="inlineStr">
        <is>
          <t>abrir</t>
        </is>
      </c>
      <c r="I114" s="5" t="inlineStr"/>
      <c r="J114" s="5" t="inlineStr">
        <is>
          <t>A</t>
        </is>
      </c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5" t="inlineStr"/>
      <c r="AA114" s="5" t="inlineStr"/>
      <c r="AB114" s="5">
        <f>IFERROR(IF(VLOOKUP(D114,Revistas!$A$21:$C$400,3,FALSE)=0,"",VLOOKUP(D114,Revistas!$A$21:$C$400,3,FALSE)),"")</f>
        <v/>
      </c>
      <c r="AC114" s="5" t="inlineStr"/>
      <c r="AD114" s="5" t="inlineStr"/>
      <c r="AE114" s="5" t="inlineStr"/>
    </row>
    <row r="115">
      <c r="A115" s="3" t="inlineStr">
        <is>
          <t>EST-140</t>
        </is>
      </c>
      <c r="B115" s="3" t="n">
        <v>1077</v>
      </c>
      <c r="C115" s="3" t="inlineStr">
        <is>
          <t>Novel bacteriophage therapy for treatment of left ventricular assist device infection.</t>
        </is>
      </c>
      <c r="D115" s="3" t="inlineStr">
        <is>
          <t>The Journal of heart and lung transplantation : the official publication of the International Society for Heart Transplantation</t>
        </is>
      </c>
      <c r="E115" s="3" t="inlineStr">
        <is>
          <t>2019</t>
        </is>
      </c>
      <c r="F115" s="3" t="inlineStr">
        <is>
          <t>articulo</t>
        </is>
      </c>
      <c r="G115" s="3" t="inlineStr">
        <is>
          <t>10.1016/j.healun.2019.01.001</t>
        </is>
      </c>
      <c r="H115" s="4" t="inlineStr">
        <is>
          <t>abrir</t>
        </is>
      </c>
      <c r="I115" s="5" t="inlineStr"/>
      <c r="J115" s="5" t="inlineStr">
        <is>
          <t>A</t>
        </is>
      </c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5" t="inlineStr"/>
      <c r="AA115" s="5" t="inlineStr"/>
      <c r="AB115" s="5">
        <f>IFERROR(IF(VLOOKUP(D115,Revistas!$A$21:$C$400,3,FALSE)=0,"",VLOOKUP(D115,Revistas!$A$21:$C$400,3,FALSE)),"")</f>
        <v/>
      </c>
      <c r="AC115" s="5" t="inlineStr"/>
      <c r="AD115" s="5" t="inlineStr"/>
      <c r="AE115" s="5" t="inlineStr"/>
    </row>
    <row r="116">
      <c r="A116" s="3" t="inlineStr">
        <is>
          <t>EST-142</t>
        </is>
      </c>
      <c r="B116" s="3" t="n">
        <v>1135</v>
      </c>
      <c r="C116" s="3" t="inlineStr">
        <is>
          <t>Bacteriophage therapy for bacterial endophthalmitis</t>
        </is>
      </c>
      <c r="D116" s="3" t="inlineStr">
        <is>
          <t>Japanese Journal of Clinical Ophthalmology</t>
        </is>
      </c>
      <c r="E116" s="3" t="inlineStr">
        <is>
          <t>2021</t>
        </is>
      </c>
      <c r="F116" s="3" t="inlineStr">
        <is>
          <t>articulo</t>
        </is>
      </c>
      <c r="G116" s="3" t="inlineStr">
        <is>
          <t>cita: Jpn J Clin Ophthalmol 2021</t>
        </is>
      </c>
      <c r="H116" s="4" t="inlineStr">
        <is>
          <t>abrir</t>
        </is>
      </c>
      <c r="I116" s="5" t="inlineStr"/>
      <c r="J116" s="5" t="inlineStr">
        <is>
          <t>A</t>
        </is>
      </c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5" t="inlineStr"/>
      <c r="AA116" s="5" t="inlineStr"/>
      <c r="AB116" s="5">
        <f>IFERROR(IF(VLOOKUP(D116,Revistas!$A$21:$C$400,3,FALSE)=0,"",VLOOKUP(D116,Revistas!$A$21:$C$400,3,FALSE)),"")</f>
        <v/>
      </c>
      <c r="AC116" s="5" t="inlineStr"/>
      <c r="AD116" s="5" t="inlineStr"/>
      <c r="AE116" s="5" t="inlineStr"/>
    </row>
    <row r="117">
      <c r="A117" s="3" t="inlineStr">
        <is>
          <t>EST-144</t>
        </is>
      </c>
      <c r="B117" s="3" t="n">
        <v>1169</v>
      </c>
      <c r="C117" s="3" t="inlineStr">
        <is>
          <t>Results of a clinical study of the drug efficacy and safety for intravesical administration based on bacteriophages in therapy in patients with chronic recurrent cystitis; [Результ</t>
        </is>
      </c>
      <c r="D117" s="3" t="inlineStr">
        <is>
          <t>Gynecology</t>
        </is>
      </c>
      <c r="E117" s="3" t="inlineStr">
        <is>
          <t>2021</t>
        </is>
      </c>
      <c r="F117" s="3" t="inlineStr">
        <is>
          <t>articulo</t>
        </is>
      </c>
      <c r="G117" s="3" t="inlineStr">
        <is>
          <t>10.26442/20795696.2021.6.201286</t>
        </is>
      </c>
      <c r="H117" s="4" t="inlineStr">
        <is>
          <t>abrir</t>
        </is>
      </c>
      <c r="I117" s="5" t="inlineStr"/>
      <c r="J117" s="5" t="inlineStr">
        <is>
          <t>A</t>
        </is>
      </c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5" t="inlineStr"/>
      <c r="AA117" s="5" t="inlineStr"/>
      <c r="AB117" s="5">
        <f>IFERROR(IF(VLOOKUP(D117,Revistas!$A$21:$C$400,3,FALSE)=0,"",VLOOKUP(D117,Revistas!$A$21:$C$400,3,FALSE)),"")</f>
        <v/>
      </c>
      <c r="AC117" s="5" t="inlineStr"/>
      <c r="AD117" s="5" t="inlineStr"/>
      <c r="AE117" s="5" t="inlineStr"/>
    </row>
    <row r="118">
      <c r="A118" s="3" t="inlineStr">
        <is>
          <t>EST-145</t>
        </is>
      </c>
      <c r="B118" s="3" t="n">
        <v>1230</v>
      </c>
      <c r="C118" s="3" t="inlineStr">
        <is>
          <t>Vacuum Therapy in the Treatment of a Patient with Chronic Periprosthetic Infection after Total Hip Arthroplasty</t>
        </is>
      </c>
      <c r="D118" s="3" t="inlineStr">
        <is>
          <t>Novosti Khirurgii</t>
        </is>
      </c>
      <c r="E118" s="3" t="inlineStr">
        <is>
          <t>2022</t>
        </is>
      </c>
      <c r="F118" s="3" t="inlineStr">
        <is>
          <t>articulo</t>
        </is>
      </c>
      <c r="G118" s="3" t="inlineStr">
        <is>
          <t>10.18484/2305-0047.2022.4.401</t>
        </is>
      </c>
      <c r="H118" s="4" t="inlineStr">
        <is>
          <t>abrir</t>
        </is>
      </c>
      <c r="I118" s="5" t="inlineStr"/>
      <c r="J118" s="5" t="inlineStr">
        <is>
          <t>A</t>
        </is>
      </c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5" t="inlineStr"/>
      <c r="AA118" s="5" t="inlineStr"/>
      <c r="AB118" s="5">
        <f>IFERROR(IF(VLOOKUP(D118,Revistas!$A$21:$C$400,3,FALSE)=0,"",VLOOKUP(D118,Revistas!$A$21:$C$400,3,FALSE)),"")</f>
        <v/>
      </c>
      <c r="AC118" s="5" t="inlineStr"/>
      <c r="AD118" s="5" t="inlineStr"/>
      <c r="AE118" s="5" t="inlineStr"/>
    </row>
    <row r="119">
      <c r="A119" s="3" t="inlineStr">
        <is>
          <t>EST-146</t>
        </is>
      </c>
      <c r="B119" s="3" t="n">
        <v>1231</v>
      </c>
      <c r="C119" s="3" t="inlineStr">
        <is>
          <t>A Retrospective, Observational Study of 12 Cases of Expanded-Access Customized Phage Therapy: Production, Characteristics, and Clinical Outcomes.</t>
        </is>
      </c>
      <c r="D119" s="3" t="inlineStr">
        <is>
          <t>Clinical infectious diseases : an official publication of the Infectious Diseases Society of America</t>
        </is>
      </c>
      <c r="E119" s="3" t="inlineStr">
        <is>
          <t>2023</t>
        </is>
      </c>
      <c r="F119" s="3" t="inlineStr">
        <is>
          <t>articulo</t>
        </is>
      </c>
      <c r="G119" s="3" t="inlineStr">
        <is>
          <t>10.1093/cid/ciad335</t>
        </is>
      </c>
      <c r="H119" s="4" t="inlineStr">
        <is>
          <t>abrir</t>
        </is>
      </c>
      <c r="I119" s="5" t="inlineStr"/>
      <c r="J119" s="5" t="inlineStr">
        <is>
          <t>A</t>
        </is>
      </c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5" t="inlineStr"/>
      <c r="AA119" s="5" t="inlineStr"/>
      <c r="AB119" s="5">
        <f>IFERROR(IF(VLOOKUP(D119,Revistas!$A$21:$C$400,3,FALSE)=0,"",VLOOKUP(D119,Revistas!$A$21:$C$400,3,FALSE)),"")</f>
        <v/>
      </c>
      <c r="AC119" s="5" t="inlineStr"/>
      <c r="AD119" s="5" t="inlineStr"/>
      <c r="AE119" s="5" t="inlineStr"/>
    </row>
    <row r="120">
      <c r="A120" s="3" t="inlineStr">
        <is>
          <t>EST-147</t>
        </is>
      </c>
      <c r="B120" s="3" t="n">
        <v>1243</v>
      </c>
      <c r="C120" s="3" t="inlineStr">
        <is>
          <t>Complex surgical treatment of recurrent post-injection abscess in a patient with systemic autoimmune disease; [Комплексное хирургическое лечение рецидивирующего постинъекционного а</t>
        </is>
      </c>
      <c r="D120" s="3" t="inlineStr">
        <is>
          <t>Pirogov Russian Journal of Surgery</t>
        </is>
      </c>
      <c r="E120" s="3" t="inlineStr">
        <is>
          <t>2023</t>
        </is>
      </c>
      <c r="F120" s="3" t="inlineStr">
        <is>
          <t>articulo</t>
        </is>
      </c>
      <c r="G120" s="3" t="inlineStr">
        <is>
          <t>10.17116/hirurgia2023121123</t>
        </is>
      </c>
      <c r="H120" s="4" t="inlineStr">
        <is>
          <t>abrir</t>
        </is>
      </c>
      <c r="I120" s="5" t="inlineStr"/>
      <c r="J120" s="5" t="inlineStr">
        <is>
          <t>A</t>
        </is>
      </c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5" t="inlineStr"/>
      <c r="AA120" s="5" t="inlineStr"/>
      <c r="AB120" s="5">
        <f>IFERROR(IF(VLOOKUP(D120,Revistas!$A$21:$C$400,3,FALSE)=0,"",VLOOKUP(D120,Revistas!$A$21:$C$400,3,FALSE)),"")</f>
        <v/>
      </c>
      <c r="AC120" s="5" t="inlineStr"/>
      <c r="AD120" s="5" t="inlineStr"/>
      <c r="AE120" s="5" t="inlineStr"/>
    </row>
    <row r="121">
      <c r="A121" s="3" t="inlineStr">
        <is>
          <t>EST-151</t>
        </is>
      </c>
      <c r="B121" s="3" t="n">
        <v>1335</v>
      </c>
      <c r="C121" s="3" t="inlineStr">
        <is>
          <t>[Experience with the use of bacteriophages in patients with neurogenic lower urinary tract dysfunction, complicated by recurrent lower urinary tract infection].</t>
        </is>
      </c>
      <c r="D121" s="3" t="inlineStr">
        <is>
          <t>Urologiia (Moscow, Russia : 1999)</t>
        </is>
      </c>
      <c r="E121" s="3" t="inlineStr">
        <is>
          <t>2024</t>
        </is>
      </c>
      <c r="F121" s="3" t="inlineStr">
        <is>
          <t>articulo</t>
        </is>
      </c>
      <c r="G121" s="3" t="inlineStr">
        <is>
          <t>10.18565/urology.2024.1.114-118</t>
        </is>
      </c>
      <c r="H121" s="4" t="inlineStr">
        <is>
          <t>abrir</t>
        </is>
      </c>
      <c r="I121" s="5" t="inlineStr"/>
      <c r="J121" s="5" t="inlineStr">
        <is>
          <t>A</t>
        </is>
      </c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5" t="inlineStr"/>
      <c r="AA121" s="5" t="inlineStr"/>
      <c r="AB121" s="5">
        <f>IFERROR(IF(VLOOKUP(D121,Revistas!$A$21:$C$400,3,FALSE)=0,"",VLOOKUP(D121,Revistas!$A$21:$C$400,3,FALSE)),"")</f>
        <v/>
      </c>
      <c r="AC121" s="5" t="inlineStr"/>
      <c r="AD121" s="5" t="inlineStr"/>
      <c r="AE121" s="5" t="inlineStr"/>
    </row>
    <row r="122">
      <c r="A122" s="3" t="inlineStr">
        <is>
          <t>EST-152</t>
        </is>
      </c>
      <c r="B122" s="3" t="n">
        <v>1401</v>
      </c>
      <c r="C122" s="3" t="inlineStr">
        <is>
          <t>The Appearance of Antiphage Antibodies in Sera of Patients Treated with Phages</t>
        </is>
      </c>
      <c r="D122" s="3" t="inlineStr">
        <is>
          <t>Antibiotics</t>
        </is>
      </c>
      <c r="E122" s="3" t="inlineStr">
        <is>
          <t>2025</t>
        </is>
      </c>
      <c r="F122" s="3" t="inlineStr">
        <is>
          <t>articulo</t>
        </is>
      </c>
      <c r="G122" s="3" t="inlineStr">
        <is>
          <t>10.3390/antibiotics14010087</t>
        </is>
      </c>
      <c r="H122" s="4" t="inlineStr">
        <is>
          <t>abrir</t>
        </is>
      </c>
      <c r="I122" s="5" t="inlineStr"/>
      <c r="J122" s="5" t="inlineStr">
        <is>
          <t>A</t>
        </is>
      </c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5" t="inlineStr"/>
      <c r="AA122" s="5" t="inlineStr"/>
      <c r="AB122" s="5">
        <f>IFERROR(IF(VLOOKUP(D122,Revistas!$A$21:$C$400,3,FALSE)=0,"",VLOOKUP(D122,Revistas!$A$21:$C$400,3,FALSE)),"")</f>
        <v/>
      </c>
      <c r="AC122" s="5" t="inlineStr"/>
      <c r="AD122" s="5" t="inlineStr"/>
      <c r="AE122" s="5" t="inlineStr"/>
    </row>
    <row r="123">
      <c r="A123" s="3" t="inlineStr">
        <is>
          <t>EST-157</t>
        </is>
      </c>
      <c r="B123" s="3" t="n">
        <v>1630</v>
      </c>
      <c r="C123" s="3" t="inlineStr">
        <is>
          <t>A Randomized, Placebo-controlled, Double-blind Clinical Trial of Bacteriophage Cocktails in Chronic Wound Infections.</t>
        </is>
      </c>
      <c r="D123" s="3" t="inlineStr">
        <is>
          <t>The international journal of lower extremity wounds</t>
        </is>
      </c>
      <c r="E123" s="3" t="inlineStr">
        <is>
          <t>2026</t>
        </is>
      </c>
      <c r="F123" s="3" t="inlineStr">
        <is>
          <t>articulo</t>
        </is>
      </c>
      <c r="G123" s="3" t="inlineStr">
        <is>
          <t>38233034</t>
        </is>
      </c>
      <c r="H123" s="4" t="inlineStr">
        <is>
          <t>abrir</t>
        </is>
      </c>
      <c r="I123" s="5" t="inlineStr"/>
      <c r="J123" s="5" t="inlineStr">
        <is>
          <t>A</t>
        </is>
      </c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5" t="inlineStr"/>
      <c r="AA123" s="5" t="inlineStr"/>
      <c r="AB123" s="5">
        <f>IFERROR(IF(VLOOKUP(D123,Revistas!$A$21:$C$400,3,FALSE)=0,"",VLOOKUP(D123,Revistas!$A$21:$C$400,3,FALSE)),"")</f>
        <v/>
      </c>
      <c r="AC123" s="5" t="inlineStr"/>
      <c r="AD123" s="5" t="inlineStr"/>
      <c r="AE123" s="5" t="inlineStr"/>
    </row>
    <row r="124">
      <c r="A124" s="3" t="inlineStr">
        <is>
          <t>EST-159</t>
        </is>
      </c>
      <c r="B124" s="3" t="n">
        <v>1842</v>
      </c>
      <c r="C124" s="3" t="inlineStr">
        <is>
          <t>Bacteriophage-Enriched Galenic for Intrapericardial Ventricular Assist Device Infection</t>
        </is>
      </c>
      <c r="D124" s="3" t="inlineStr">
        <is>
          <t>Antibiotics</t>
        </is>
      </c>
      <c r="E124" s="3" t="inlineStr">
        <is>
          <t>2022</t>
        </is>
      </c>
      <c r="F124" s="3" t="inlineStr">
        <is>
          <t>articulo</t>
        </is>
      </c>
      <c r="G124" s="3" t="inlineStr">
        <is>
          <t>10.3390/antibiotics11050602</t>
        </is>
      </c>
      <c r="H124" s="4" t="inlineStr">
        <is>
          <t>abrir</t>
        </is>
      </c>
      <c r="I124" s="5" t="inlineStr"/>
      <c r="J124" s="5" t="inlineStr">
        <is>
          <t>A</t>
        </is>
      </c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5" t="inlineStr"/>
      <c r="AA124" s="5" t="inlineStr"/>
      <c r="AB124" s="5">
        <f>IFERROR(IF(VLOOKUP(D124,Revistas!$A$21:$C$400,3,FALSE)=0,"",VLOOKUP(D124,Revistas!$A$21:$C$400,3,FALSE)),"")</f>
        <v/>
      </c>
      <c r="AC124" s="5" t="inlineStr"/>
      <c r="AD124" s="5" t="inlineStr"/>
      <c r="AE124" s="5" t="inlineStr"/>
    </row>
    <row r="125">
      <c r="A125" s="3" t="inlineStr">
        <is>
          <t>EST-163</t>
        </is>
      </c>
      <c r="B125" s="3" t="n">
        <v>2071</v>
      </c>
      <c r="C125" s="3" t="inlineStr">
        <is>
          <t>The use of bacteriophages in therapy of ENT organs in children</t>
        </is>
      </c>
      <c r="D125" s="3" t="inlineStr">
        <is>
          <t>Voprosy Prakticheskoi Pediatrii</t>
        </is>
      </c>
      <c r="E125" s="3" t="inlineStr">
        <is>
          <t>2018</t>
        </is>
      </c>
      <c r="F125" s="3" t="inlineStr">
        <is>
          <t>articulo</t>
        </is>
      </c>
      <c r="G125" s="3" t="inlineStr">
        <is>
          <t>10.20953/1817-7646-2018-2-49-53</t>
        </is>
      </c>
      <c r="H125" s="4" t="inlineStr">
        <is>
          <t>abrir</t>
        </is>
      </c>
      <c r="I125" s="5" t="inlineStr"/>
      <c r="J125" s="5" t="inlineStr">
        <is>
          <t>A</t>
        </is>
      </c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5" t="inlineStr"/>
      <c r="AA125" s="5" t="inlineStr"/>
      <c r="AB125" s="5">
        <f>IFERROR(IF(VLOOKUP(D125,Revistas!$A$21:$C$400,3,FALSE)=0,"",VLOOKUP(D125,Revistas!$A$21:$C$400,3,FALSE)),"")</f>
        <v/>
      </c>
      <c r="AC125" s="5" t="inlineStr"/>
      <c r="AD125" s="5" t="inlineStr"/>
      <c r="AE125" s="5" t="inlineStr"/>
    </row>
    <row r="126">
      <c r="A126" s="3" t="inlineStr">
        <is>
          <t>EST-164</t>
        </is>
      </c>
      <c r="B126" s="3" t="n">
        <v>2072</v>
      </c>
      <c r="C126" s="3" t="inlineStr">
        <is>
          <t>Bacteriophage Application for Difficult-to-treat Musculoskeletal Infections: Development of a Standardized Multidisciplinary Treatment Protocol.</t>
        </is>
      </c>
      <c r="D126" s="3" t="inlineStr">
        <is>
          <t>Viruses</t>
        </is>
      </c>
      <c r="E126" s="3" t="inlineStr">
        <is>
          <t>2019</t>
        </is>
      </c>
      <c r="F126" s="3" t="inlineStr">
        <is>
          <t>articulo</t>
        </is>
      </c>
      <c r="G126" s="3" t="inlineStr">
        <is>
          <t>10.3390/v11100891</t>
        </is>
      </c>
      <c r="H126" s="4" t="inlineStr">
        <is>
          <t>abrir</t>
        </is>
      </c>
      <c r="I126" s="5" t="inlineStr"/>
      <c r="J126" s="5" t="inlineStr">
        <is>
          <t>A</t>
        </is>
      </c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5" t="inlineStr"/>
      <c r="AA126" s="5" t="inlineStr"/>
      <c r="AB126" s="5">
        <f>IFERROR(IF(VLOOKUP(D126,Revistas!$A$21:$C$400,3,FALSE)=0,"",VLOOKUP(D126,Revistas!$A$21:$C$400,3,FALSE)),"")</f>
        <v/>
      </c>
      <c r="AC126" s="5" t="inlineStr"/>
      <c r="AD126" s="5" t="inlineStr"/>
      <c r="AE126" s="5" t="inlineStr"/>
    </row>
    <row r="127">
      <c r="A127" s="3" t="inlineStr">
        <is>
          <t>EST-165</t>
        </is>
      </c>
      <c r="B127" s="3" t="n">
        <v>2162</v>
      </c>
      <c r="C127" s="3" t="inlineStr">
        <is>
          <t>Use of Customized Bacteriophages in the Treatment of Chronic Nonhealing Wounds: A Prospective Study.</t>
        </is>
      </c>
      <c r="D127" s="3" t="inlineStr">
        <is>
          <t>The international journal of lower extremity wounds</t>
        </is>
      </c>
      <c r="E127" s="3" t="inlineStr">
        <is>
          <t>2021</t>
        </is>
      </c>
      <c r="F127" s="3" t="inlineStr">
        <is>
          <t>articulo</t>
        </is>
      </c>
      <c r="G127" s="3" t="inlineStr">
        <is>
          <t>10.1177/1534734619881076</t>
        </is>
      </c>
      <c r="H127" s="4" t="inlineStr">
        <is>
          <t>abrir</t>
        </is>
      </c>
      <c r="I127" s="5" t="inlineStr"/>
      <c r="J127" s="5" t="inlineStr">
        <is>
          <t>A</t>
        </is>
      </c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5" t="inlineStr"/>
      <c r="AA127" s="5" t="inlineStr"/>
      <c r="AB127" s="5">
        <f>IFERROR(IF(VLOOKUP(D127,Revistas!$A$21:$C$400,3,FALSE)=0,"",VLOOKUP(D127,Revistas!$A$21:$C$400,3,FALSE)),"")</f>
        <v/>
      </c>
      <c r="AC127" s="5" t="inlineStr"/>
      <c r="AD127" s="5" t="inlineStr"/>
      <c r="AE127" s="5" t="inlineStr"/>
    </row>
    <row r="128">
      <c r="A128" s="3" t="inlineStr">
        <is>
          <t>EST-166</t>
        </is>
      </c>
      <c r="B128" s="3" t="n">
        <v>2197</v>
      </c>
      <c r="C128" s="3" t="inlineStr">
        <is>
          <t>THE CURRENT STATE OF THE PROBLEM AND A CLINICAL OBSERVATION OF THERAPY FOR OBSTETRIC SEPSIS CAUSED BY ESKAPE PATHOGENS</t>
        </is>
      </c>
      <c r="D128" s="3" t="inlineStr">
        <is>
          <t>Akusherstvo i Ginekologiya (Russian Federation)</t>
        </is>
      </c>
      <c r="E128" s="3" t="inlineStr">
        <is>
          <t>2022</t>
        </is>
      </c>
      <c r="F128" s="3" t="inlineStr">
        <is>
          <t>articulo</t>
        </is>
      </c>
      <c r="G128" s="3" t="inlineStr">
        <is>
          <t>10.18565/aig.2022.4.164-175</t>
        </is>
      </c>
      <c r="H128" s="4" t="inlineStr">
        <is>
          <t>abrir</t>
        </is>
      </c>
      <c r="I128" s="5" t="inlineStr"/>
      <c r="J128" s="5" t="inlineStr">
        <is>
          <t>A</t>
        </is>
      </c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5" t="inlineStr"/>
      <c r="AA128" s="5" t="inlineStr"/>
      <c r="AB128" s="5">
        <f>IFERROR(IF(VLOOKUP(D128,Revistas!$A$21:$C$400,3,FALSE)=0,"",VLOOKUP(D128,Revistas!$A$21:$C$400,3,FALSE)),"")</f>
        <v/>
      </c>
      <c r="AC128" s="5" t="inlineStr"/>
      <c r="AD128" s="5" t="inlineStr"/>
      <c r="AE128" s="5" t="inlineStr"/>
    </row>
    <row r="129">
      <c r="A129" s="3" t="inlineStr">
        <is>
          <t>EST-167</t>
        </is>
      </c>
      <c r="B129" s="3" t="n">
        <v>2256</v>
      </c>
      <c r="C129" s="3" t="inlineStr">
        <is>
          <t>Biological Therapy on Infected Traumatic Wounds: A Case-Control Study.</t>
        </is>
      </c>
      <c r="D129" s="3" t="inlineStr">
        <is>
          <t>The international journal of lower extremity wounds</t>
        </is>
      </c>
      <c r="E129" s="3" t="inlineStr">
        <is>
          <t>2024</t>
        </is>
      </c>
      <c r="F129" s="3" t="inlineStr">
        <is>
          <t>articulo</t>
        </is>
      </c>
      <c r="G129" s="3" t="inlineStr">
        <is>
          <t>10.1177/15347346211072779</t>
        </is>
      </c>
      <c r="H129" s="4" t="inlineStr">
        <is>
          <t>abrir</t>
        </is>
      </c>
      <c r="I129" s="5" t="inlineStr"/>
      <c r="J129" s="5" t="inlineStr">
        <is>
          <t>A</t>
        </is>
      </c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5" t="inlineStr"/>
      <c r="AA129" s="5" t="inlineStr"/>
      <c r="AB129" s="5">
        <f>IFERROR(IF(VLOOKUP(D129,Revistas!$A$21:$C$400,3,FALSE)=0,"",VLOOKUP(D129,Revistas!$A$21:$C$400,3,FALSE)),"")</f>
        <v/>
      </c>
      <c r="AC129" s="5" t="inlineStr"/>
      <c r="AD129" s="5" t="inlineStr"/>
      <c r="AE129" s="5" t="inlineStr"/>
    </row>
    <row r="130">
      <c r="A130" s="3" t="inlineStr">
        <is>
          <t>EST-168</t>
        </is>
      </c>
      <c r="B130" s="3" t="n">
        <v>2259</v>
      </c>
      <c r="C130" s="3" t="inlineStr">
        <is>
          <t>Combination Therapy for Inflammatory Diseases of the Uterine Appendages as an Alternative to Standard Treatment Regimens</t>
        </is>
      </c>
      <c r="D130" s="3" t="inlineStr">
        <is>
          <t>Reproductive Health Eastern Europe</t>
        </is>
      </c>
      <c r="E130" s="3" t="inlineStr">
        <is>
          <t>2024</t>
        </is>
      </c>
      <c r="F130" s="3" t="inlineStr">
        <is>
          <t>articulo</t>
        </is>
      </c>
      <c r="G130" s="3" t="inlineStr">
        <is>
          <t>10.34883/pi.2024.14.2.005</t>
        </is>
      </c>
      <c r="H130" s="4" t="inlineStr">
        <is>
          <t>abrir</t>
        </is>
      </c>
      <c r="I130" s="5" t="inlineStr"/>
      <c r="J130" s="5" t="inlineStr">
        <is>
          <t>A</t>
        </is>
      </c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5" t="inlineStr"/>
      <c r="AA130" s="5" t="inlineStr"/>
      <c r="AB130" s="5">
        <f>IFERROR(IF(VLOOKUP(D130,Revistas!$A$21:$C$400,3,FALSE)=0,"",VLOOKUP(D130,Revistas!$A$21:$C$400,3,FALSE)),"")</f>
        <v/>
      </c>
      <c r="AC130" s="5" t="inlineStr"/>
      <c r="AD130" s="5" t="inlineStr"/>
      <c r="AE130" s="5" t="inlineStr"/>
    </row>
    <row r="131">
      <c r="A131" s="3" t="inlineStr">
        <is>
          <t>EST-169</t>
        </is>
      </c>
      <c r="B131" s="3" t="n">
        <v>2304</v>
      </c>
      <c r="C131" s="3" t="inlineStr">
        <is>
          <t>Safety and tolerability of bronchoscopic and nebulised administration of bacteriophage.</t>
        </is>
      </c>
      <c r="D131" s="3" t="inlineStr">
        <is>
          <t>Virus research</t>
        </is>
      </c>
      <c r="E131" s="3" t="inlineStr">
        <is>
          <t>2024</t>
        </is>
      </c>
      <c r="F131" s="3" t="inlineStr">
        <is>
          <t>articulo</t>
        </is>
      </c>
      <c r="G131" s="3" t="inlineStr">
        <is>
          <t>10.1016/j.virusres.2024.199442</t>
        </is>
      </c>
      <c r="H131" s="4" t="inlineStr">
        <is>
          <t>abrir</t>
        </is>
      </c>
      <c r="I131" s="5" t="inlineStr"/>
      <c r="J131" s="5" t="inlineStr">
        <is>
          <t>A</t>
        </is>
      </c>
      <c r="K131" s="5" t="inlineStr"/>
      <c r="L131" s="5" t="inlineStr"/>
      <c r="M131" s="5" t="inlineStr"/>
      <c r="N131" s="5" t="inlineStr"/>
      <c r="O131" s="5" t="inlineStr"/>
      <c r="P131" s="5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5" t="inlineStr"/>
      <c r="AA131" s="5" t="inlineStr"/>
      <c r="AB131" s="5">
        <f>IFERROR(IF(VLOOKUP(D131,Revistas!$A$21:$C$400,3,FALSE)=0,"",VLOOKUP(D131,Revistas!$A$21:$C$400,3,FALSE)),"")</f>
        <v/>
      </c>
      <c r="AC131" s="5" t="inlineStr"/>
      <c r="AD131" s="5" t="inlineStr"/>
      <c r="AE131" s="5" t="inlineStr"/>
    </row>
    <row r="132">
      <c r="A132" s="3" t="inlineStr">
        <is>
          <t>EST-170</t>
        </is>
      </c>
      <c r="B132" s="3" t="n">
        <v>2313</v>
      </c>
      <c r="C132" s="3" t="inlineStr">
        <is>
          <t>Thoracic endovascular aneurysm repair of a ruptured zone 0 mycotic thoracic aortic aneurysm</t>
        </is>
      </c>
      <c r="D132" s="3" t="inlineStr">
        <is>
          <t>Annals of Vascular Surgery - Brief Reports and Innovations</t>
        </is>
      </c>
      <c r="E132" s="3" t="inlineStr">
        <is>
          <t>2024</t>
        </is>
      </c>
      <c r="F132" s="3" t="inlineStr">
        <is>
          <t>articulo</t>
        </is>
      </c>
      <c r="G132" s="3" t="inlineStr">
        <is>
          <t>10.1016/j.avsurg.2024.100302</t>
        </is>
      </c>
      <c r="H132" s="4" t="inlineStr">
        <is>
          <t>abrir</t>
        </is>
      </c>
      <c r="I132" s="5" t="inlineStr"/>
      <c r="J132" s="5" t="inlineStr">
        <is>
          <t>A</t>
        </is>
      </c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5" t="inlineStr"/>
      <c r="AA132" s="5" t="inlineStr"/>
      <c r="AB132" s="5">
        <f>IFERROR(IF(VLOOKUP(D132,Revistas!$A$21:$C$400,3,FALSE)=0,"",VLOOKUP(D132,Revistas!$A$21:$C$400,3,FALSE)),"")</f>
        <v/>
      </c>
      <c r="AC132" s="5" t="inlineStr"/>
      <c r="AD132" s="5" t="inlineStr"/>
      <c r="AE132" s="5" t="inlineStr"/>
    </row>
    <row r="133">
      <c r="A133" s="3" t="inlineStr">
        <is>
          <t>EST-173</t>
        </is>
      </c>
      <c r="B133" s="3" t="n">
        <v>2743</v>
      </c>
      <c r="C133" s="3" t="inlineStr">
        <is>
          <t>Use of bacteriophages in the treatment of infected wounds in patients who have allergy to antibiotics</t>
        </is>
      </c>
      <c r="D133" s="3" t="inlineStr">
        <is>
          <t>Surgical Chronicles</t>
        </is>
      </c>
      <c r="E133" s="3" t="inlineStr">
        <is>
          <t>2016</t>
        </is>
      </c>
      <c r="F133" s="3" t="inlineStr">
        <is>
          <t>articulo</t>
        </is>
      </c>
      <c r="G133" s="3" t="inlineStr">
        <is>
          <t>cita: Surgical Chronicles 2016</t>
        </is>
      </c>
      <c r="H133" s="4" t="inlineStr">
        <is>
          <t>abrir</t>
        </is>
      </c>
      <c r="I133" s="5" t="inlineStr"/>
      <c r="J133" s="5" t="inlineStr">
        <is>
          <t>A</t>
        </is>
      </c>
      <c r="K133" s="5" t="inlineStr"/>
      <c r="L133" s="5" t="inlineStr"/>
      <c r="M133" s="5" t="inlineStr"/>
      <c r="N133" s="5" t="inlineStr"/>
      <c r="O133" s="5" t="inlineStr"/>
      <c r="P133" s="5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5" t="inlineStr"/>
      <c r="AA133" s="5" t="inlineStr"/>
      <c r="AB133" s="5">
        <f>IFERROR(IF(VLOOKUP(D133,Revistas!$A$21:$C$400,3,FALSE)=0,"",VLOOKUP(D133,Revistas!$A$21:$C$400,3,FALSE)),"")</f>
        <v/>
      </c>
      <c r="AC133" s="5" t="inlineStr"/>
      <c r="AD133" s="5" t="inlineStr"/>
      <c r="AE133" s="5" t="inlineStr"/>
    </row>
    <row r="134">
      <c r="A134" s="3" t="inlineStr">
        <is>
          <t>EST-174</t>
        </is>
      </c>
      <c r="B134" s="3" t="n">
        <v>2744</v>
      </c>
      <c r="C134" s="3" t="inlineStr">
        <is>
          <t>[CORRECTION OF ENTERAL INSUFFICIENCY SYNDROME IN PATIENTS, SUFFERING DIFFUSE PERITONITIS].</t>
        </is>
      </c>
      <c r="D134" s="3" t="inlineStr">
        <is>
          <t>Klinichna khirurhiia / Ministerstvo okhorony zdorov'ia Ukraïny, Naukove tovarystvo khirurhiv Ukraïny</t>
        </is>
      </c>
      <c r="E134" s="3" t="inlineStr">
        <is>
          <t>2016</t>
        </is>
      </c>
      <c r="F134" s="3" t="inlineStr">
        <is>
          <t>articulo</t>
        </is>
      </c>
      <c r="G134" s="3" t="inlineStr">
        <is>
          <t>27244910</t>
        </is>
      </c>
      <c r="H134" s="4" t="inlineStr">
        <is>
          <t>abrir</t>
        </is>
      </c>
      <c r="I134" s="5" t="inlineStr"/>
      <c r="J134" s="5" t="inlineStr">
        <is>
          <t>A</t>
        </is>
      </c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5" t="inlineStr"/>
      <c r="AA134" s="5" t="inlineStr"/>
      <c r="AB134" s="5">
        <f>IFERROR(IF(VLOOKUP(D134,Revistas!$A$21:$C$400,3,FALSE)=0,"",VLOOKUP(D134,Revistas!$A$21:$C$400,3,FALSE)),"")</f>
        <v/>
      </c>
      <c r="AC134" s="5" t="inlineStr"/>
      <c r="AD134" s="5" t="inlineStr"/>
      <c r="AE134" s="5" t="inlineStr"/>
    </row>
    <row r="135">
      <c r="A135" s="3" t="inlineStr">
        <is>
          <t>EST-175</t>
        </is>
      </c>
      <c r="B135" s="3" t="n">
        <v>2904</v>
      </c>
      <c r="C135" s="3" t="inlineStr">
        <is>
          <t>[Secondary prevention of chronic tonsillitis exacerbations by bacteriophage medications].</t>
        </is>
      </c>
      <c r="D135" s="3" t="inlineStr">
        <is>
          <t>Vestnik otorinolaringologii</t>
        </is>
      </c>
      <c r="E135" s="3" t="inlineStr">
        <is>
          <t>2019</t>
        </is>
      </c>
      <c r="F135" s="3" t="inlineStr">
        <is>
          <t>articulo</t>
        </is>
      </c>
      <c r="G135" s="3" t="inlineStr">
        <is>
          <t>10.17116/otorino20198402146</t>
        </is>
      </c>
      <c r="H135" s="4" t="inlineStr">
        <is>
          <t>abrir</t>
        </is>
      </c>
      <c r="I135" s="5" t="inlineStr"/>
      <c r="J135" s="5" t="inlineStr">
        <is>
          <t>A</t>
        </is>
      </c>
      <c r="K135" s="5" t="inlineStr"/>
      <c r="L135" s="5" t="inlineStr"/>
      <c r="M135" s="5" t="inlineStr"/>
      <c r="N135" s="5" t="inlineStr"/>
      <c r="O135" s="5" t="inlineStr"/>
      <c r="P135" s="5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5" t="inlineStr"/>
      <c r="AA135" s="5" t="inlineStr"/>
      <c r="AB135" s="5">
        <f>IFERROR(IF(VLOOKUP(D135,Revistas!$A$21:$C$400,3,FALSE)=0,"",VLOOKUP(D135,Revistas!$A$21:$C$400,3,FALSE)),"")</f>
        <v/>
      </c>
      <c r="AC135" s="5" t="inlineStr"/>
      <c r="AD135" s="5" t="inlineStr"/>
      <c r="AE135" s="5" t="inlineStr"/>
    </row>
    <row r="136">
      <c r="A136" s="3" t="inlineStr">
        <is>
          <t>EST-176</t>
        </is>
      </c>
      <c r="B136" s="3" t="n">
        <v>2929</v>
      </c>
      <c r="C136" s="3" t="inlineStr">
        <is>
          <t>Chronic endometritis in patients of reproductive age: Individualized treatment capabilities; [Хронический эндометрит у пациенток репродуктивного возраста: возможности индивидуализи</t>
        </is>
      </c>
      <c r="D136" s="3" t="inlineStr">
        <is>
          <t>Obstetrics, Gynecology and Reproduction</t>
        </is>
      </c>
      <c r="E136" s="3" t="inlineStr">
        <is>
          <t>2020</t>
        </is>
      </c>
      <c r="F136" s="3" t="inlineStr">
        <is>
          <t>articulo</t>
        </is>
      </c>
      <c r="G136" s="3" t="inlineStr">
        <is>
          <t>10.17749/2313-7347/ob.gyn.rep.2020.157</t>
        </is>
      </c>
      <c r="H136" s="4" t="inlineStr">
        <is>
          <t>abrir</t>
        </is>
      </c>
      <c r="I136" s="5" t="inlineStr"/>
      <c r="J136" s="5" t="inlineStr">
        <is>
          <t>A</t>
        </is>
      </c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5" t="inlineStr"/>
      <c r="AA136" s="5" t="inlineStr"/>
      <c r="AB136" s="5">
        <f>IFERROR(IF(VLOOKUP(D136,Revistas!$A$21:$C$400,3,FALSE)=0,"",VLOOKUP(D136,Revistas!$A$21:$C$400,3,FALSE)),"")</f>
        <v/>
      </c>
      <c r="AC136" s="5" t="inlineStr"/>
      <c r="AD136" s="5" t="inlineStr"/>
      <c r="AE136" s="5" t="inlineStr"/>
    </row>
    <row r="137">
      <c r="A137" s="3" t="inlineStr">
        <is>
          <t>EST-177</t>
        </is>
      </c>
      <c r="B137" s="3" t="n">
        <v>2998</v>
      </c>
      <c r="C137" s="3" t="inlineStr">
        <is>
          <t>A randomized, double-blind, placebo- -controlled study to investigate the use of bacteriophages in patients with chronic rhinosinusitis with nasal polyps.</t>
        </is>
      </c>
      <c r="D137" s="3" t="inlineStr">
        <is>
          <t>Otolaryngologia polska = The Polish otolaryngology</t>
        </is>
      </c>
      <c r="E137" s="3" t="inlineStr">
        <is>
          <t>2021</t>
        </is>
      </c>
      <c r="F137" s="3" t="inlineStr">
        <is>
          <t>articulo</t>
        </is>
      </c>
      <c r="G137" s="3" t="inlineStr">
        <is>
          <t>35175218</t>
        </is>
      </c>
      <c r="H137" s="4" t="inlineStr">
        <is>
          <t>abrir</t>
        </is>
      </c>
      <c r="I137" s="5" t="inlineStr"/>
      <c r="J137" s="5" t="inlineStr">
        <is>
          <t>A</t>
        </is>
      </c>
      <c r="K137" s="5" t="inlineStr"/>
      <c r="L137" s="5" t="inlineStr"/>
      <c r="M137" s="5" t="inlineStr"/>
      <c r="N137" s="5" t="inlineStr"/>
      <c r="O137" s="5" t="inlineStr"/>
      <c r="P137" s="5" t="inlineStr"/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5" t="inlineStr"/>
      <c r="AA137" s="5" t="inlineStr"/>
      <c r="AB137" s="5">
        <f>IFERROR(IF(VLOOKUP(D137,Revistas!$A$21:$C$400,3,FALSE)=0,"",VLOOKUP(D137,Revistas!$A$21:$C$400,3,FALSE)),"")</f>
        <v/>
      </c>
      <c r="AC137" s="5" t="inlineStr"/>
      <c r="AD137" s="5" t="inlineStr"/>
      <c r="AE137" s="5" t="inlineStr"/>
    </row>
    <row r="138">
      <c r="A138" s="3" t="inlineStr">
        <is>
          <t>EST-178</t>
        </is>
      </c>
      <c r="B138" s="3" t="n">
        <v>3020</v>
      </c>
      <c r="C138" s="3" t="inlineStr">
        <is>
          <t>CLINICAL AND LABORATORY JUSTIFICATION FOR USE OF POLYVALENT BACTERIOPHAGE IN TECHNIQUE OF DELAYED PRESCRIBING OF ANTIBIOTICS IN PATIENTS WITH ARS.</t>
        </is>
      </c>
      <c r="D138" s="3" t="inlineStr">
        <is>
          <t>Wiadomosci lekarskie (Warsaw, Poland : 1960)</t>
        </is>
      </c>
      <c r="E138" s="3" t="inlineStr">
        <is>
          <t>2021</t>
        </is>
      </c>
      <c r="F138" s="3" t="inlineStr">
        <is>
          <t>articulo</t>
        </is>
      </c>
      <c r="G138" s="3" t="inlineStr">
        <is>
          <t>10.36740/wlek202106129</t>
        </is>
      </c>
      <c r="H138" s="4" t="inlineStr">
        <is>
          <t>abrir</t>
        </is>
      </c>
      <c r="I138" s="5" t="inlineStr"/>
      <c r="J138" s="5" t="inlineStr">
        <is>
          <t>A</t>
        </is>
      </c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5" t="inlineStr"/>
      <c r="AA138" s="5" t="inlineStr"/>
      <c r="AB138" s="5">
        <f>IFERROR(IF(VLOOKUP(D138,Revistas!$A$21:$C$400,3,FALSE)=0,"",VLOOKUP(D138,Revistas!$A$21:$C$400,3,FALSE)),"")</f>
        <v/>
      </c>
      <c r="AC138" s="5" t="inlineStr"/>
      <c r="AD138" s="5" t="inlineStr"/>
      <c r="AE138" s="5" t="inlineStr"/>
    </row>
    <row r="139">
      <c r="A139" s="3" t="inlineStr">
        <is>
          <t>EST-179</t>
        </is>
      </c>
      <c r="B139" s="3" t="n">
        <v>3128</v>
      </c>
      <c r="C139" s="3" t="inlineStr">
        <is>
          <t>BACTERIOPHAGES IN RECURRENT URINARY TRACT INFECTION IN PATIENTS WITH PAINFUL BLADDER SYNDROME/INTERSTITIAL CYSTITIS. CLINICAL CASES</t>
        </is>
      </c>
      <c r="D139" s="3" t="inlineStr">
        <is>
          <t>Urologiia</t>
        </is>
      </c>
      <c r="E139" s="3" t="inlineStr">
        <is>
          <t>2022</t>
        </is>
      </c>
      <c r="F139" s="3" t="inlineStr">
        <is>
          <t>articulo</t>
        </is>
      </c>
      <c r="G139" s="3" t="inlineStr">
        <is>
          <t>10.18565/urology.2022.3.115-118</t>
        </is>
      </c>
      <c r="H139" s="4" t="inlineStr">
        <is>
          <t>abrir</t>
        </is>
      </c>
      <c r="I139" s="5" t="inlineStr"/>
      <c r="J139" s="5" t="inlineStr">
        <is>
          <t>A</t>
        </is>
      </c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5" t="inlineStr"/>
      <c r="AA139" s="5" t="inlineStr"/>
      <c r="AB139" s="5">
        <f>IFERROR(IF(VLOOKUP(D139,Revistas!$A$21:$C$400,3,FALSE)=0,"",VLOOKUP(D139,Revistas!$A$21:$C$400,3,FALSE)),"")</f>
        <v/>
      </c>
      <c r="AC139" s="5" t="inlineStr"/>
      <c r="AD139" s="5" t="inlineStr"/>
      <c r="AE139" s="5" t="inlineStr"/>
    </row>
    <row r="140">
      <c r="A140" s="3" t="inlineStr">
        <is>
          <t>EST-180</t>
        </is>
      </c>
      <c r="B140" s="3" t="n">
        <v>3311</v>
      </c>
      <c r="C140" s="3" t="inlineStr">
        <is>
          <t>Impact of multizonal decontamination of upper respiratory tract on incidence of ventilator-associated pneumonia: multicenter randomized pilot study</t>
        </is>
      </c>
      <c r="D140" s="3" t="inlineStr">
        <is>
          <t>Annals of Critical Care</t>
        </is>
      </c>
      <c r="E140" s="3" t="inlineStr">
        <is>
          <t>2023</t>
        </is>
      </c>
      <c r="F140" s="3" t="inlineStr">
        <is>
          <t>articulo</t>
        </is>
      </c>
      <c r="G140" s="3" t="inlineStr">
        <is>
          <t>10.21320/1818-474x-2023-3-66-81</t>
        </is>
      </c>
      <c r="H140" s="4" t="inlineStr">
        <is>
          <t>abrir</t>
        </is>
      </c>
      <c r="I140" s="5" t="inlineStr"/>
      <c r="J140" s="5" t="inlineStr">
        <is>
          <t>A</t>
        </is>
      </c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5" t="inlineStr"/>
      <c r="AA140" s="5" t="inlineStr"/>
      <c r="AB140" s="5">
        <f>IFERROR(IF(VLOOKUP(D140,Revistas!$A$21:$C$400,3,FALSE)=0,"",VLOOKUP(D140,Revistas!$A$21:$C$400,3,FALSE)),"")</f>
        <v/>
      </c>
      <c r="AC140" s="5" t="inlineStr"/>
      <c r="AD140" s="5" t="inlineStr"/>
      <c r="AE140" s="5" t="inlineStr"/>
    </row>
    <row r="141">
      <c r="A141" s="3" t="inlineStr">
        <is>
          <t>EST-181</t>
        </is>
      </c>
      <c r="B141" s="3" t="n">
        <v>3346</v>
      </c>
      <c r="C141" s="3" t="inlineStr">
        <is>
          <t>Short-Term Outcomes of Phage-Antibiotic Combination Treatment in Adult Patients with Periprosthetic Hip Joint Infection.</t>
        </is>
      </c>
      <c r="D141" s="3" t="inlineStr">
        <is>
          <t>Viruses</t>
        </is>
      </c>
      <c r="E141" s="3" t="inlineStr">
        <is>
          <t>2023</t>
        </is>
      </c>
      <c r="F141" s="3" t="inlineStr">
        <is>
          <t>articulo</t>
        </is>
      </c>
      <c r="G141" s="3" t="inlineStr">
        <is>
          <t>36851713</t>
        </is>
      </c>
      <c r="H141" s="4" t="inlineStr">
        <is>
          <t>abrir</t>
        </is>
      </c>
      <c r="I141" s="5" t="inlineStr"/>
      <c r="J141" s="5" t="inlineStr">
        <is>
          <t>A</t>
        </is>
      </c>
      <c r="K141" s="5" t="inlineStr"/>
      <c r="L141" s="5" t="inlineStr"/>
      <c r="M141" s="5" t="inlineStr"/>
      <c r="N141" s="5" t="inlineStr"/>
      <c r="O141" s="5" t="inlineStr"/>
      <c r="P141" s="5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5" t="inlineStr"/>
      <c r="AA141" s="5" t="inlineStr"/>
      <c r="AB141" s="5">
        <f>IFERROR(IF(VLOOKUP(D141,Revistas!$A$21:$C$400,3,FALSE)=0,"",VLOOKUP(D141,Revistas!$A$21:$C$400,3,FALSE)),"")</f>
        <v/>
      </c>
      <c r="AC141" s="5" t="inlineStr"/>
      <c r="AD141" s="5" t="inlineStr"/>
      <c r="AE141" s="5" t="inlineStr"/>
    </row>
    <row r="142">
      <c r="A142" s="3" t="inlineStr">
        <is>
          <t>EST-183</t>
        </is>
      </c>
      <c r="B142" s="3" t="n">
        <v>3688</v>
      </c>
      <c r="C142" s="3" t="inlineStr">
        <is>
          <t>Pioneering methods in managing acute respiratory infections with tonsillopharyngitis in pediatric patients prone to recurrent respiratory illnesses; [Новые подходы к терапии эпизод</t>
        </is>
      </c>
      <c r="D142" s="3" t="inlineStr">
        <is>
          <t>Russian Medical Inquiry</t>
        </is>
      </c>
      <c r="E142" s="3" t="inlineStr">
        <is>
          <t>2025</t>
        </is>
      </c>
      <c r="F142" s="3" t="inlineStr">
        <is>
          <t>articulo</t>
        </is>
      </c>
      <c r="G142" s="3" t="inlineStr">
        <is>
          <t>10.32364/2587-6821-2025-9-12-5</t>
        </is>
      </c>
      <c r="H142" s="4" t="inlineStr">
        <is>
          <t>abrir</t>
        </is>
      </c>
      <c r="I142" s="5" t="inlineStr"/>
      <c r="J142" s="5" t="inlineStr">
        <is>
          <t>A</t>
        </is>
      </c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5" t="inlineStr"/>
      <c r="AA142" s="5" t="inlineStr"/>
      <c r="AB142" s="5">
        <f>IFERROR(IF(VLOOKUP(D142,Revistas!$A$21:$C$400,3,FALSE)=0,"",VLOOKUP(D142,Revistas!$A$21:$C$400,3,FALSE)),"")</f>
        <v/>
      </c>
      <c r="AC142" s="5" t="inlineStr"/>
      <c r="AD142" s="5" t="inlineStr"/>
      <c r="AE142" s="5" t="inlineStr"/>
    </row>
    <row r="143">
      <c r="A143" s="3" t="inlineStr">
        <is>
          <t>EST-184</t>
        </is>
      </c>
      <c r="B143" s="3" t="n">
        <v>3870</v>
      </c>
      <c r="C143" s="3" t="inlineStr">
        <is>
          <t>Severe Darier disease complicated by recurrent multidrug-resistant cutaneous infection</t>
        </is>
      </c>
      <c r="D143" s="3" t="inlineStr">
        <is>
          <t>JAAD Case Reports</t>
        </is>
      </c>
      <c r="E143" s="3" t="inlineStr">
        <is>
          <t>2026</t>
        </is>
      </c>
      <c r="F143" s="3" t="inlineStr">
        <is>
          <t>articulo</t>
        </is>
      </c>
      <c r="G143" s="3" t="inlineStr">
        <is>
          <t>10.1016/j.jdcr.2026.06.010</t>
        </is>
      </c>
      <c r="H143" s="4" t="inlineStr">
        <is>
          <t>abrir</t>
        </is>
      </c>
      <c r="I143" s="5" t="inlineStr"/>
      <c r="J143" s="5" t="inlineStr">
        <is>
          <t>A</t>
        </is>
      </c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5" t="inlineStr"/>
      <c r="AA143" s="5" t="inlineStr"/>
      <c r="AB143" s="5">
        <f>IFERROR(IF(VLOOKUP(D143,Revistas!$A$21:$C$400,3,FALSE)=0,"",VLOOKUP(D143,Revistas!$A$21:$C$400,3,FALSE)),"")</f>
        <v/>
      </c>
      <c r="AC143" s="5" t="inlineStr"/>
      <c r="AD143" s="5" t="inlineStr"/>
      <c r="AE143" s="5" t="inlineStr"/>
    </row>
    <row r="144">
      <c r="A144" s="3" t="inlineStr">
        <is>
          <t>EST-185</t>
        </is>
      </c>
      <c r="B144" s="3" t="n">
        <v>3891</v>
      </c>
      <c r="C144" s="3" t="inlineStr">
        <is>
          <t>The management of sternal mediastinitis in heart and lung transplant patients: An 8-year experience and application of reconstructive algorithm</t>
        </is>
      </c>
      <c r="D144" s="3" t="inlineStr">
        <is>
          <t>Journal of Plastic, Reconstructive and Aesthetic Surgery</t>
        </is>
      </c>
      <c r="E144" s="3" t="inlineStr">
        <is>
          <t>2026</t>
        </is>
      </c>
      <c r="F144" s="3" t="inlineStr">
        <is>
          <t>articulo</t>
        </is>
      </c>
      <c r="G144" s="3" t="inlineStr">
        <is>
          <t>10.1016/j.bjps.2026.06.028</t>
        </is>
      </c>
      <c r="H144" s="4" t="inlineStr">
        <is>
          <t>abrir</t>
        </is>
      </c>
      <c r="I144" s="5" t="inlineStr"/>
      <c r="J144" s="5" t="inlineStr">
        <is>
          <t>A</t>
        </is>
      </c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5" t="inlineStr"/>
      <c r="AA144" s="5" t="inlineStr"/>
      <c r="AB144" s="5">
        <f>IFERROR(IF(VLOOKUP(D144,Revistas!$A$21:$C$400,3,FALSE)=0,"",VLOOKUP(D144,Revistas!$A$21:$C$400,3,FALSE)),"")</f>
        <v/>
      </c>
      <c r="AC144" s="5" t="inlineStr"/>
      <c r="AD144" s="5" t="inlineStr"/>
      <c r="AE144" s="5" t="inlineStr"/>
    </row>
    <row r="145">
      <c r="A145" s="3" t="inlineStr">
        <is>
          <t>EST-188</t>
        </is>
      </c>
      <c r="B145" s="3" t="n">
        <v>4039</v>
      </c>
      <c r="C145" s="3" t="inlineStr">
        <is>
          <t>Potential treatment method of recurrent urinary tract infection in postmenopausal kidney transplant recipients: the results of pilot study</t>
        </is>
      </c>
      <c r="D145" s="3" t="inlineStr">
        <is>
          <t>Nephrology dialysis transplantation</t>
        </is>
      </c>
      <c r="E145" s="3" t="inlineStr">
        <is>
          <t>2020</t>
        </is>
      </c>
      <c r="F145" s="3" t="inlineStr">
        <is>
          <t>resumen de congreso</t>
        </is>
      </c>
      <c r="G145" s="3" t="inlineStr">
        <is>
          <t>cita: Nephrol Dial Transplant 2020 (resumen de congreso)</t>
        </is>
      </c>
      <c r="H145" s="4" t="inlineStr">
        <is>
          <t>abrir</t>
        </is>
      </c>
      <c r="I145" s="5" t="inlineStr"/>
      <c r="J145" s="5" t="inlineStr">
        <is>
          <t>A</t>
        </is>
      </c>
      <c r="K145" s="5" t="inlineStr"/>
      <c r="L145" s="5" t="inlineStr"/>
      <c r="M145" s="5" t="inlineStr"/>
      <c r="N145" s="5" t="inlineStr"/>
      <c r="O145" s="5" t="inlineStr"/>
      <c r="P145" s="5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5" t="inlineStr"/>
      <c r="AA145" s="5" t="inlineStr"/>
      <c r="AB145" s="5">
        <f>IFERROR(IF(VLOOKUP(D145,Revistas!$A$21:$C$400,3,FALSE)=0,"",VLOOKUP(D145,Revistas!$A$21:$C$400,3,FALSE)),"")</f>
        <v/>
      </c>
      <c r="AC145" s="5" t="inlineStr"/>
      <c r="AD145" s="5" t="inlineStr"/>
      <c r="AE145" s="5" t="inlineStr"/>
    </row>
    <row r="146">
      <c r="A146" s="3" t="inlineStr">
        <is>
          <t>EST-189</t>
        </is>
      </c>
      <c r="B146" s="3" t="n">
        <v>4229</v>
      </c>
      <c r="C146" s="3" t="inlineStr">
        <is>
          <t>EVALUATION OF THE EFFECTIVENESS OF THE USE OF BACTERIOPHAGES IN THE TREATMENT OF ACUTE INTESTINAL INFECTIONS CAUSED BY OPPORTUNISTIC PATHOGENS IN INFANTS</t>
        </is>
      </c>
      <c r="D146" s="3" t="inlineStr">
        <is>
          <t>Pediatriya - Zhurnal im G.N. Speranskogo</t>
        </is>
      </c>
      <c r="E146" s="3" t="inlineStr">
        <is>
          <t>2024</t>
        </is>
      </c>
      <c r="F146" s="3" t="inlineStr">
        <is>
          <t>articulo</t>
        </is>
      </c>
      <c r="G146" s="3" t="inlineStr">
        <is>
          <t>10.24110/0031-403x-2024-103-1-114-123</t>
        </is>
      </c>
      <c r="H146" s="4" t="inlineStr">
        <is>
          <t>abrir</t>
        </is>
      </c>
      <c r="I146" s="5" t="inlineStr"/>
      <c r="J146" s="5" t="inlineStr">
        <is>
          <t>A</t>
        </is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5" t="inlineStr"/>
      <c r="AA146" s="5" t="inlineStr"/>
      <c r="AB146" s="5">
        <f>IFERROR(IF(VLOOKUP(D146,Revistas!$A$21:$C$400,3,FALSE)=0,"",VLOOKUP(D146,Revistas!$A$21:$C$400,3,FALSE)),"")</f>
        <v/>
      </c>
      <c r="AC146" s="5" t="inlineStr"/>
      <c r="AD146" s="5" t="inlineStr"/>
      <c r="AE146" s="5" t="inlineStr"/>
    </row>
    <row r="147">
      <c r="A147" s="3" t="inlineStr">
        <is>
          <t>EST-193</t>
        </is>
      </c>
      <c r="B147" s="3" t="n">
        <v>4805</v>
      </c>
      <c r="C147" s="3" t="inlineStr">
        <is>
          <t>Medical ozone and bacteriophage preparations as an important component in the combination therapy of chronic nonspecific endometritis</t>
        </is>
      </c>
      <c r="D147" s="3" t="inlineStr">
        <is>
          <t>Russian Bulletin of Obstetrician-Gynecologist</t>
        </is>
      </c>
      <c r="E147" s="3" t="inlineStr">
        <is>
          <t>2016</t>
        </is>
      </c>
      <c r="F147" s="3" t="inlineStr">
        <is>
          <t>articulo</t>
        </is>
      </c>
      <c r="G147" s="3" t="inlineStr">
        <is>
          <t>10.17116/rosakush201616546-49</t>
        </is>
      </c>
      <c r="H147" s="4" t="inlineStr">
        <is>
          <t>abrir</t>
        </is>
      </c>
      <c r="I147" s="5" t="inlineStr"/>
      <c r="J147" s="5" t="inlineStr">
        <is>
          <t>A</t>
        </is>
      </c>
      <c r="K147" s="5" t="inlineStr"/>
      <c r="L147" s="5" t="inlineStr"/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5" t="inlineStr"/>
      <c r="AA147" s="5" t="inlineStr"/>
      <c r="AB147" s="5">
        <f>IFERROR(IF(VLOOKUP(D147,Revistas!$A$21:$C$400,3,FALSE)=0,"",VLOOKUP(D147,Revistas!$A$21:$C$400,3,FALSE)),"")</f>
        <v/>
      </c>
      <c r="AC147" s="5" t="inlineStr"/>
      <c r="AD147" s="5" t="inlineStr"/>
      <c r="AE147" s="5" t="inlineStr"/>
    </row>
    <row r="148">
      <c r="A148" s="3" t="inlineStr">
        <is>
          <t>EST-194</t>
        </is>
      </c>
      <c r="B148" s="3" t="n">
        <v>5002</v>
      </c>
      <c r="C148" s="3" t="inlineStr">
        <is>
          <t>Clinical efficacy of bacteriophage and laser therapy in the treatment of chronic endometritis</t>
        </is>
      </c>
      <c r="D148" s="3" t="inlineStr">
        <is>
          <t>Russian Journal of Human Reproduction</t>
        </is>
      </c>
      <c r="E148" s="3" t="inlineStr">
        <is>
          <t>2019</t>
        </is>
      </c>
      <c r="F148" s="3" t="inlineStr">
        <is>
          <t>articulo</t>
        </is>
      </c>
      <c r="G148" s="3" t="inlineStr">
        <is>
          <t>10.17116/repro20192505169</t>
        </is>
      </c>
      <c r="H148" s="4" t="inlineStr">
        <is>
          <t>abrir</t>
        </is>
      </c>
      <c r="I148" s="5" t="inlineStr"/>
      <c r="J148" s="5" t="inlineStr">
        <is>
          <t>A</t>
        </is>
      </c>
      <c r="K148" s="5" t="inlineStr"/>
      <c r="L148" s="5" t="inlineStr"/>
      <c r="M148" s="5" t="inlineStr"/>
      <c r="N148" s="5" t="inlineStr"/>
      <c r="O148" s="5" t="inlineStr"/>
      <c r="P148" s="5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5" t="inlineStr"/>
      <c r="AA148" s="5" t="inlineStr"/>
      <c r="AB148" s="5">
        <f>IFERROR(IF(VLOOKUP(D148,Revistas!$A$21:$C$400,3,FALSE)=0,"",VLOOKUP(D148,Revistas!$A$21:$C$400,3,FALSE)),"")</f>
        <v/>
      </c>
      <c r="AC148" s="5" t="inlineStr"/>
      <c r="AD148" s="5" t="inlineStr"/>
      <c r="AE148" s="5" t="inlineStr"/>
    </row>
    <row r="149">
      <c r="A149" s="3" t="inlineStr">
        <is>
          <t>EST-195</t>
        </is>
      </c>
      <c r="B149" s="3" t="n">
        <v>5019</v>
      </c>
      <c r="C149" s="3" t="inlineStr">
        <is>
          <t>Evaluation of the efficiency and safety of topical application of the bacteriophage-containing gels fagogin and fagoderm for the prevention of wound complications in puerperas; [ОЦ</t>
        </is>
      </c>
      <c r="D149" s="3" t="inlineStr">
        <is>
          <t>Akusherstvo i Ginekologiya (Russian Federation)</t>
        </is>
      </c>
      <c r="E149" s="3" t="inlineStr">
        <is>
          <t>2019</t>
        </is>
      </c>
      <c r="F149" s="3" t="inlineStr">
        <is>
          <t>articulo</t>
        </is>
      </c>
      <c r="G149" s="3" t="inlineStr">
        <is>
          <t>10.18565/aig.2019.6.126-131</t>
        </is>
      </c>
      <c r="H149" s="4" t="inlineStr">
        <is>
          <t>abrir</t>
        </is>
      </c>
      <c r="I149" s="5" t="inlineStr"/>
      <c r="J149" s="5" t="inlineStr">
        <is>
          <t>A</t>
        </is>
      </c>
      <c r="K149" s="5" t="inlineStr"/>
      <c r="L149" s="5" t="inlineStr"/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5" t="inlineStr"/>
      <c r="AA149" s="5" t="inlineStr"/>
      <c r="AB149" s="5">
        <f>IFERROR(IF(VLOOKUP(D149,Revistas!$A$21:$C$400,3,FALSE)=0,"",VLOOKUP(D149,Revistas!$A$21:$C$400,3,FALSE)),"")</f>
        <v/>
      </c>
      <c r="AC149" s="5" t="inlineStr"/>
      <c r="AD149" s="5" t="inlineStr"/>
      <c r="AE149" s="5" t="inlineStr"/>
    </row>
    <row r="150">
      <c r="A150" s="3" t="inlineStr">
        <is>
          <t>EST-196</t>
        </is>
      </c>
      <c r="B150" s="3" t="n">
        <v>5177</v>
      </c>
      <c r="C150" s="3" t="inlineStr">
        <is>
          <t>PREVENTION OF INFECTIOUS AND INFLAMMATORY COMPLICATIONS AFTER PERCUTANEOUS NEPHROLITHOTOMY</t>
        </is>
      </c>
      <c r="D150" s="3" t="inlineStr">
        <is>
          <t>Urologiia</t>
        </is>
      </c>
      <c r="E150" s="3" t="inlineStr">
        <is>
          <t>2020</t>
        </is>
      </c>
      <c r="F150" s="3" t="inlineStr">
        <is>
          <t>articulo</t>
        </is>
      </c>
      <c r="G150" s="3" t="inlineStr">
        <is>
          <t>10.18565/urology.2020.3.26-33</t>
        </is>
      </c>
      <c r="H150" s="4" t="inlineStr">
        <is>
          <t>abrir</t>
        </is>
      </c>
      <c r="I150" s="5" t="inlineStr"/>
      <c r="J150" s="5" t="inlineStr">
        <is>
          <t>A</t>
        </is>
      </c>
      <c r="K150" s="5" t="inlineStr"/>
      <c r="L150" s="5" t="inlineStr"/>
      <c r="M150" s="5" t="inlineStr"/>
      <c r="N150" s="5" t="inlineStr"/>
      <c r="O150" s="5" t="inlineStr"/>
      <c r="P150" s="5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5" t="inlineStr"/>
      <c r="AA150" s="5" t="inlineStr"/>
      <c r="AB150" s="5">
        <f>IFERROR(IF(VLOOKUP(D150,Revistas!$A$21:$C$400,3,FALSE)=0,"",VLOOKUP(D150,Revistas!$A$21:$C$400,3,FALSE)),"")</f>
        <v/>
      </c>
      <c r="AC150" s="5" t="inlineStr"/>
      <c r="AD150" s="5" t="inlineStr"/>
      <c r="AE150" s="5" t="inlineStr"/>
    </row>
    <row r="151">
      <c r="A151" s="3" t="inlineStr">
        <is>
          <t>EST-197</t>
        </is>
      </c>
      <c r="B151" s="3" t="n">
        <v>5203</v>
      </c>
      <c r="C151" s="3" t="inlineStr">
        <is>
          <t xml:space="preserve">The experience of using a bacteriophages-based complex antibacterial and analgesic drug in gel formulation in women who underwent various instrumental and diagnostic and treatment </t>
        </is>
      </c>
      <c r="D151" s="3" t="inlineStr">
        <is>
          <t>Gynecology</t>
        </is>
      </c>
      <c r="E151" s="3" t="inlineStr">
        <is>
          <t>2020</t>
        </is>
      </c>
      <c r="F151" s="3" t="inlineStr">
        <is>
          <t>articulo</t>
        </is>
      </c>
      <c r="G151" s="3" t="inlineStr">
        <is>
          <t>10.26442/20795696.2020.3.200199</t>
        </is>
      </c>
      <c r="H151" s="4" t="inlineStr">
        <is>
          <t>abrir</t>
        </is>
      </c>
      <c r="I151" s="5" t="inlineStr"/>
      <c r="J151" s="5" t="inlineStr">
        <is>
          <t>A</t>
        </is>
      </c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5" t="inlineStr"/>
      <c r="AA151" s="5" t="inlineStr"/>
      <c r="AB151" s="5">
        <f>IFERROR(IF(VLOOKUP(D151,Revistas!$A$21:$C$400,3,FALSE)=0,"",VLOOKUP(D151,Revistas!$A$21:$C$400,3,FALSE)),"")</f>
        <v/>
      </c>
      <c r="AC151" s="5" t="inlineStr"/>
      <c r="AD151" s="5" t="inlineStr"/>
      <c r="AE151" s="5" t="inlineStr"/>
    </row>
    <row r="152">
      <c r="A152" s="3" t="inlineStr">
        <is>
          <t>EST-198</t>
        </is>
      </c>
      <c r="B152" s="3" t="n">
        <v>5448</v>
      </c>
      <c r="C152" s="3" t="inlineStr">
        <is>
          <t>Experience of using bacteriophages in the complex treatment of children with aphthous stomatitis; [Opyt ispol'zovaniya bakteriofagov v kompleksnom lechenii detei s aftoznym stomati</t>
        </is>
      </c>
      <c r="D152" s="3" t="inlineStr">
        <is>
          <t>Stomatologiia</t>
        </is>
      </c>
      <c r="E152" s="3" t="inlineStr">
        <is>
          <t>2022</t>
        </is>
      </c>
      <c r="F152" s="3" t="inlineStr">
        <is>
          <t>articulo</t>
        </is>
      </c>
      <c r="G152" s="3" t="inlineStr">
        <is>
          <t>10.17116/stomat202210106122</t>
        </is>
      </c>
      <c r="H152" s="4" t="inlineStr">
        <is>
          <t>abrir</t>
        </is>
      </c>
      <c r="I152" s="5" t="inlineStr"/>
      <c r="J152" s="5" t="inlineStr">
        <is>
          <t>A</t>
        </is>
      </c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5" t="inlineStr"/>
      <c r="AA152" s="5" t="inlineStr"/>
      <c r="AB152" s="5">
        <f>IFERROR(IF(VLOOKUP(D152,Revistas!$A$21:$C$400,3,FALSE)=0,"",VLOOKUP(D152,Revistas!$A$21:$C$400,3,FALSE)),"")</f>
        <v/>
      </c>
      <c r="AC152" s="5" t="inlineStr"/>
      <c r="AD152" s="5" t="inlineStr"/>
      <c r="AE152" s="5" t="inlineStr"/>
    </row>
    <row r="153">
      <c r="A153" s="3" t="inlineStr">
        <is>
          <t>EST-199</t>
        </is>
      </c>
      <c r="B153" s="3" t="n">
        <v>5672</v>
      </c>
      <c r="C153" s="3" t="inlineStr">
        <is>
          <t>Successful use of a phage endolysin for treatment of chronic pelvic pain syndrome/chronic bacterial prostatitis</t>
        </is>
      </c>
      <c r="D153" s="3" t="inlineStr">
        <is>
          <t>Frontiers in Medicine</t>
        </is>
      </c>
      <c r="E153" s="3" t="inlineStr">
        <is>
          <t>2023</t>
        </is>
      </c>
      <c r="F153" s="3" t="inlineStr">
        <is>
          <t>articulo</t>
        </is>
      </c>
      <c r="G153" s="3" t="inlineStr">
        <is>
          <t>10.3389/fmed.2023.1238147</t>
        </is>
      </c>
      <c r="H153" s="4" t="inlineStr">
        <is>
          <t>abrir</t>
        </is>
      </c>
      <c r="I153" s="5" t="inlineStr"/>
      <c r="J153" s="5" t="inlineStr">
        <is>
          <t>A</t>
        </is>
      </c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5" t="inlineStr"/>
      <c r="AA153" s="5" t="inlineStr"/>
      <c r="AB153" s="5">
        <f>IFERROR(IF(VLOOKUP(D153,Revistas!$A$21:$C$400,3,FALSE)=0,"",VLOOKUP(D153,Revistas!$A$21:$C$400,3,FALSE)),"")</f>
        <v/>
      </c>
      <c r="AC153" s="5" t="inlineStr"/>
      <c r="AD153" s="5" t="inlineStr"/>
      <c r="AE153" s="5" t="inlineStr"/>
    </row>
    <row r="154">
      <c r="A154" s="3" t="inlineStr">
        <is>
          <t>EST-200</t>
        </is>
      </c>
      <c r="B154" s="3" t="n">
        <v>5731</v>
      </c>
      <c r="C154" s="3" t="inlineStr">
        <is>
          <t>Bacteriophages as an Alternative Method for Preventing Infectious Complications of Cesarean Section</t>
        </is>
      </c>
      <c r="D154" s="3" t="inlineStr">
        <is>
          <t>Reproductive Health Eastern Europe</t>
        </is>
      </c>
      <c r="E154" s="3" t="inlineStr">
        <is>
          <t>2024</t>
        </is>
      </c>
      <c r="F154" s="3" t="inlineStr">
        <is>
          <t>articulo</t>
        </is>
      </c>
      <c r="G154" s="3" t="inlineStr">
        <is>
          <t>10.34883/pi.2024.14.2.003</t>
        </is>
      </c>
      <c r="H154" s="4" t="inlineStr">
        <is>
          <t>abrir</t>
        </is>
      </c>
      <c r="I154" s="5" t="inlineStr"/>
      <c r="J154" s="5" t="inlineStr">
        <is>
          <t>A</t>
        </is>
      </c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5" t="inlineStr"/>
      <c r="AA154" s="5" t="inlineStr"/>
      <c r="AB154" s="5">
        <f>IFERROR(IF(VLOOKUP(D154,Revistas!$A$21:$C$400,3,FALSE)=0,"",VLOOKUP(D154,Revistas!$A$21:$C$400,3,FALSE)),"")</f>
        <v/>
      </c>
      <c r="AC154" s="5" t="inlineStr"/>
      <c r="AD154" s="5" t="inlineStr"/>
      <c r="AE154" s="5" t="inlineStr"/>
    </row>
    <row r="155">
      <c r="A155" s="3" t="inlineStr">
        <is>
          <t>EST-205</t>
        </is>
      </c>
      <c r="B155" s="3" t="n">
        <v>6759</v>
      </c>
      <c r="C155" s="3" t="inlineStr">
        <is>
          <t>Beneficios obtenidos con el empleo de bacteriófagos en el tratamiento de infecciones crónicas</t>
        </is>
      </c>
      <c r="D155" s="3" t="inlineStr">
        <is>
          <t>Revista Cubana de Angiología y Cirugía Vascular</t>
        </is>
      </c>
      <c r="E155" s="3" t="inlineStr">
        <is>
          <t>2017</t>
        </is>
      </c>
      <c r="F155" s="3" t="inlineStr">
        <is>
          <t>articulo</t>
        </is>
      </c>
      <c r="G155" s="3" t="inlineStr">
        <is>
          <t>cita: Rev Cubana Angiol Cir Vasc 2017</t>
        </is>
      </c>
      <c r="H155" s="4" t="inlineStr">
        <is>
          <t>abrir</t>
        </is>
      </c>
      <c r="I155" s="5" t="inlineStr"/>
      <c r="J155" s="5" t="inlineStr">
        <is>
          <t>A</t>
        </is>
      </c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5" t="inlineStr"/>
      <c r="AA155" s="5" t="inlineStr"/>
      <c r="AB155" s="5">
        <f>IFERROR(IF(VLOOKUP(D155,Revistas!$A$21:$C$400,3,FALSE)=0,"",VLOOKUP(D155,Revistas!$A$21:$C$400,3,FALSE)),"")</f>
        <v/>
      </c>
      <c r="AC155" s="5" t="inlineStr"/>
      <c r="AD155" s="5" t="inlineStr"/>
      <c r="AE155" s="5" t="inlineStr"/>
    </row>
    <row r="156">
      <c r="A156" s="3" t="inlineStr">
        <is>
          <t>EST-206</t>
        </is>
      </c>
      <c r="B156" s="3" t="n">
        <v>7588</v>
      </c>
      <c r="C156" s="3" t="inlineStr">
        <is>
          <t>[Results of the observational (non-interventional) research 'Analysis of therapeutic efficiency of the polyvalent Piobacteriophag (Secstaphag) in the treatment of acute sinusitis']</t>
        </is>
      </c>
      <c r="D156" s="3" t="inlineStr">
        <is>
          <t>Vestnik otorinolaringologii</t>
        </is>
      </c>
      <c r="E156" s="3" t="inlineStr">
        <is>
          <t>2019</t>
        </is>
      </c>
      <c r="F156" s="3" t="inlineStr">
        <is>
          <t>articulo</t>
        </is>
      </c>
      <c r="G156" s="3" t="inlineStr">
        <is>
          <t>10.17116/otorino20198405155</t>
        </is>
      </c>
      <c r="H156" s="4" t="inlineStr">
        <is>
          <t>abrir</t>
        </is>
      </c>
      <c r="I156" s="5" t="inlineStr"/>
      <c r="J156" s="5" t="inlineStr">
        <is>
          <t>A</t>
        </is>
      </c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5" t="inlineStr"/>
      <c r="V156" s="5" t="inlineStr"/>
      <c r="W156" s="5" t="inlineStr"/>
      <c r="X156" s="5" t="inlineStr"/>
      <c r="Y156" s="5" t="inlineStr"/>
      <c r="Z156" s="5" t="inlineStr"/>
      <c r="AA156" s="5" t="inlineStr"/>
      <c r="AB156" s="5">
        <f>IFERROR(IF(VLOOKUP(D156,Revistas!$A$21:$C$400,3,FALSE)=0,"",VLOOKUP(D156,Revistas!$A$21:$C$400,3,FALSE)),"")</f>
        <v/>
      </c>
      <c r="AC156" s="5" t="inlineStr"/>
      <c r="AD156" s="5" t="inlineStr"/>
      <c r="AE156" s="5" t="inlineStr"/>
    </row>
    <row r="157">
      <c r="A157" s="3" t="inlineStr">
        <is>
          <t>EST-207</t>
        </is>
      </c>
      <c r="B157" s="3" t="n">
        <v>7911</v>
      </c>
      <c r="C157" s="3" t="inlineStr">
        <is>
          <t>Successful bacteriophage treatment of infection involving cardiac implantable electronic device and aortic graft: a Trojan horse concept.</t>
        </is>
      </c>
      <c r="D157" s="3" t="inlineStr">
        <is>
          <t>Europace : European pacing, arrhythmias, and cardiac electrophysiology : journal of the working groups on cardiac pacing, arrhythmias, and cardiac cellular electrophysiology of the European Society of Cardiology</t>
        </is>
      </c>
      <c r="E157" s="3" t="inlineStr">
        <is>
          <t>2020</t>
        </is>
      </c>
      <c r="F157" s="3" t="inlineStr">
        <is>
          <t>articulo</t>
        </is>
      </c>
      <c r="G157" s="3" t="inlineStr">
        <is>
          <t>10.1093/europace/euz319</t>
        </is>
      </c>
      <c r="H157" s="4" t="inlineStr">
        <is>
          <t>abrir</t>
        </is>
      </c>
      <c r="I157" s="5" t="inlineStr"/>
      <c r="J157" s="5" t="inlineStr">
        <is>
          <t>A</t>
        </is>
      </c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5" t="inlineStr"/>
      <c r="AA157" s="5" t="inlineStr"/>
      <c r="AB157" s="5">
        <f>IFERROR(IF(VLOOKUP(D157,Revistas!$A$21:$C$400,3,FALSE)=0,"",VLOOKUP(D157,Revistas!$A$21:$C$400,3,FALSE)),"")</f>
        <v/>
      </c>
      <c r="AC157" s="5" t="inlineStr"/>
      <c r="AD157" s="5" t="inlineStr"/>
      <c r="AE157" s="5" t="inlineStr"/>
    </row>
    <row r="158">
      <c r="A158" s="3" t="inlineStr">
        <is>
          <t>EST-208</t>
        </is>
      </c>
      <c r="B158" s="3" t="n">
        <v>7950</v>
      </c>
      <c r="C158" s="3" t="inlineStr">
        <is>
          <t>Treatment of chronic left ventricular assist device infection with local application of bacteriophages.</t>
        </is>
      </c>
      <c r="D158" s="3" t="inlineStr">
        <is>
          <t>European journal of cardio-thoracic surgery : official journal of the European Association for Cardio-thoracic Surgery</t>
        </is>
      </c>
      <c r="E158" s="3" t="inlineStr">
        <is>
          <t>2020</t>
        </is>
      </c>
      <c r="F158" s="3" t="inlineStr">
        <is>
          <t>articulo</t>
        </is>
      </c>
      <c r="G158" s="3" t="inlineStr">
        <is>
          <t>10.1093/ejcts/ezz295</t>
        </is>
      </c>
      <c r="H158" s="4" t="inlineStr">
        <is>
          <t>abrir</t>
        </is>
      </c>
      <c r="I158" s="5" t="inlineStr"/>
      <c r="J158" s="5" t="inlineStr">
        <is>
          <t>A</t>
        </is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5" t="inlineStr"/>
      <c r="AA158" s="5" t="inlineStr"/>
      <c r="AB158" s="5">
        <f>IFERROR(IF(VLOOKUP(D158,Revistas!$A$21:$C$400,3,FALSE)=0,"",VLOOKUP(D158,Revistas!$A$21:$C$400,3,FALSE)),"")</f>
        <v/>
      </c>
      <c r="AC158" s="5" t="inlineStr"/>
      <c r="AD158" s="5" t="inlineStr"/>
      <c r="AE158" s="5" t="inlineStr"/>
    </row>
    <row r="159">
      <c r="A159" s="3" t="inlineStr">
        <is>
          <t>EST-212</t>
        </is>
      </c>
      <c r="B159" s="3" t="n">
        <v>8714</v>
      </c>
      <c r="C159" s="3" t="inlineStr">
        <is>
          <t>Local Treatment of Driveline Infection with Bacteriophages</t>
        </is>
      </c>
      <c r="D159" s="3" t="inlineStr">
        <is>
          <t>Antibiotics</t>
        </is>
      </c>
      <c r="E159" s="3" t="inlineStr">
        <is>
          <t>2022</t>
        </is>
      </c>
      <c r="F159" s="3" t="inlineStr">
        <is>
          <t>articulo</t>
        </is>
      </c>
      <c r="G159" s="3" t="inlineStr">
        <is>
          <t>10.3390/antibiotics11101310</t>
        </is>
      </c>
      <c r="H159" s="4" t="inlineStr">
        <is>
          <t>abrir</t>
        </is>
      </c>
      <c r="I159" s="5" t="inlineStr"/>
      <c r="J159" s="5" t="inlineStr">
        <is>
          <t>A</t>
        </is>
      </c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/>
      <c r="X159" s="5" t="inlineStr"/>
      <c r="Y159" s="5" t="inlineStr"/>
      <c r="Z159" s="5" t="inlineStr"/>
      <c r="AA159" s="5" t="inlineStr"/>
      <c r="AB159" s="5">
        <f>IFERROR(IF(VLOOKUP(D159,Revistas!$A$21:$C$400,3,FALSE)=0,"",VLOOKUP(D159,Revistas!$A$21:$C$400,3,FALSE)),"")</f>
        <v/>
      </c>
      <c r="AC159" s="5" t="inlineStr"/>
      <c r="AD159" s="5" t="inlineStr"/>
      <c r="AE159" s="5" t="inlineStr"/>
    </row>
    <row r="160">
      <c r="A160" s="3" t="inlineStr">
        <is>
          <t>EST-219</t>
        </is>
      </c>
      <c r="B160" s="3" t="n">
        <v>10811</v>
      </c>
      <c r="C160" s="3" t="inlineStr">
        <is>
          <t>Bacteriophages in complex treatment of septic diseases of the hand; [Использование лекарственных препаратов бактериофагов в комплексном лечении гнойных заболеваний кисти]</t>
        </is>
      </c>
      <c r="D160" s="3" t="inlineStr">
        <is>
          <t>Pirogov Russian Journal of Surgery</t>
        </is>
      </c>
      <c r="E160" s="3" t="inlineStr">
        <is>
          <t>2023</t>
        </is>
      </c>
      <c r="F160" s="3" t="inlineStr">
        <is>
          <t>articulo</t>
        </is>
      </c>
      <c r="G160" s="3" t="inlineStr">
        <is>
          <t>10.17116/hirurgia202309145</t>
        </is>
      </c>
      <c r="H160" s="4" t="inlineStr">
        <is>
          <t>abrir</t>
        </is>
      </c>
      <c r="I160" s="5" t="inlineStr"/>
      <c r="J160" s="5" t="inlineStr">
        <is>
          <t>A</t>
        </is>
      </c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/>
      <c r="X160" s="5" t="inlineStr"/>
      <c r="Y160" s="5" t="inlineStr"/>
      <c r="Z160" s="5" t="inlineStr"/>
      <c r="AA160" s="5" t="inlineStr"/>
      <c r="AB160" s="5">
        <f>IFERROR(IF(VLOOKUP(D160,Revistas!$A$21:$C$400,3,FALSE)=0,"",VLOOKUP(D160,Revistas!$A$21:$C$400,3,FALSE)),"")</f>
        <v/>
      </c>
      <c r="AC160" s="5" t="inlineStr"/>
      <c r="AD160" s="5" t="inlineStr"/>
      <c r="AE160" s="5" t="inlineStr"/>
    </row>
  </sheetData>
  <dataValidations count="18">
    <dataValidation sqref="K2:K240" showDropDown="0" showInputMessage="0" showErrorMessage="0" allowBlank="1" type="list">
      <formula1>"solo Pseudomonas,mixto con subgrupo de Pseudomonas"</formula1>
    </dataValidation>
    <dataValidation sqref="L2:L240" showDropDown="0" showInputMessage="0" showErrorMessage="0" allowBlank="1" type="list">
      <formula1>"MDR,XDR,PDR,por debajo del umbral MDR,no clasificable"</formula1>
    </dataValidation>
    <dataValidation sqref="M2:M240" showDropDown="0" showInputMessage="0" showErrorMessage="0" allowBlank="1" type="list">
      <formula1>"declarado por el autor,verificado de forma independiente,no clasificable"</formula1>
    </dataValidation>
    <dataValidation sqref="N2:N240" showDropDown="0" showInputMessage="0" showErrorMessage="0" allowBlank="1" type="list">
      <formula1>"si,no,no derivable"</formula1>
    </dataValidation>
    <dataValidation sqref="O2:O240" showDropDown="0" showInputMessage="0" showErrorMessage="0" allowBlank="1" type="list">
      <formula1>"IV,inhalada/nebulizada,topica/local,oral,intravesical,intraarticular,otra,NA"</formula1>
    </dataValidation>
    <dataValidation sqref="P2:P240" showDropDown="0" showInputMessage="0" showErrorMessage="0" allowBlank="1" type="list">
      <formula1>"fago en monoterapia,fago + antibiotico,fago + otro,NA"</formula1>
    </dataValidation>
    <dataValidation sqref="Q2:Q240" showDropDown="0" showInputMessage="0" showErrorMessage="0" allowBlank="1" type="list">
      <formula1>"ECA,caso clinico,serie de casos,cohorte retrospectiva,cohorte prospectiva,ensayo no aleatorizado,otra"</formula1>
    </dataValidation>
    <dataValidation sqref="R2:R240" showDropDown="0" showInputMessage="0" showErrorMessage="0" allowBlank="1" type="list">
      <formula1>"COMPLETA,PARCIAL,INCOMPLETA"</formula1>
    </dataValidation>
    <dataValidation sqref="T2:T240" showDropDown="0" showInputMessage="0" showErrorMessage="1" allowBlank="1" errorTitle="Revise la cifra" error="Debe ser un entero entre 0 y el nº de pacientes del brazo, o NA si el artículo no lo reporta." type="custom">
      <formula1>=OR(T2="NA",AND(ISNUMBER(T2),T2&gt;=0,T2&lt;=$S2))</formula1>
    </dataValidation>
    <dataValidation sqref="U2:U240" showDropDown="0" showInputMessage="0" showErrorMessage="1" allowBlank="1" errorTitle="Revise la cifra" error="Debe ser un entero entre 0 y el nº de pacientes del brazo, o NA si el artículo no lo reporta." type="custom">
      <formula1>=OR(U2="NA",AND(ISNUMBER(U2),U2&gt;=0,U2&lt;=$S2))</formula1>
    </dataValidation>
    <dataValidation sqref="V2:V240" showDropDown="0" showInputMessage="0" showErrorMessage="1" allowBlank="1" errorTitle="Revise la cifra" error="Debe ser un entero entre 0 y el nº de pacientes del brazo, o NA si el artículo no lo reporta." type="custom">
      <formula1>=OR(V2="NA",AND(ISNUMBER(V2),V2&gt;=0,V2&lt;=$S2))</formula1>
    </dataValidation>
    <dataValidation sqref="W2:W240" showDropDown="0" showInputMessage="0" showErrorMessage="1" allowBlank="1" errorTitle="Revise la cifra" error="Debe ser un entero entre 0 y el nº de pacientes del brazo, o NA si el artículo no lo reporta." type="custom">
      <formula1>=OR(W2="NA",AND(ISNUMBER(W2),W2&gt;=0,W2&lt;=$S2))</formula1>
    </dataValidation>
    <dataValidation sqref="Y2:Y240" showDropDown="0" showInputMessage="0" showErrorMessage="1" allowBlank="1" errorTitle="Revise la cifra" error="Debe ser un entero entre 0 y el nº de pacientes del brazo, o NA si el artículo no lo reporta." type="custom">
      <formula1>=OR(Y2="NA",AND(ISNUMBER(Y2),Y2&gt;=0,Y2&lt;=$S2))</formula1>
    </dataValidation>
    <dataValidation sqref="S2:S240" showDropDown="0" showInputMessage="0" showErrorMessage="1" allowBlank="1" errorTitle="Revise la cifra" error="Un número (mínimo 1) o NA si el artículo no lo reporta." type="custom">
      <formula1>=OR(S2="NA",AND(ISNUMBER(S2),S2&gt;=1))</formula1>
    </dataValidation>
    <dataValidation sqref="X2:X240" showDropDown="0" showInputMessage="0" showErrorMessage="1" allowBlank="1" errorTitle="Revise la cifra" error="Un número (mínimo 0) o NA si el artículo no lo reporta." type="custom">
      <formula1>=OR(X2="NA",AND(ISNUMBER(X2),X2&gt;=0))</formula1>
    </dataValidation>
    <dataValidation sqref="Z2:Z240" showDropDown="0" showInputMessage="0" showErrorMessage="0" allowBlank="1" type="list">
      <formula1>"2006,2007,2008,2009,2010,2011,2012,2013,2014,2015,2016,2017,2018,2019,2020,2021,2022,2023,2024,2025,2026"</formula1>
    </dataValidation>
    <dataValidation sqref="AC2:AC240" showDropDown="0" showInputMessage="0" showErrorMessage="0" allowBlank="1" type="list">
      <formula1>=Listas!$A$2:$A$29</formula1>
    </dataValidation>
    <dataValidation sqref="AE2:AE240" showDropDown="0" showInputMessage="0" showErrorMessage="0" allowBlank="1" type="list">
      <formula1>=Listas!$C$2:$C$9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6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6" customWidth="1" min="1" max="1"/>
    <col width="10" customWidth="1" min="2" max="2"/>
    <col width="16" customWidth="1" min="3" max="3"/>
    <col width="22" customWidth="1" min="4" max="4"/>
    <col width="26" customWidth="1" min="5" max="5"/>
  </cols>
  <sheetData>
    <row r="1">
      <c r="A1" s="1" t="inlineStr">
        <is>
          <t>Nivel de cada revista — se decide UNA vez por revista, no por estudio</t>
        </is>
      </c>
    </row>
    <row r="2">
      <c r="A2" t="inlineStr"/>
    </row>
    <row r="3">
      <c r="A3" t="inlineStr">
        <is>
          <t>Criterio de esta revisión (memo de estrategia, comprobación de falsación nº2):</t>
        </is>
      </c>
    </row>
    <row r="4">
      <c r="A4" t="inlineStr">
        <is>
          <t>el nivel es un indicador grueso, solo sirve para comprobar que la revista no</t>
        </is>
      </c>
    </row>
    <row r="5">
      <c r="A5" t="inlineStr">
        <is>
          <t>predice el resultado agrupado. No hace falta afinar: basta alto / medio / bajo.</t>
        </is>
      </c>
    </row>
    <row r="6">
      <c r="A6" t="inlineStr"/>
    </row>
    <row r="7">
      <c r="A7" t="inlineStr">
        <is>
          <t>alto   revista general o de infecciosas de primera línea (Nature Microbiology,</t>
        </is>
      </c>
    </row>
    <row r="8">
      <c r="A8" t="inlineStr">
        <is>
          <t xml:space="preserve">       Lancet Infect Dis, Clinical Infectious Diseases, Nature Communications…)</t>
        </is>
      </c>
    </row>
    <row r="9">
      <c r="A9" t="inlineStr">
        <is>
          <t>medio  revista especializada con revisión por pares (Viruses, Antibiotics,</t>
        </is>
      </c>
    </row>
    <row r="10">
      <c r="A10" t="inlineStr">
        <is>
          <t xml:space="preserve">       Antimicrob Agents Chemother, Frontiers…)</t>
        </is>
      </c>
    </row>
    <row r="11">
      <c r="A11" t="inlineStr">
        <is>
          <t>bajo   revista local, sin indexación reconocible o sin revisión por pares clara</t>
        </is>
      </c>
    </row>
    <row r="12">
      <c r="A12" t="inlineStr">
        <is>
          <t>solo registro   no es una revista: es una ficha de ensayo</t>
        </is>
      </c>
    </row>
    <row r="13">
      <c r="A13" t="inlineStr"/>
    </row>
    <row r="14">
      <c r="A14" t="inlineStr">
        <is>
          <t>Si duda, búsquela en scimagojr.com: Q1 y Q2 -&gt; alto o medio; Q3, Q4 o sin</t>
        </is>
      </c>
    </row>
    <row r="15">
      <c r="A15" t="inlineStr">
        <is>
          <t>cuartil -&gt; bajo. Anote la fuente en la última columna.</t>
        </is>
      </c>
    </row>
    <row r="16">
      <c r="A16" t="inlineStr"/>
    </row>
    <row r="17">
      <c r="A17" t="inlineStr">
        <is>
          <t>Las que ya traen nivel salen del corpus ya extraído de este proyecto. No las</t>
        </is>
      </c>
    </row>
    <row r="18">
      <c r="A18" t="inlineStr">
        <is>
          <t>cambie sin motivo: cambiarlas descuadra los 42 estudios ya codificados.</t>
        </is>
      </c>
    </row>
    <row r="19">
      <c r="A19" t="inlineStr"/>
    </row>
    <row r="20">
      <c r="A20" s="6" t="inlineStr">
        <is>
          <t>Revista</t>
        </is>
      </c>
      <c r="B20" s="6" t="inlineStr">
        <is>
          <t>Estudios</t>
        </is>
      </c>
      <c r="C20" s="6" t="inlineStr">
        <is>
          <t>Nivel</t>
        </is>
      </c>
      <c r="D20" s="6" t="inlineStr">
        <is>
          <t>Propuesta (confirmar)</t>
        </is>
      </c>
      <c r="E20" s="6" t="inlineStr">
        <is>
          <t>Fuente / nota</t>
        </is>
      </c>
    </row>
    <row r="21">
      <c r="A21" t="inlineStr">
        <is>
          <t>Antibiotics</t>
        </is>
      </c>
      <c r="B21" t="n">
        <v>9</v>
      </c>
      <c r="C21" t="inlineStr">
        <is>
          <t>medio</t>
        </is>
      </c>
      <c r="D21" t="inlineStr"/>
      <c r="E21" t="inlineStr">
        <is>
          <t>corpus del proyecto</t>
        </is>
      </c>
    </row>
    <row r="22">
      <c r="A22" t="inlineStr">
        <is>
          <t>Viruses</t>
        </is>
      </c>
      <c r="B22" t="n">
        <v>9</v>
      </c>
      <c r="C22" t="inlineStr">
        <is>
          <t>medio</t>
        </is>
      </c>
      <c r="D22" t="inlineStr"/>
      <c r="E22" t="inlineStr">
        <is>
          <t>corpus del proyecto</t>
        </is>
      </c>
    </row>
    <row r="23">
      <c r="A23" t="inlineStr">
        <is>
          <t>Nature Communications</t>
        </is>
      </c>
      <c r="B23" t="n">
        <v>8</v>
      </c>
      <c r="C23" t="inlineStr">
        <is>
          <t>alto</t>
        </is>
      </c>
      <c r="D23" t="inlineStr"/>
      <c r="E23" t="inlineStr">
        <is>
          <t>corpus del proyecto</t>
        </is>
      </c>
    </row>
    <row r="24">
      <c r="A24" t="inlineStr">
        <is>
          <t>Frontiers in medicine</t>
        </is>
      </c>
      <c r="B24" t="n">
        <v>6</v>
      </c>
      <c r="C24" t="inlineStr">
        <is>
          <t>medio</t>
        </is>
      </c>
      <c r="D24" t="inlineStr"/>
      <c r="E24" t="inlineStr">
        <is>
          <t>corpus del proyecto</t>
        </is>
      </c>
    </row>
    <row r="25">
      <c r="A25" t="inlineStr">
        <is>
          <t>Pirogov Russian Journal of Surgery</t>
        </is>
      </c>
      <c r="B25" t="n">
        <v>4</v>
      </c>
      <c r="C25" s="5" t="inlineStr"/>
      <c r="D25" t="inlineStr"/>
      <c r="E25" t="inlineStr">
        <is>
          <t>buscar en scimagojr.com</t>
        </is>
      </c>
    </row>
    <row r="26">
      <c r="A26" t="inlineStr">
        <is>
          <t>The international journal of lower extremity wounds</t>
        </is>
      </c>
      <c r="B26" t="n">
        <v>4</v>
      </c>
      <c r="C26" s="5" t="inlineStr"/>
      <c r="D26" t="inlineStr">
        <is>
          <t>medio</t>
        </is>
      </c>
      <c r="E26" t="inlineStr">
        <is>
          <t>propuesta: confirmar</t>
        </is>
      </c>
    </row>
    <row r="27">
      <c r="A27" t="inlineStr">
        <is>
          <t>Vestnik otorinolaringologii</t>
        </is>
      </c>
      <c r="B27" t="n">
        <v>4</v>
      </c>
      <c r="C27" s="5" t="inlineStr"/>
      <c r="D27" t="inlineStr"/>
      <c r="E27" t="inlineStr">
        <is>
          <t>buscar en scimagojr.com</t>
        </is>
      </c>
    </row>
    <row r="28">
      <c r="A28" t="inlineStr">
        <is>
          <t>Infektsionnye Bolezni</t>
        </is>
      </c>
      <c r="B28" t="n">
        <v>3</v>
      </c>
      <c r="C28" s="5" t="inlineStr"/>
      <c r="D28" t="inlineStr"/>
      <c r="E28" t="inlineStr">
        <is>
          <t>buscar en scimagojr.com</t>
        </is>
      </c>
    </row>
    <row r="29">
      <c r="A29" t="inlineStr">
        <is>
          <t>International journal of antimicrobial agents</t>
        </is>
      </c>
      <c r="B29" t="n">
        <v>3</v>
      </c>
      <c r="C29" s="5" t="inlineStr"/>
      <c r="D29" t="inlineStr">
        <is>
          <t>medio</t>
        </is>
      </c>
      <c r="E29" t="inlineStr">
        <is>
          <t>propuesta: confirmar</t>
        </is>
      </c>
    </row>
    <row r="30">
      <c r="A30" t="inlineStr">
        <is>
          <t>Med (New York, N.Y.)</t>
        </is>
      </c>
      <c r="B30" t="n">
        <v>3</v>
      </c>
      <c r="C30" t="inlineStr">
        <is>
          <t>alto</t>
        </is>
      </c>
      <c r="D30" t="inlineStr"/>
      <c r="E30" t="inlineStr">
        <is>
          <t>corpus del proyecto</t>
        </is>
      </c>
    </row>
    <row r="31">
      <c r="A31" t="inlineStr">
        <is>
          <t>Open forum infectious diseases</t>
        </is>
      </c>
      <c r="B31" t="n">
        <v>3</v>
      </c>
      <c r="C31" t="inlineStr">
        <is>
          <t>medio</t>
        </is>
      </c>
      <c r="D31" t="inlineStr"/>
      <c r="E31" t="inlineStr">
        <is>
          <t>corpus del proyecto</t>
        </is>
      </c>
    </row>
    <row r="32">
      <c r="A32" t="inlineStr">
        <is>
          <t>Reproductive Health Eastern Europe</t>
        </is>
      </c>
      <c r="B32" t="n">
        <v>3</v>
      </c>
      <c r="C32" s="5" t="inlineStr"/>
      <c r="D32" t="inlineStr"/>
      <c r="E32" t="inlineStr">
        <is>
          <t>buscar en scimagojr.com</t>
        </is>
      </c>
    </row>
    <row r="33">
      <c r="A33" t="inlineStr">
        <is>
          <t>The Lancet. Infectious diseases</t>
        </is>
      </c>
      <c r="B33" t="n">
        <v>3</v>
      </c>
      <c r="C33" t="inlineStr">
        <is>
          <t>alto</t>
        </is>
      </c>
      <c r="D33" t="inlineStr"/>
      <c r="E33" t="inlineStr">
        <is>
          <t>corpus del proyecto</t>
        </is>
      </c>
    </row>
    <row r="34">
      <c r="A34" t="inlineStr">
        <is>
          <t>Urologiia (Moscow, Russia : 1999)</t>
        </is>
      </c>
      <c r="B34" t="n">
        <v>3</v>
      </c>
      <c r="C34" s="5" t="inlineStr"/>
      <c r="D34" t="inlineStr"/>
      <c r="E34" t="inlineStr">
        <is>
          <t>buscar en scimagojr.com</t>
        </is>
      </c>
    </row>
    <row r="35">
      <c r="A35" t="inlineStr">
        <is>
          <t>Akusherstvo i Ginekologiya (Russian Federation)</t>
        </is>
      </c>
      <c r="B35" t="n">
        <v>2</v>
      </c>
      <c r="C35" s="5" t="inlineStr"/>
      <c r="D35" t="inlineStr"/>
      <c r="E35" t="inlineStr">
        <is>
          <t>buscar en scimagojr.com</t>
        </is>
      </c>
    </row>
    <row r="36">
      <c r="A36" t="inlineStr">
        <is>
          <t>Antimicrobial agents and chemotherapy</t>
        </is>
      </c>
      <c r="B36" t="n">
        <v>2</v>
      </c>
      <c r="C36" t="inlineStr">
        <is>
          <t>medio</t>
        </is>
      </c>
      <c r="D36" t="inlineStr"/>
      <c r="E36" t="inlineStr">
        <is>
          <t>corpus del proyecto</t>
        </is>
      </c>
    </row>
    <row r="37">
      <c r="A37" t="inlineStr">
        <is>
          <t>ASM case reports</t>
        </is>
      </c>
      <c r="B37" t="n">
        <v>2</v>
      </c>
      <c r="C37" t="inlineStr">
        <is>
          <t>medio</t>
        </is>
      </c>
      <c r="D37" t="inlineStr"/>
      <c r="E37" t="inlineStr">
        <is>
          <t>corpus del proyecto</t>
        </is>
      </c>
    </row>
    <row r="38">
      <c r="A38" t="inlineStr">
        <is>
          <t>Clinical infectious diseases : an official publication of the Infectious Diseases Society of America</t>
        </is>
      </c>
      <c r="B38" t="n">
        <v>2</v>
      </c>
      <c r="C38" t="inlineStr">
        <is>
          <t>alto</t>
        </is>
      </c>
      <c r="D38" t="inlineStr"/>
      <c r="E38" t="inlineStr">
        <is>
          <t>corpus del proyecto</t>
        </is>
      </c>
    </row>
    <row r="39">
      <c r="A39" t="inlineStr">
        <is>
          <t>Gynecology</t>
        </is>
      </c>
      <c r="B39" t="n">
        <v>2</v>
      </c>
      <c r="C39" s="5" t="inlineStr"/>
      <c r="D39" t="inlineStr"/>
      <c r="E39" t="inlineStr">
        <is>
          <t>buscar en scimagojr.com</t>
        </is>
      </c>
    </row>
    <row r="40">
      <c r="A40" t="inlineStr">
        <is>
          <t>International journal of infectious diseases : IJID : official publication of the International Society for Infectious Diseases</t>
        </is>
      </c>
      <c r="B40" t="n">
        <v>2</v>
      </c>
      <c r="C40" t="inlineStr">
        <is>
          <t>medio</t>
        </is>
      </c>
      <c r="D40" t="inlineStr"/>
      <c r="E40" t="inlineStr">
        <is>
          <t>corpus del proyecto</t>
        </is>
      </c>
    </row>
    <row r="41">
      <c r="A41" t="inlineStr">
        <is>
          <t>JAC-antimicrobial resistance</t>
        </is>
      </c>
      <c r="B41" t="n">
        <v>2</v>
      </c>
      <c r="C41" s="5" t="inlineStr"/>
      <c r="D41" t="inlineStr">
        <is>
          <t>medio</t>
        </is>
      </c>
      <c r="E41" t="inlineStr">
        <is>
          <t>propuesta: confirmar</t>
        </is>
      </c>
    </row>
    <row r="42">
      <c r="A42" t="inlineStr">
        <is>
          <t>Meditsinskiy Sovet</t>
        </is>
      </c>
      <c r="B42" t="n">
        <v>2</v>
      </c>
      <c r="C42" s="5" t="inlineStr"/>
      <c r="D42" t="inlineStr"/>
      <c r="E42" t="inlineStr">
        <is>
          <t>buscar en scimagojr.com</t>
        </is>
      </c>
    </row>
    <row r="43">
      <c r="A43" t="inlineStr">
        <is>
          <t>Russian Bulletin of Obstetrician-Gynecologist</t>
        </is>
      </c>
      <c r="B43" t="n">
        <v>2</v>
      </c>
      <c r="C43" s="5" t="inlineStr"/>
      <c r="D43" t="inlineStr"/>
      <c r="E43" t="inlineStr">
        <is>
          <t>buscar en scimagojr.com</t>
        </is>
      </c>
    </row>
    <row r="44">
      <c r="A44" t="inlineStr">
        <is>
          <t>Scientific reports</t>
        </is>
      </c>
      <c r="B44" t="n">
        <v>2</v>
      </c>
      <c r="C44" t="inlineStr">
        <is>
          <t>alto</t>
        </is>
      </c>
      <c r="D44" t="inlineStr"/>
      <c r="E44" t="inlineStr">
        <is>
          <t>corpus del proyecto</t>
        </is>
      </c>
    </row>
    <row r="45">
      <c r="A45" t="inlineStr">
        <is>
          <t>The Journal of heart and lung transplantation : the official publication of the International Society for Heart Transplantation</t>
        </is>
      </c>
      <c r="B45" t="n">
        <v>2</v>
      </c>
      <c r="C45" s="5" t="inlineStr"/>
      <c r="D45" t="inlineStr">
        <is>
          <t>alto</t>
        </is>
      </c>
      <c r="E45" t="inlineStr">
        <is>
          <t>propuesta: confirmar</t>
        </is>
      </c>
    </row>
    <row r="46">
      <c r="A46" t="inlineStr">
        <is>
          <t>Voprosy Prakticheskoi Pediatrii</t>
        </is>
      </c>
      <c r="B46" t="n">
        <v>2</v>
      </c>
      <c r="C46" s="5" t="inlineStr"/>
      <c r="D46" t="inlineStr"/>
      <c r="E46" t="inlineStr">
        <is>
          <t>buscar en scimagojr.com</t>
        </is>
      </c>
    </row>
    <row r="47">
      <c r="A47" t="inlineStr">
        <is>
          <t>American journal of respiratory and critical care medicine</t>
        </is>
      </c>
      <c r="B47" t="n">
        <v>1</v>
      </c>
      <c r="C47" t="inlineStr">
        <is>
          <t>alto</t>
        </is>
      </c>
      <c r="D47" t="inlineStr"/>
      <c r="E47" t="inlineStr">
        <is>
          <t>corpus del proyecto</t>
        </is>
      </c>
    </row>
    <row r="48">
      <c r="A48" t="inlineStr">
        <is>
          <t>American journal of transplantation : official journal of the American Society of Transplantation and the American Society of Transplant Surgeons</t>
        </is>
      </c>
      <c r="B48" t="n">
        <v>1</v>
      </c>
      <c r="C48" t="inlineStr">
        <is>
          <t>alto</t>
        </is>
      </c>
      <c r="D48" t="inlineStr"/>
      <c r="E48" t="inlineStr">
        <is>
          <t>corpus del proyecto</t>
        </is>
      </c>
    </row>
    <row r="49">
      <c r="A49" t="inlineStr">
        <is>
          <t>Annals of Critical Care</t>
        </is>
      </c>
      <c r="B49" t="n">
        <v>1</v>
      </c>
      <c r="C49" s="5" t="inlineStr"/>
      <c r="D49" t="inlineStr"/>
      <c r="E49" t="inlineStr">
        <is>
          <t>buscar en scimagojr.com</t>
        </is>
      </c>
    </row>
    <row r="50">
      <c r="A50" t="inlineStr">
        <is>
          <t>Annals of Vascular Surgery - Brief Reports and Innovations</t>
        </is>
      </c>
      <c r="B50" t="n">
        <v>1</v>
      </c>
      <c r="C50" s="5" t="inlineStr"/>
      <c r="D50" t="inlineStr">
        <is>
          <t>medio</t>
        </is>
      </c>
      <c r="E50" t="inlineStr">
        <is>
          <t>propuesta: confirmar</t>
        </is>
      </c>
    </row>
    <row r="51">
      <c r="A51" t="inlineStr">
        <is>
          <t>Biomedicines</t>
        </is>
      </c>
      <c r="B51" t="n">
        <v>1</v>
      </c>
      <c r="C51" s="5" t="inlineStr"/>
      <c r="D51" t="inlineStr">
        <is>
          <t>medio</t>
        </is>
      </c>
      <c r="E51" t="inlineStr">
        <is>
          <t>propuesta: confirmar</t>
        </is>
      </c>
    </row>
    <row r="52">
      <c r="A52" t="inlineStr">
        <is>
          <t>Bioscience trends</t>
        </is>
      </c>
      <c r="B52" t="n">
        <v>1</v>
      </c>
      <c r="C52" t="inlineStr">
        <is>
          <t>medio</t>
        </is>
      </c>
      <c r="D52" t="inlineStr"/>
      <c r="E52" t="inlineStr">
        <is>
          <t>corpus del proyecto</t>
        </is>
      </c>
    </row>
    <row r="53">
      <c r="A53" t="inlineStr">
        <is>
          <t>BMJ open</t>
        </is>
      </c>
      <c r="B53" t="n">
        <v>1</v>
      </c>
      <c r="C53" s="5" t="inlineStr"/>
      <c r="D53" t="inlineStr">
        <is>
          <t>medio</t>
        </is>
      </c>
      <c r="E53" t="inlineStr">
        <is>
          <t>propuesta: confirmar</t>
        </is>
      </c>
    </row>
    <row r="54">
      <c r="A54" t="inlineStr">
        <is>
          <t>BMJ open respiratory research</t>
        </is>
      </c>
      <c r="B54" t="n">
        <v>1</v>
      </c>
      <c r="C54" s="5" t="inlineStr"/>
      <c r="D54" t="inlineStr">
        <is>
          <t>medio</t>
        </is>
      </c>
      <c r="E54" t="inlineStr">
        <is>
          <t>propuesta: confirmar</t>
        </is>
      </c>
    </row>
    <row r="55">
      <c r="A55" t="inlineStr">
        <is>
          <t>Clinical Medicine Insights: Case Reports</t>
        </is>
      </c>
      <c r="B55" t="n">
        <v>1</v>
      </c>
      <c r="C55" s="5" t="inlineStr"/>
      <c r="D55" t="inlineStr">
        <is>
          <t>bajo</t>
        </is>
      </c>
      <c r="E55" t="inlineStr">
        <is>
          <t>propuesta: confirmar</t>
        </is>
      </c>
    </row>
    <row r="56">
      <c r="A56" t="inlineStr">
        <is>
          <t>Critical care (London, England)</t>
        </is>
      </c>
      <c r="B56" t="n">
        <v>1</v>
      </c>
      <c r="C56" t="inlineStr">
        <is>
          <t>alto</t>
        </is>
      </c>
      <c r="D56" t="inlineStr"/>
      <c r="E56" t="inlineStr">
        <is>
          <t>corpus del proyecto</t>
        </is>
      </c>
    </row>
    <row r="57">
      <c r="A57" t="inlineStr">
        <is>
          <t>Cureus</t>
        </is>
      </c>
      <c r="B57" t="n">
        <v>1</v>
      </c>
      <c r="C57" s="5" t="inlineStr"/>
      <c r="D57" t="inlineStr">
        <is>
          <t>bajo</t>
        </is>
      </c>
      <c r="E57" t="inlineStr">
        <is>
          <t>propuesta: confirmar</t>
        </is>
      </c>
    </row>
    <row r="58">
      <c r="A58" t="inlineStr">
        <is>
          <t>Current opinion in infectious diseases</t>
        </is>
      </c>
      <c r="B58" t="n">
        <v>1</v>
      </c>
      <c r="C58" s="5" t="inlineStr"/>
      <c r="D58" t="inlineStr"/>
      <c r="E58" t="inlineStr">
        <is>
          <t>buscar en scimagojr.com</t>
        </is>
      </c>
    </row>
    <row r="59">
      <c r="A59" t="inlineStr">
        <is>
          <t>Current Urology</t>
        </is>
      </c>
      <c r="B59" t="n">
        <v>1</v>
      </c>
      <c r="C59" s="5" t="inlineStr"/>
      <c r="D59" t="inlineStr">
        <is>
          <t>medio</t>
        </is>
      </c>
      <c r="E59" t="inlineStr">
        <is>
          <t>propuesta: confirmar</t>
        </is>
      </c>
    </row>
    <row r="60">
      <c r="A60" t="inlineStr">
        <is>
          <t>EMBO molecular medicine</t>
        </is>
      </c>
      <c r="B60" t="n">
        <v>1</v>
      </c>
      <c r="C60" t="inlineStr">
        <is>
          <t>medio</t>
        </is>
      </c>
      <c r="D60" t="inlineStr"/>
      <c r="E60" t="inlineStr">
        <is>
          <t>corpus del proyecto</t>
        </is>
      </c>
    </row>
    <row r="61">
      <c r="A61" t="inlineStr">
        <is>
          <t>Enfermedades Infecciosas y Microbiologia Clinica</t>
        </is>
      </c>
      <c r="B61" t="n">
        <v>1</v>
      </c>
      <c r="C61" s="5" t="inlineStr"/>
      <c r="D61" t="inlineStr">
        <is>
          <t>medio</t>
        </is>
      </c>
      <c r="E61" t="inlineStr">
        <is>
          <t>propuesta: confirmar</t>
        </is>
      </c>
    </row>
    <row r="62">
      <c r="A62" t="inlineStr">
        <is>
          <t>Europace : European pacing, arrhythmias, and cardiac electrophysiology : journal of the working groups on cardiac pacing, arrhythmias, and cardiac cellular electrophysiology of the European Society of Cardiology</t>
        </is>
      </c>
      <c r="B62" t="n">
        <v>1</v>
      </c>
      <c r="C62" s="5" t="inlineStr"/>
      <c r="D62" t="inlineStr">
        <is>
          <t>alto</t>
        </is>
      </c>
      <c r="E62" t="inlineStr">
        <is>
          <t>propuesta: confirmar</t>
        </is>
      </c>
    </row>
    <row r="63">
      <c r="A63" t="inlineStr">
        <is>
          <t>European journal of cardio-thoracic surgery : official journal of the European Association for Cardio-thoracic Surgery</t>
        </is>
      </c>
      <c r="B63" t="n">
        <v>1</v>
      </c>
      <c r="C63" s="5" t="inlineStr"/>
      <c r="D63" t="inlineStr">
        <is>
          <t>alto</t>
        </is>
      </c>
      <c r="E63" t="inlineStr">
        <is>
          <t>propuesta: confirmar</t>
        </is>
      </c>
    </row>
    <row r="64">
      <c r="A64" t="inlineStr">
        <is>
          <t>European urology, supplements</t>
        </is>
      </c>
      <c r="B64" t="n">
        <v>1</v>
      </c>
      <c r="C64" s="5" t="inlineStr"/>
      <c r="D64" t="inlineStr">
        <is>
          <t>medio</t>
        </is>
      </c>
      <c r="E64" t="inlineStr">
        <is>
          <t>propuesta: confirmar</t>
        </is>
      </c>
    </row>
    <row r="65">
      <c r="A65" t="inlineStr">
        <is>
          <t>Evolution, medicine, and public health</t>
        </is>
      </c>
      <c r="B65" t="n">
        <v>1</v>
      </c>
      <c r="C65" t="inlineStr">
        <is>
          <t>medio</t>
        </is>
      </c>
      <c r="D65" t="inlineStr"/>
      <c r="E65" t="inlineStr">
        <is>
          <t>corpus del proyecto</t>
        </is>
      </c>
    </row>
    <row r="66">
      <c r="A66" t="inlineStr">
        <is>
          <t>Folia microbiologica</t>
        </is>
      </c>
      <c r="B66" t="n">
        <v>1</v>
      </c>
      <c r="C66" s="5" t="inlineStr"/>
      <c r="D66" t="inlineStr">
        <is>
          <t>medio</t>
        </is>
      </c>
      <c r="E66" t="inlineStr">
        <is>
          <t>propuesta: confirmar</t>
        </is>
      </c>
    </row>
    <row r="67">
      <c r="A67" t="inlineStr">
        <is>
          <t>Frontiers in cellular and infection microbiology</t>
        </is>
      </c>
      <c r="B67" t="n">
        <v>1</v>
      </c>
      <c r="C67" s="5" t="inlineStr"/>
      <c r="D67" t="inlineStr">
        <is>
          <t>medio</t>
        </is>
      </c>
      <c r="E67" t="inlineStr">
        <is>
          <t>propuesta: confirmar</t>
        </is>
      </c>
    </row>
    <row r="68">
      <c r="A68" t="inlineStr">
        <is>
          <t>Frontiers in microbiology</t>
        </is>
      </c>
      <c r="B68" t="n">
        <v>1</v>
      </c>
      <c r="C68" s="5" t="inlineStr"/>
      <c r="D68" t="inlineStr">
        <is>
          <t>medio</t>
        </is>
      </c>
      <c r="E68" t="inlineStr">
        <is>
          <t>propuesta: confirmar</t>
        </is>
      </c>
    </row>
    <row r="69">
      <c r="A69" t="inlineStr">
        <is>
          <t>Frontiers in pharmacology</t>
        </is>
      </c>
      <c r="B69" t="n">
        <v>1</v>
      </c>
      <c r="C69" s="5" t="inlineStr"/>
      <c r="D69" t="inlineStr">
        <is>
          <t>medio</t>
        </is>
      </c>
      <c r="E69" t="inlineStr">
        <is>
          <t>propuesta: confirmar</t>
        </is>
      </c>
    </row>
    <row r="70">
      <c r="A70" t="inlineStr">
        <is>
          <t>Future microbiology</t>
        </is>
      </c>
      <c r="B70" t="n">
        <v>1</v>
      </c>
      <c r="C70" s="5" t="inlineStr"/>
      <c r="D70" t="inlineStr">
        <is>
          <t>medio</t>
        </is>
      </c>
      <c r="E70" t="inlineStr">
        <is>
          <t>propuesta: confirmar</t>
        </is>
      </c>
    </row>
    <row r="71">
      <c r="A71" t="inlineStr">
        <is>
          <t>hLife</t>
        </is>
      </c>
      <c r="B71" t="n">
        <v>1</v>
      </c>
      <c r="C71" t="inlineStr">
        <is>
          <t>medio</t>
        </is>
      </c>
      <c r="D71" t="inlineStr"/>
      <c r="E71" t="inlineStr">
        <is>
          <t>corpus del proyecto</t>
        </is>
      </c>
    </row>
    <row r="72">
      <c r="A72" t="inlineStr">
        <is>
          <t>Indian Journal of Critical Care Medicine</t>
        </is>
      </c>
      <c r="B72" t="n">
        <v>1</v>
      </c>
      <c r="C72" s="5" t="inlineStr"/>
      <c r="D72" t="inlineStr"/>
      <c r="E72" t="inlineStr">
        <is>
          <t>buscar en scimagojr.com</t>
        </is>
      </c>
    </row>
    <row r="73">
      <c r="A73" t="inlineStr">
        <is>
          <t>Infection</t>
        </is>
      </c>
      <c r="B73" t="n">
        <v>1</v>
      </c>
      <c r="C73" t="inlineStr">
        <is>
          <t>medio</t>
        </is>
      </c>
      <c r="D73" t="inlineStr"/>
      <c r="E73" t="inlineStr">
        <is>
          <t>corpus del proyecto</t>
        </is>
      </c>
    </row>
    <row r="74">
      <c r="A74" t="inlineStr">
        <is>
          <t>Infection and drug resistance</t>
        </is>
      </c>
      <c r="B74" t="n">
        <v>1</v>
      </c>
      <c r="C74" t="inlineStr">
        <is>
          <t>medio</t>
        </is>
      </c>
      <c r="D74" t="inlineStr"/>
      <c r="E74" t="inlineStr">
        <is>
          <t>corpus del proyecto</t>
        </is>
      </c>
    </row>
    <row r="75">
      <c r="A75" t="inlineStr">
        <is>
          <t>International journal of diabetes in developing countries</t>
        </is>
      </c>
      <c r="B75" t="n">
        <v>1</v>
      </c>
      <c r="C75" s="5" t="inlineStr"/>
      <c r="D75" t="inlineStr">
        <is>
          <t>bajo</t>
        </is>
      </c>
      <c r="E75" t="inlineStr">
        <is>
          <t>propuesta: confirmar</t>
        </is>
      </c>
    </row>
    <row r="76">
      <c r="A76" t="inlineStr">
        <is>
          <t>International journal of molecular sciences</t>
        </is>
      </c>
      <c r="B76" t="n">
        <v>1</v>
      </c>
      <c r="C76" s="5" t="inlineStr"/>
      <c r="D76" t="inlineStr">
        <is>
          <t>medio</t>
        </is>
      </c>
      <c r="E76" t="inlineStr">
        <is>
          <t>propuesta: confirmar</t>
        </is>
      </c>
    </row>
    <row r="77">
      <c r="A77" t="inlineStr">
        <is>
          <t>International Journal of Pediatrics and Adolescent Medicine</t>
        </is>
      </c>
      <c r="B77" t="n">
        <v>1</v>
      </c>
      <c r="C77" s="5" t="inlineStr"/>
      <c r="D77" t="inlineStr">
        <is>
          <t>bajo</t>
        </is>
      </c>
      <c r="E77" t="inlineStr">
        <is>
          <t>propuesta: confirmar</t>
        </is>
      </c>
    </row>
    <row r="78">
      <c r="A78" t="inlineStr">
        <is>
          <t>JAAD Case Reports</t>
        </is>
      </c>
      <c r="B78" t="n">
        <v>1</v>
      </c>
      <c r="C78" s="5" t="inlineStr"/>
      <c r="D78" t="inlineStr">
        <is>
          <t>medio</t>
        </is>
      </c>
      <c r="E78" t="inlineStr">
        <is>
          <t>propuesta: confirmar</t>
        </is>
      </c>
    </row>
    <row r="79">
      <c r="A79" t="inlineStr">
        <is>
          <t>Japanese Journal of Clinical Ophthalmology</t>
        </is>
      </c>
      <c r="B79" t="n">
        <v>1</v>
      </c>
      <c r="C79" s="5" t="inlineStr"/>
      <c r="D79" t="inlineStr"/>
      <c r="E79" t="inlineStr">
        <is>
          <t>buscar en scimagojr.com</t>
        </is>
      </c>
    </row>
    <row r="80">
      <c r="A80" t="inlineStr">
        <is>
          <t>Journal of chemotherapy (Florence, Italy)</t>
        </is>
      </c>
      <c r="B80" t="n">
        <v>1</v>
      </c>
      <c r="C80" s="5" t="inlineStr"/>
      <c r="D80" t="inlineStr">
        <is>
          <t>medio</t>
        </is>
      </c>
      <c r="E80" t="inlineStr">
        <is>
          <t>propuesta: confirmar</t>
        </is>
      </c>
    </row>
    <row r="81">
      <c r="A81" t="inlineStr">
        <is>
          <t>Journal of cystic fibrosis</t>
        </is>
      </c>
      <c r="B81" t="n">
        <v>1</v>
      </c>
      <c r="C81" s="5" t="inlineStr"/>
      <c r="D81" t="inlineStr">
        <is>
          <t>alto</t>
        </is>
      </c>
      <c r="E81" t="inlineStr">
        <is>
          <t>propuesta: confirmar</t>
        </is>
      </c>
    </row>
    <row r="82">
      <c r="A82" t="inlineStr">
        <is>
          <t>Journal of Drug Delivery Science and Technology</t>
        </is>
      </c>
      <c r="B82" t="n">
        <v>1</v>
      </c>
      <c r="C82" s="5" t="inlineStr"/>
      <c r="D82" t="inlineStr">
        <is>
          <t>medio</t>
        </is>
      </c>
      <c r="E82" t="inlineStr">
        <is>
          <t>propuesta: confirmar</t>
        </is>
      </c>
    </row>
    <row r="83">
      <c r="A83" t="inlineStr">
        <is>
          <t>Journal of infection and chemotherapy : official journal of the Japan Society of Chemotherapy</t>
        </is>
      </c>
      <c r="B83" t="n">
        <v>1</v>
      </c>
      <c r="C83" s="5" t="inlineStr"/>
      <c r="D83" t="inlineStr">
        <is>
          <t>medio</t>
        </is>
      </c>
      <c r="E83" t="inlineStr">
        <is>
          <t>propuesta: confirmar</t>
        </is>
      </c>
    </row>
    <row r="84">
      <c r="A84" t="inlineStr">
        <is>
          <t>Journal of investigative medicine high impact case reports</t>
        </is>
      </c>
      <c r="B84" t="n">
        <v>1</v>
      </c>
      <c r="C84" t="inlineStr">
        <is>
          <t>medio</t>
        </is>
      </c>
      <c r="D84" t="inlineStr"/>
      <c r="E84" t="inlineStr">
        <is>
          <t>corpus del proyecto</t>
        </is>
      </c>
    </row>
    <row r="85">
      <c r="A85" t="inlineStr">
        <is>
          <t>Journal of Plastic, Reconstructive and Aesthetic Surgery</t>
        </is>
      </c>
      <c r="B85" t="n">
        <v>1</v>
      </c>
      <c r="C85" s="5" t="inlineStr"/>
      <c r="D85" t="inlineStr">
        <is>
          <t>medio</t>
        </is>
      </c>
      <c r="E85" t="inlineStr">
        <is>
          <t>propuesta: confirmar</t>
        </is>
      </c>
    </row>
    <row r="86">
      <c r="A86" t="inlineStr">
        <is>
          <t>Journal of the Pediatric Infectious Diseases Society</t>
        </is>
      </c>
      <c r="B86" t="n">
        <v>1</v>
      </c>
      <c r="C86" t="inlineStr">
        <is>
          <t>medio</t>
        </is>
      </c>
      <c r="D86" t="inlineStr"/>
      <c r="E86" t="inlineStr">
        <is>
          <t>corpus del proyecto</t>
        </is>
      </c>
    </row>
    <row r="87">
      <c r="A87" t="inlineStr">
        <is>
          <t>Klinichna khirurhiia / Ministerstvo okhorony zdorov'ia Ukraïny, Naukove tovarystvo khirurhiv Ukraïny</t>
        </is>
      </c>
      <c r="B87" t="n">
        <v>1</v>
      </c>
      <c r="C87" s="5" t="inlineStr"/>
      <c r="D87" t="inlineStr"/>
      <c r="E87" t="inlineStr">
        <is>
          <t>buscar en scimagojr.com</t>
        </is>
      </c>
    </row>
    <row r="88">
      <c r="A88" t="inlineStr">
        <is>
          <t>Medical Immunology (Russia)</t>
        </is>
      </c>
      <c r="B88" t="n">
        <v>1</v>
      </c>
      <c r="C88" s="5" t="inlineStr"/>
      <c r="D88" t="inlineStr"/>
      <c r="E88" t="inlineStr">
        <is>
          <t>buscar en scimagojr.com</t>
        </is>
      </c>
    </row>
    <row r="89">
      <c r="A89" t="inlineStr">
        <is>
          <t>Medicine in Microecology</t>
        </is>
      </c>
      <c r="B89" t="n">
        <v>1</v>
      </c>
      <c r="C89" s="5" t="inlineStr"/>
      <c r="D89" t="inlineStr">
        <is>
          <t>bajo</t>
        </is>
      </c>
      <c r="E89" t="inlineStr">
        <is>
          <t>propuesta: confirmar</t>
        </is>
      </c>
    </row>
    <row r="90">
      <c r="A90" t="inlineStr">
        <is>
          <t>Methods in molecular biology (Clifton, N.J.)</t>
        </is>
      </c>
      <c r="B90" t="n">
        <v>1</v>
      </c>
      <c r="C90" s="5" t="inlineStr"/>
      <c r="D90" t="inlineStr">
        <is>
          <t>no aplica (serie de libros)</t>
        </is>
      </c>
      <c r="E90" t="inlineStr">
        <is>
          <t>propuesta: confirmar</t>
        </is>
      </c>
    </row>
    <row r="91">
      <c r="A91" t="inlineStr">
        <is>
          <t>Microbial biotechnology</t>
        </is>
      </c>
      <c r="B91" t="n">
        <v>1</v>
      </c>
      <c r="C91" t="inlineStr">
        <is>
          <t>medio</t>
        </is>
      </c>
      <c r="D91" t="inlineStr"/>
      <c r="E91" t="inlineStr">
        <is>
          <t>corpus del proyecto</t>
        </is>
      </c>
    </row>
    <row r="92">
      <c r="A92" t="inlineStr">
        <is>
          <t>mLife</t>
        </is>
      </c>
      <c r="B92" t="n">
        <v>1</v>
      </c>
      <c r="C92" t="inlineStr">
        <is>
          <t>medio</t>
        </is>
      </c>
      <c r="D92" t="inlineStr"/>
      <c r="E92" t="inlineStr">
        <is>
          <t>corpus del proyecto</t>
        </is>
      </c>
    </row>
    <row r="93">
      <c r="A93" t="inlineStr">
        <is>
          <t>Nature medicine</t>
        </is>
      </c>
      <c r="B93" t="n">
        <v>1</v>
      </c>
      <c r="C93" t="inlineStr">
        <is>
          <t>alto</t>
        </is>
      </c>
      <c r="D93" t="inlineStr"/>
      <c r="E93" t="inlineStr">
        <is>
          <t>corpus del proyecto</t>
        </is>
      </c>
    </row>
    <row r="94">
      <c r="A94" t="inlineStr">
        <is>
          <t>Nature microbiology</t>
        </is>
      </c>
      <c r="B94" t="n">
        <v>1</v>
      </c>
      <c r="C94" t="inlineStr">
        <is>
          <t>alto</t>
        </is>
      </c>
      <c r="D94" t="inlineStr"/>
      <c r="E94" t="inlineStr">
        <is>
          <t>corpus del proyecto</t>
        </is>
      </c>
    </row>
    <row r="95">
      <c r="A95" t="inlineStr">
        <is>
          <t>Nephrology dialysis transplantation</t>
        </is>
      </c>
      <c r="B95" t="n">
        <v>1</v>
      </c>
      <c r="C95" s="5" t="inlineStr"/>
      <c r="D95" t="inlineStr">
        <is>
          <t>alto</t>
        </is>
      </c>
      <c r="E95" t="inlineStr">
        <is>
          <t>propuesta: confirmar</t>
        </is>
      </c>
    </row>
    <row r="96">
      <c r="A96" t="inlineStr">
        <is>
          <t>Novosti Khirurgii</t>
        </is>
      </c>
      <c r="B96" t="n">
        <v>1</v>
      </c>
      <c r="C96" s="5" t="inlineStr"/>
      <c r="D96" t="inlineStr"/>
      <c r="E96" t="inlineStr">
        <is>
          <t>buscar en scimagojr.com</t>
        </is>
      </c>
    </row>
    <row r="97">
      <c r="A97" t="inlineStr">
        <is>
          <t>Obshchaya Reanimatologiya</t>
        </is>
      </c>
      <c r="B97" t="n">
        <v>1</v>
      </c>
      <c r="C97" s="5" t="inlineStr"/>
      <c r="D97" t="inlineStr"/>
      <c r="E97" t="inlineStr">
        <is>
          <t>buscar en scimagojr.com</t>
        </is>
      </c>
    </row>
    <row r="98">
      <c r="A98" t="inlineStr">
        <is>
          <t>Obstetrics, Gynecology and Reproduction</t>
        </is>
      </c>
      <c r="B98" t="n">
        <v>1</v>
      </c>
      <c r="C98" s="5" t="inlineStr"/>
      <c r="D98" t="inlineStr"/>
      <c r="E98" t="inlineStr">
        <is>
          <t>buscar en scimagojr.com</t>
        </is>
      </c>
    </row>
    <row r="99">
      <c r="A99" t="inlineStr">
        <is>
          <t>Otolaryngologia polska = The Polish otolaryngology</t>
        </is>
      </c>
      <c r="B99" t="n">
        <v>1</v>
      </c>
      <c r="C99" s="5" t="inlineStr"/>
      <c r="D99" t="inlineStr"/>
      <c r="E99" t="inlineStr">
        <is>
          <t>buscar en scimagojr.com</t>
        </is>
      </c>
    </row>
    <row r="100">
      <c r="A100" t="inlineStr">
        <is>
          <t>Otology &amp; neurotology : official publication of the American Otological Society, American Neurotology Society [and] European Academy of Otology and Neurotology</t>
        </is>
      </c>
      <c r="B100" t="n">
        <v>1</v>
      </c>
      <c r="C100" t="inlineStr">
        <is>
          <t>medio</t>
        </is>
      </c>
      <c r="D100" t="inlineStr"/>
      <c r="E100" t="inlineStr">
        <is>
          <t>corpus del proyecto</t>
        </is>
      </c>
    </row>
    <row r="101">
      <c r="A101" t="inlineStr">
        <is>
          <t>Pediatriya - Zhurnal im G.N. Speranskogo</t>
        </is>
      </c>
      <c r="B101" t="n">
        <v>1</v>
      </c>
      <c r="C101" s="5" t="inlineStr"/>
      <c r="D101" t="inlineStr"/>
      <c r="E101" t="inlineStr">
        <is>
          <t>buscar en scimagojr.com</t>
        </is>
      </c>
    </row>
    <row r="102">
      <c r="A102" t="inlineStr">
        <is>
          <t>PHAGE: Therapy, Applications, and Research</t>
        </is>
      </c>
      <c r="B102" t="n">
        <v>1</v>
      </c>
      <c r="C102" s="5" t="inlineStr"/>
      <c r="D102" t="inlineStr">
        <is>
          <t>medio</t>
        </is>
      </c>
      <c r="E102" t="inlineStr">
        <is>
          <t>propuesta: confirmar</t>
        </is>
      </c>
    </row>
    <row r="103">
      <c r="A103" t="inlineStr">
        <is>
          <t>Pharmaceutisch Weekblad</t>
        </is>
      </c>
      <c r="B103" t="n">
        <v>1</v>
      </c>
      <c r="C103" s="5" t="inlineStr"/>
      <c r="D103" t="inlineStr"/>
      <c r="E103" t="inlineStr">
        <is>
          <t>buscar en scimagojr.com</t>
        </is>
      </c>
    </row>
    <row r="104">
      <c r="A104" t="inlineStr">
        <is>
          <t>Revista Cubana de Angiología y Cirugía Vascular</t>
        </is>
      </c>
      <c r="B104" t="n">
        <v>1</v>
      </c>
      <c r="C104" s="5" t="inlineStr"/>
      <c r="D104" t="inlineStr"/>
      <c r="E104" t="inlineStr">
        <is>
          <t>buscar en scimagojr.com</t>
        </is>
      </c>
    </row>
    <row r="105">
      <c r="A105" t="inlineStr">
        <is>
          <t>Russian Journal of Anesthesiology and Reanimatology /Anesteziologiya i Reanimatologiya</t>
        </is>
      </c>
      <c r="B105" t="n">
        <v>1</v>
      </c>
      <c r="C105" s="5" t="inlineStr"/>
      <c r="D105" t="inlineStr"/>
      <c r="E105" t="inlineStr">
        <is>
          <t>buscar en scimagojr.com</t>
        </is>
      </c>
    </row>
    <row r="106">
      <c r="A106" t="inlineStr">
        <is>
          <t>Russian Journal of Human Reproduction</t>
        </is>
      </c>
      <c r="B106" t="n">
        <v>1</v>
      </c>
      <c r="C106" s="5" t="inlineStr"/>
      <c r="D106" t="inlineStr"/>
      <c r="E106" t="inlineStr">
        <is>
          <t>buscar en scimagojr.com</t>
        </is>
      </c>
    </row>
    <row r="107">
      <c r="A107" t="inlineStr">
        <is>
          <t>Russian Journal of Infection and Immunity</t>
        </is>
      </c>
      <c r="B107" t="n">
        <v>1</v>
      </c>
      <c r="C107" s="5" t="inlineStr"/>
      <c r="D107" t="inlineStr"/>
      <c r="E107" t="inlineStr">
        <is>
          <t>buscar en scimagojr.com</t>
        </is>
      </c>
    </row>
    <row r="108">
      <c r="A108" t="inlineStr">
        <is>
          <t>Russian Medical Inquiry</t>
        </is>
      </c>
      <c r="B108" t="n">
        <v>1</v>
      </c>
      <c r="C108" s="5" t="inlineStr"/>
      <c r="D108" t="inlineStr"/>
      <c r="E108" t="inlineStr">
        <is>
          <t>buscar en scimagojr.com</t>
        </is>
      </c>
    </row>
    <row r="109">
      <c r="A109" t="inlineStr">
        <is>
          <t>Stomatologiia</t>
        </is>
      </c>
      <c r="B109" t="n">
        <v>1</v>
      </c>
      <c r="C109" s="5" t="inlineStr"/>
      <c r="D109" t="inlineStr"/>
      <c r="E109" t="inlineStr">
        <is>
          <t>buscar en scimagojr.com</t>
        </is>
      </c>
    </row>
    <row r="110">
      <c r="A110" t="inlineStr">
        <is>
          <t>Surgical Chronicles</t>
        </is>
      </c>
      <c r="B110" t="n">
        <v>1</v>
      </c>
      <c r="C110" s="5" t="inlineStr"/>
      <c r="D110" t="inlineStr"/>
      <c r="E110" t="inlineStr">
        <is>
          <t>buscar en scimagojr.com</t>
        </is>
      </c>
    </row>
    <row r="111">
      <c r="A111" t="inlineStr">
        <is>
          <t>The Journal of antimicrobial chemotherapy</t>
        </is>
      </c>
      <c r="B111" t="n">
        <v>1</v>
      </c>
      <c r="C111" t="inlineStr">
        <is>
          <t>medio</t>
        </is>
      </c>
      <c r="D111" t="inlineStr"/>
      <c r="E111" t="inlineStr">
        <is>
          <t>corpus del proyecto</t>
        </is>
      </c>
    </row>
    <row r="112">
      <c r="A112" t="inlineStr">
        <is>
          <t>The Journal of pediatrics</t>
        </is>
      </c>
      <c r="B112" t="n">
        <v>1</v>
      </c>
      <c r="C112" t="inlineStr">
        <is>
          <t>alto</t>
        </is>
      </c>
      <c r="D112" t="inlineStr"/>
      <c r="E112" t="inlineStr">
        <is>
          <t>corpus del proyecto</t>
        </is>
      </c>
    </row>
    <row r="113">
      <c r="A113" t="inlineStr">
        <is>
          <t>Trials</t>
        </is>
      </c>
      <c r="B113" t="n">
        <v>1</v>
      </c>
      <c r="C113" s="5" t="inlineStr"/>
      <c r="D113" t="inlineStr">
        <is>
          <t>medio</t>
        </is>
      </c>
      <c r="E113" t="inlineStr">
        <is>
          <t>propuesta: confirmar</t>
        </is>
      </c>
    </row>
    <row r="114">
      <c r="A114" t="inlineStr">
        <is>
          <t>Ugeskrift for laeger</t>
        </is>
      </c>
      <c r="B114" t="n">
        <v>1</v>
      </c>
      <c r="C114" t="inlineStr">
        <is>
          <t>medio</t>
        </is>
      </c>
      <c r="D114" t="inlineStr"/>
      <c r="E114" t="inlineStr">
        <is>
          <t>corpus del proyecto</t>
        </is>
      </c>
    </row>
    <row r="115">
      <c r="A115" t="inlineStr">
        <is>
          <t>Virus research</t>
        </is>
      </c>
      <c r="B115" t="n">
        <v>1</v>
      </c>
      <c r="C115" s="5" t="inlineStr"/>
      <c r="D115" t="inlineStr">
        <is>
          <t>medio</t>
        </is>
      </c>
      <c r="E115" t="inlineStr">
        <is>
          <t>propuesta: confirmar</t>
        </is>
      </c>
    </row>
    <row r="116">
      <c r="A116" t="inlineStr">
        <is>
          <t>Wiadomosci lekarskie (Warsaw, Poland : 1960)</t>
        </is>
      </c>
      <c r="B116" t="n">
        <v>1</v>
      </c>
      <c r="C116" s="5" t="inlineStr"/>
      <c r="D116" t="inlineStr"/>
      <c r="E116" t="inlineStr">
        <is>
          <t>buscar en scimagojr.com</t>
        </is>
      </c>
    </row>
  </sheetData>
  <dataValidations count="1">
    <dataValidation sqref="C21:C116" showDropDown="0" showInputMessage="0" showErrorMessage="0" allowBlank="1" type="list">
      <formula1>"alto,medio,bajo,solo registro"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8" customWidth="1" min="3" max="3"/>
  </cols>
  <sheetData>
    <row r="1">
      <c r="A1" s="6" t="inlineStr">
        <is>
          <t>País</t>
        </is>
      </c>
      <c r="B1" s="6" t="inlineStr">
        <is>
          <t>Nivel de revista</t>
        </is>
      </c>
      <c r="C1" s="6" t="inlineStr">
        <is>
          <t>Motivo si quedó incompleto</t>
        </is>
      </c>
    </row>
    <row r="2">
      <c r="A2" t="inlineStr">
        <is>
          <t>Alemania</t>
        </is>
      </c>
      <c r="B2" t="inlineStr">
        <is>
          <t>alto</t>
        </is>
      </c>
      <c r="C2" t="inlineStr">
        <is>
          <t>NA</t>
        </is>
      </c>
    </row>
    <row r="3">
      <c r="A3" t="inlineStr">
        <is>
          <t>Australia</t>
        </is>
      </c>
      <c r="B3" t="inlineStr">
        <is>
          <t>medio</t>
        </is>
      </c>
      <c r="C3" t="inlineStr">
        <is>
          <t>texto completo no accesible</t>
        </is>
      </c>
    </row>
    <row r="4">
      <c r="A4" t="inlineStr">
        <is>
          <t>Bélgica</t>
        </is>
      </c>
      <c r="B4" t="inlineStr">
        <is>
          <t>bajo</t>
        </is>
      </c>
      <c r="C4" t="inlineStr">
        <is>
          <t>el artículo no separa los datos de P. aeruginosa</t>
        </is>
      </c>
    </row>
    <row r="5">
      <c r="A5" t="inlineStr">
        <is>
          <t>Canadá</t>
        </is>
      </c>
      <c r="B5" t="inlineStr">
        <is>
          <t>solo registro</t>
        </is>
      </c>
      <c r="C5" t="inlineStr">
        <is>
          <t>el artículo no reporta este desenlace</t>
        </is>
      </c>
    </row>
    <row r="6">
      <c r="A6" t="inlineStr">
        <is>
          <t>China</t>
        </is>
      </c>
      <c r="C6" t="inlineStr">
        <is>
          <t>solo resumen de congreso: datos limitados</t>
        </is>
      </c>
    </row>
    <row r="7">
      <c r="A7" t="inlineStr">
        <is>
          <t>Corea del Sur</t>
        </is>
      </c>
      <c r="C7" t="inlineStr">
        <is>
          <t>datos solo del estudio entero, no por brazo</t>
        </is>
      </c>
    </row>
    <row r="8">
      <c r="A8" t="inlineStr">
        <is>
          <t>Dinamarca</t>
        </is>
      </c>
      <c r="C8" t="inlineStr">
        <is>
          <t>el antibiograma no permite clasificar la resistencia</t>
        </is>
      </c>
    </row>
    <row r="9">
      <c r="A9" t="inlineStr">
        <is>
          <t>Ecuador</t>
        </is>
      </c>
      <c r="C9" t="inlineStr">
        <is>
          <t>otro (explicar al lado)</t>
        </is>
      </c>
    </row>
    <row r="10">
      <c r="A10" t="inlineStr">
        <is>
          <t>España</t>
        </is>
      </c>
    </row>
    <row r="11">
      <c r="A11" t="inlineStr">
        <is>
          <t>Estados Unidos</t>
        </is>
      </c>
    </row>
    <row r="12">
      <c r="A12" t="inlineStr">
        <is>
          <t>Francia</t>
        </is>
      </c>
    </row>
    <row r="13">
      <c r="A13" t="inlineStr">
        <is>
          <t>Georgia</t>
        </is>
      </c>
    </row>
    <row r="14">
      <c r="A14" t="inlineStr">
        <is>
          <t>India</t>
        </is>
      </c>
    </row>
    <row r="15">
      <c r="A15" t="inlineStr">
        <is>
          <t>Irán</t>
        </is>
      </c>
    </row>
    <row r="16">
      <c r="A16" t="inlineStr">
        <is>
          <t>Israel</t>
        </is>
      </c>
    </row>
    <row r="17">
      <c r="A17" t="inlineStr">
        <is>
          <t>Italia</t>
        </is>
      </c>
    </row>
    <row r="18">
      <c r="A18" t="inlineStr">
        <is>
          <t>Japón</t>
        </is>
      </c>
    </row>
    <row r="19">
      <c r="A19" t="inlineStr">
        <is>
          <t>Letonia</t>
        </is>
      </c>
    </row>
    <row r="20">
      <c r="A20" t="inlineStr">
        <is>
          <t>Países Bajos</t>
        </is>
      </c>
    </row>
    <row r="21">
      <c r="A21" t="inlineStr">
        <is>
          <t>Polonia</t>
        </is>
      </c>
    </row>
    <row r="22">
      <c r="A22" t="inlineStr">
        <is>
          <t>Reino Unido</t>
        </is>
      </c>
    </row>
    <row r="23">
      <c r="A23" t="inlineStr">
        <is>
          <t>Rusia</t>
        </is>
      </c>
    </row>
    <row r="24">
      <c r="A24" t="inlineStr">
        <is>
          <t>Singapur</t>
        </is>
      </c>
    </row>
    <row r="25">
      <c r="A25" t="inlineStr">
        <is>
          <t>Suiza</t>
        </is>
      </c>
    </row>
    <row r="26">
      <c r="A26" t="inlineStr">
        <is>
          <t>Turquía</t>
        </is>
      </c>
    </row>
    <row r="27">
      <c r="A27" t="inlineStr">
        <is>
          <t>multicéntrico (Europa)</t>
        </is>
      </c>
    </row>
    <row r="28">
      <c r="A28" t="inlineStr">
        <is>
          <t>multicéntrico (internacional)</t>
        </is>
      </c>
    </row>
    <row r="29">
      <c r="A29" t="inlineStr">
        <is>
          <t>otro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8" customWidth="1" min="1" max="1"/>
    <col width="86" customWidth="1" min="2" max="2"/>
    <col width="52" customWidth="1" min="3" max="3"/>
  </cols>
  <sheetData>
    <row r="1">
      <c r="A1" s="6" t="inlineStr">
        <is>
          <t>Columna</t>
        </is>
      </c>
      <c r="B1" s="6" t="inlineStr">
        <is>
          <t>Qué se contesta</t>
        </is>
      </c>
      <c r="C1" s="6" t="inlineStr">
        <is>
          <t>Opciones</t>
        </is>
      </c>
    </row>
    <row r="2">
      <c r="A2" s="7" t="inlineStr">
        <is>
          <t>Id del estudio (Autor+Año)</t>
        </is>
      </c>
      <c r="B2" s="7" t="inlineStr">
        <is>
          <t>Apellido del primer autor pegado al año: Tkhilaishvili2020. Sin espacios ni tildes.</t>
        </is>
      </c>
      <c r="C2" s="7" t="inlineStr"/>
    </row>
    <row r="3">
      <c r="A3" s="7" t="inlineStr">
        <is>
          <t>Brazo</t>
        </is>
      </c>
      <c r="B3" s="7" t="inlineStr">
        <is>
          <t>A si el estudio da un solo grupo de datos. Si separa desenlaces por clase de resistencia, usa A, B, C.</t>
        </is>
      </c>
      <c r="C3" s="7" t="inlineStr"/>
    </row>
    <row r="4">
      <c r="A4" s="7" t="inlineStr">
        <is>
          <t>¿Solo P. aeruginosa o mixto?</t>
        </is>
      </c>
      <c r="B4" s="7" t="inlineStr">
        <is>
          <t>Solo Pseudomonas si todos los pacientes tenían P. aeruginosa. Mixto si había otras bacterias PERO el artículo permite separar los de Pseudomonas.</t>
        </is>
      </c>
      <c r="C4" s="7" t="inlineStr">
        <is>
          <t>solo Pseudomonas · mixto con subgrupo de Pseudomonas</t>
        </is>
      </c>
    </row>
    <row r="5">
      <c r="A5" s="7" t="inlineStr">
        <is>
          <t>Clase de resistencia</t>
        </is>
      </c>
      <c r="B5" s="7" t="inlineStr">
        <is>
          <t>MDR, XDR o PDR según Magiorakos. Si el antibiograma no alcanza para clasificar, pon 'no clasificable'.</t>
        </is>
      </c>
      <c r="C5" s="7" t="inlineStr">
        <is>
          <t>MDR · XDR · PDR · por debajo del umbral MDR · no clasificable</t>
        </is>
      </c>
    </row>
    <row r="6">
      <c r="A6" s="7" t="inlineStr">
        <is>
          <t>¿De dónde sale esa clase?</t>
        </is>
      </c>
      <c r="B6" s="7" t="inlineStr">
        <is>
          <t>¿Lo dice el autor y lo aceptaste, o lo verificaste tú con el antibiograma? Importa para el riesgo de sesgo.</t>
        </is>
      </c>
      <c r="C6" s="7" t="inlineStr">
        <is>
          <t>declarado por el autor · verificado de forma independiente · no clasificable</t>
        </is>
      </c>
    </row>
    <row r="7">
      <c r="A7" s="7" t="inlineStr">
        <is>
          <t>¿Cumple criterio DTR?</t>
        </is>
      </c>
      <c r="B7" s="7" t="inlineStr">
        <is>
          <t>Difficult-to-Treat Resistance (Kadri 2018, PMID 30052813). NO es MDR con otro nombre: pregunta si se agotaron los antibióticos de PRIMERA LÍNEA (carbapenémicos, otros betalactámicos, fluoroquinolonas). Los de RESERVA -- colistina, aminoglucósidos, tigeciclina -- y los posteriores a 2018 -- ceftazidima-avibactam, cefiderocol -- NO cuentan: son aquello a lo que el DTR obliga a recurrir.
SÍ: el artículo documenta sensibilidad SOLO a agentes de reserva.
NO: basta UN agente de primera línea sensible documentado.
NO DERIVABLE: el resto.
Ojo: esta revisión ya definió mal este campo una vez (exigía 'todos los betalactámicos', más estricto que Kadri) y fabricó no-derivabilidad. Si duda entre 'no' y 'no derivable', mire si hay UN solo agente de primera línea sensible.</t>
        </is>
      </c>
      <c r="C7" s="7" t="inlineStr">
        <is>
          <t>si · no · no derivable</t>
        </is>
      </c>
    </row>
    <row r="8">
      <c r="A8" s="7" t="inlineStr">
        <is>
          <t>Vía de administración</t>
        </is>
      </c>
      <c r="B8" s="7" t="inlineStr">
        <is>
          <t>Por dónde se administró el fago. Si fueron varias vías, elige 'otra' y explica en el paréntesis.</t>
        </is>
      </c>
      <c r="C8" s="7" t="inlineStr">
        <is>
          <t>IV · inhalada/nebulizada · topica/local · oral · intravesical · intraarticular · otra · NA</t>
        </is>
      </c>
    </row>
    <row r="9">
      <c r="A9" s="7" t="inlineStr">
        <is>
          <t>¿Fago solo o con antibiótico?</t>
        </is>
      </c>
      <c r="B9" s="7" t="inlineStr">
        <is>
          <t>¿El fago fue solo, o junto con antibióticos?</t>
        </is>
      </c>
      <c r="C9" s="7" t="inlineStr">
        <is>
          <t>fago en monoterapia · fago + antibiotico · fago + otro · NA</t>
        </is>
      </c>
    </row>
    <row r="10">
      <c r="A10" s="7" t="inlineStr">
        <is>
          <t>Diseño del estudio</t>
        </is>
      </c>
      <c r="B10" s="7" t="inlineStr">
        <is>
          <t>Lo que el artículo ES, no lo que dice ser. Un 'estudio' de un paciente es un caso clínico.</t>
        </is>
      </c>
      <c r="C10" s="7" t="inlineStr">
        <is>
          <t>ECA · caso clinico · serie de casos · cohorte retrospectiva · cohorte prospectiva · ensayo no aleatorizado · otra</t>
        </is>
      </c>
    </row>
    <row r="11">
      <c r="A11" s="7" t="inlineStr">
        <is>
          <t>Estado de esta extracción</t>
        </is>
      </c>
      <c r="B11" s="7" t="inlineStr">
        <is>
          <t>COMPLETA si sacaste todo lo que el artículo daba. PARCIAL o INCOMPLETA si te faltó algo, y explícalo en la última columna.</t>
        </is>
      </c>
      <c r="C11" s="7" t="inlineStr">
        <is>
          <t>COMPLETA · PARCIAL · INCOMPLETA</t>
        </is>
      </c>
    </row>
    <row r="12">
      <c r="A12" s="7" t="inlineStr">
        <is>
          <t>Pacientes en este brazo</t>
        </is>
      </c>
      <c r="B12" s="7" t="inlineStr">
        <is>
          <t>Cuántos pacientes hay en ESTE brazo, no en todo el estudio.</t>
        </is>
      </c>
      <c r="C12" s="7" t="inlineStr"/>
    </row>
    <row r="13">
      <c r="A13" s="7" t="inlineStr">
        <is>
          <t>Éxito clínico (nº pacientes)</t>
        </is>
      </c>
      <c r="B13" s="7" t="inlineStr">
        <is>
          <t>Cuántos pacientes de este brazo mejoraron, según la definición del propio autor. Si no lo reporta, NA.</t>
        </is>
      </c>
      <c r="C13" s="7" t="inlineStr"/>
    </row>
    <row r="14">
      <c r="A14" s="7" t="inlineStr">
        <is>
          <t>Eventos adversos (nº)</t>
        </is>
      </c>
      <c r="B14" s="7" t="inlineStr">
        <is>
          <t>Cuántos pacientes tuvieron algún evento adverso. Cero notificados se escribe 0, no NA.</t>
        </is>
      </c>
      <c r="C14" s="7" t="inlineStr"/>
    </row>
    <row r="15">
      <c r="A15" s="7" t="inlineStr">
        <is>
          <t>Erradicación microbiológica (nº)</t>
        </is>
      </c>
      <c r="B15" s="7" t="inlineStr">
        <is>
          <t>En cuántos desapareció la bacteria en cultivo.</t>
        </is>
      </c>
      <c r="C15" s="7" t="inlineStr"/>
    </row>
    <row r="16">
      <c r="A16" s="7" t="inlineStr">
        <is>
          <t>Fallecidos (nº)</t>
        </is>
      </c>
      <c r="B16" s="7" t="inlineStr">
        <is>
          <t>Cuántos fallecieron durante el seguimiento.</t>
        </is>
      </c>
      <c r="C16" s="7" t="inlineStr"/>
    </row>
    <row r="17">
      <c r="A17" s="7" t="inlineStr">
        <is>
          <t>Estancia hospitalaria (días)</t>
        </is>
      </c>
      <c r="B17" s="7" t="inlineStr">
        <is>
          <t>Días de hospitalización. Casi ningún caso clínico lo reporta: NA es lo normal aquí.</t>
        </is>
      </c>
      <c r="C17" s="7" t="inlineStr"/>
    </row>
    <row r="18">
      <c r="A18" s="7" t="inlineStr">
        <is>
          <t>Aparición de resistencia al fago (nº)</t>
        </is>
      </c>
      <c r="B18" s="7" t="inlineStr">
        <is>
          <t>En cuántos apareció resistencia al fago durante el tratamiento.</t>
        </is>
      </c>
      <c r="C18" s="7" t="inlineStr"/>
    </row>
    <row r="19">
      <c r="A19" s="7" t="inlineStr">
        <is>
          <t>Año de publicación</t>
        </is>
      </c>
      <c r="B19" s="7" t="inlineStr">
        <is>
          <t>Año del artículo.</t>
        </is>
      </c>
      <c r="C19" s="7" t="inlineStr"/>
    </row>
    <row r="20">
      <c r="A20" s="7" t="inlineStr">
        <is>
          <t>¿Cómo define el AUTOR el éxito clínico?</t>
        </is>
      </c>
      <c r="B20" s="7" t="inlineStr">
        <is>
          <t>COPIA la definición del autor, no escribas la tuya. Es lo que después permite ver si todos midieron lo mismo.</t>
        </is>
      </c>
      <c r="C20" s="7" t="inlineStr"/>
    </row>
    <row r="21">
      <c r="A21" s="7" t="inlineStr">
        <is>
          <t>Nivel de la revista</t>
        </is>
      </c>
      <c r="B21" s="7" t="inlineStr">
        <is>
          <t>Nombre de la revista, y si es de alto o medio impacto: 'alto (Nature Microbiology)'.</t>
        </is>
      </c>
      <c r="C21" s="7" t="inlineStr"/>
    </row>
    <row r="22">
      <c r="A22" s="7" t="inlineStr">
        <is>
          <t>País del estudio</t>
        </is>
      </c>
      <c r="B22" s="7" t="inlineStr">
        <is>
          <t>País y ciudad si consta: 'Alemania (Berlín)'.</t>
        </is>
      </c>
      <c r="C22" s="7" t="inlineStr"/>
    </row>
    <row r="23">
      <c r="A23" s="7" t="inlineStr">
        <is>
          <t>¿Dónde viste estos datos?</t>
        </is>
      </c>
      <c r="B23" s="7" t="inlineStr">
        <is>
          <t>Página, tabla o figura de donde sacaste los números: 'p.3 Results, Tabla 2'. Obligatorio para cualquier cifra.</t>
        </is>
      </c>
      <c r="C23" s="7" t="inlineStr"/>
    </row>
    <row r="24">
      <c r="A24" s="7" t="inlineStr">
        <is>
          <t>Si algo quedó incompleto, ¿por qué?</t>
        </is>
      </c>
      <c r="B24" s="7" t="inlineStr">
        <is>
          <t>Qué faltó y por qué. NA si no faltó nada.</t>
        </is>
      </c>
      <c r="C24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8" customWidth="1" min="3" max="3"/>
  </cols>
  <sheetData>
    <row r="1">
      <c r="A1" s="1" t="inlineStr">
        <is>
          <t>Dos ejemplos resueltos</t>
        </is>
      </c>
    </row>
    <row r="2">
      <c r="A2" t="inlineStr">
        <is>
          <t>Salen de estudios que ya se extrajeron en este proyecto.</t>
        </is>
      </c>
    </row>
    <row r="3">
      <c r="A3" t="inlineStr"/>
    </row>
    <row r="4">
      <c r="A4" s="1" t="inlineStr">
        <is>
          <t>EJEMPLO 1 — un solo brazo</t>
        </is>
      </c>
    </row>
    <row r="5">
      <c r="A5" t="inlineStr">
        <is>
          <t>Tkhilaishvili 2020. Un paciente con infección de prótesis por P. aeruginosa XDR,</t>
        </is>
      </c>
    </row>
    <row r="6">
      <c r="A6" t="inlineStr">
        <is>
          <t>tratado con fago más antibiótico por vía local. Curó.</t>
        </is>
      </c>
    </row>
    <row r="7">
      <c r="A7" t="inlineStr"/>
    </row>
    <row r="8">
      <c r="A8" s="6" t="inlineStr">
        <is>
          <t>Columna</t>
        </is>
      </c>
      <c r="B8" s="6" t="inlineStr">
        <is>
          <t>Qué escribí</t>
        </is>
      </c>
      <c r="C8" s="6" t="inlineStr">
        <is>
          <t>Por qué</t>
        </is>
      </c>
    </row>
    <row r="9">
      <c r="A9" t="inlineStr">
        <is>
          <t>Id del estudio (Autor+Año)</t>
        </is>
      </c>
      <c r="B9" s="5" t="inlineStr">
        <is>
          <t>Tkhilaishvili2020</t>
        </is>
      </c>
      <c r="C9" t="inlineStr">
        <is>
          <t>apellido pegado al año</t>
        </is>
      </c>
    </row>
    <row r="10">
      <c r="A10" t="inlineStr">
        <is>
          <t>Brazo</t>
        </is>
      </c>
      <c r="B10" s="5" t="inlineStr">
        <is>
          <t>A</t>
        </is>
      </c>
      <c r="C10" t="inlineStr">
        <is>
          <t>un solo brazo</t>
        </is>
      </c>
    </row>
    <row r="11">
      <c r="A11" t="inlineStr">
        <is>
          <t>Pacientes en este brazo</t>
        </is>
      </c>
      <c r="B11" s="5" t="inlineStr">
        <is>
          <t>1</t>
        </is>
      </c>
      <c r="C11" t="inlineStr">
        <is>
          <t>pacientes de este brazo</t>
        </is>
      </c>
    </row>
    <row r="12">
      <c r="A12" t="inlineStr">
        <is>
          <t>¿Solo P. aeruginosa o mixto?</t>
        </is>
      </c>
      <c r="B12" s="5" t="inlineStr">
        <is>
          <t>solo Pseudomonas</t>
        </is>
      </c>
      <c r="C12" t="inlineStr"/>
    </row>
    <row r="13">
      <c r="A13" t="inlineStr">
        <is>
          <t>Clase de resistencia</t>
        </is>
      </c>
      <c r="B13" s="5" t="inlineStr">
        <is>
          <t>XDR</t>
        </is>
      </c>
      <c r="C13" t="inlineStr">
        <is>
          <t>según el antibiograma</t>
        </is>
      </c>
    </row>
    <row r="14">
      <c r="A14" t="inlineStr">
        <is>
          <t>¿De dónde sale esa clase?</t>
        </is>
      </c>
      <c r="B14" s="5" t="inlineStr">
        <is>
          <t>verificado de forma independiente</t>
        </is>
      </c>
      <c r="C14" t="inlineStr">
        <is>
          <t>lo verifiqué yo con Magiorakos; no me fié de la etiqueta del autor</t>
        </is>
      </c>
    </row>
    <row r="15">
      <c r="A15" t="inlineStr">
        <is>
          <t>¿Cumple criterio DTR?</t>
        </is>
      </c>
      <c r="B15" s="5" t="inlineStr">
        <is>
          <t>no derivable</t>
        </is>
      </c>
      <c r="C15" t="inlineStr">
        <is>
          <t>el artículo no da lo necesario</t>
        </is>
      </c>
    </row>
    <row r="16">
      <c r="A16" t="inlineStr">
        <is>
          <t>Vía de administración</t>
        </is>
      </c>
      <c r="B16" s="5" t="inlineStr">
        <is>
          <t>topica/local</t>
        </is>
      </c>
      <c r="C16" t="inlineStr"/>
    </row>
    <row r="17">
      <c r="A17" t="inlineStr">
        <is>
          <t>¿Fago solo o con antibiótico?</t>
        </is>
      </c>
      <c r="B17" s="5" t="inlineStr">
        <is>
          <t>fago + antibiotico</t>
        </is>
      </c>
      <c r="C17" t="inlineStr"/>
    </row>
    <row r="18">
      <c r="A18" t="inlineStr">
        <is>
          <t>Éxito clínico (nº pacientes)</t>
        </is>
      </c>
      <c r="B18" s="5" t="inlineStr">
        <is>
          <t>1</t>
        </is>
      </c>
      <c r="C18" t="inlineStr">
        <is>
          <t>de 1 paciente</t>
        </is>
      </c>
    </row>
    <row r="19">
      <c r="A19" t="inlineStr">
        <is>
          <t>¿Cómo define el AUTOR el éxito clínico?</t>
        </is>
      </c>
      <c r="B19" s="5" t="inlineStr">
        <is>
          <t>Infección erradicada; sin dolor, PCR normal, sin aflojamiento a 10 meses</t>
        </is>
      </c>
      <c r="C19" t="inlineStr">
        <is>
          <t>la definición DEL AUTOR, copiada, no la mía</t>
        </is>
      </c>
    </row>
    <row r="20">
      <c r="A20" t="inlineStr">
        <is>
          <t>Eventos adversos (nº)</t>
        </is>
      </c>
      <c r="B20" s="5" t="inlineStr">
        <is>
          <t>0</t>
        </is>
      </c>
      <c r="C20" t="inlineStr">
        <is>
          <t>cero notificados; NO es lo mismo que NA</t>
        </is>
      </c>
    </row>
    <row r="21">
      <c r="A21" t="inlineStr">
        <is>
          <t>Erradicación microbiológica (nº)</t>
        </is>
      </c>
      <c r="B21" s="5" t="inlineStr">
        <is>
          <t>1</t>
        </is>
      </c>
      <c r="C21" t="inlineStr"/>
    </row>
    <row r="22">
      <c r="A22" t="inlineStr">
        <is>
          <t>Fallecidos (nº)</t>
        </is>
      </c>
      <c r="B22" s="5" t="inlineStr">
        <is>
          <t>0</t>
        </is>
      </c>
      <c r="C22" t="inlineStr"/>
    </row>
    <row r="23">
      <c r="A23" t="inlineStr">
        <is>
          <t>Estancia hospitalaria (días)</t>
        </is>
      </c>
      <c r="B23" s="5" t="inlineStr">
        <is>
          <t>NA</t>
        </is>
      </c>
      <c r="C23" t="inlineStr">
        <is>
          <t>el artículo no lo dice</t>
        </is>
      </c>
    </row>
    <row r="24">
      <c r="A24" t="inlineStr">
        <is>
          <t>Aparición de resistencia al fago (nº)</t>
        </is>
      </c>
      <c r="B24" s="5" t="inlineStr">
        <is>
          <t>NA</t>
        </is>
      </c>
      <c r="C24" t="inlineStr">
        <is>
          <t>el artículo no lo dice</t>
        </is>
      </c>
    </row>
    <row r="25">
      <c r="A25" t="inlineStr">
        <is>
          <t>Diseño del estudio</t>
        </is>
      </c>
      <c r="B25" s="5" t="inlineStr">
        <is>
          <t>caso clinico</t>
        </is>
      </c>
      <c r="C25" t="inlineStr"/>
    </row>
    <row r="26">
      <c r="A26" t="inlineStr">
        <is>
          <t>Año de publicación</t>
        </is>
      </c>
      <c r="B26" s="5" t="inlineStr">
        <is>
          <t>2020</t>
        </is>
      </c>
      <c r="C26" t="inlineStr"/>
    </row>
    <row r="27">
      <c r="A27" t="inlineStr">
        <is>
          <t>Nivel de la revista</t>
        </is>
      </c>
      <c r="B27" s="5" t="inlineStr">
        <is>
          <t>medio (Antimicrob Agents Chemother)</t>
        </is>
      </c>
      <c r="C27" t="inlineStr"/>
    </row>
    <row r="28">
      <c r="A28" t="inlineStr">
        <is>
          <t>País del estudio</t>
        </is>
      </c>
      <c r="B28" s="5" t="inlineStr">
        <is>
          <t>Alemania (Berlín)</t>
        </is>
      </c>
      <c r="C28" t="inlineStr"/>
    </row>
    <row r="29">
      <c r="A29" t="inlineStr">
        <is>
          <t>¿Dónde viste estos datos?</t>
        </is>
      </c>
      <c r="B29" s="5" t="inlineStr">
        <is>
          <t>pp.1-2 Case Presentation; Tabla 1 antibiograma</t>
        </is>
      </c>
      <c r="C29" t="inlineStr">
        <is>
          <t>dónde lo vi; obligatorio para cualquier cifra</t>
        </is>
      </c>
    </row>
    <row r="30">
      <c r="A30" t="inlineStr">
        <is>
          <t>Estado de esta extracción</t>
        </is>
      </c>
      <c r="B30" s="5" t="inlineStr">
        <is>
          <t>COMPLETA</t>
        </is>
      </c>
      <c r="C30" t="inlineStr"/>
    </row>
    <row r="31">
      <c r="A31" t="inlineStr">
        <is>
          <t>Si algo quedó incompleto, ¿por qué?</t>
        </is>
      </c>
      <c r="B31" s="5" t="inlineStr">
        <is>
          <t>NA</t>
        </is>
      </c>
      <c r="C31" t="inlineStr"/>
    </row>
    <row r="32">
      <c r="A32" t="inlineStr"/>
    </row>
    <row r="33">
      <c r="A33" s="1" t="inlineStr">
        <is>
          <t>EJEMPLO 2 — varios brazos</t>
        </is>
      </c>
    </row>
    <row r="34">
      <c r="A34" t="inlineStr">
        <is>
          <t>Pirnay 2024, cohorte de 100 casos. Aquí está el error más común:</t>
        </is>
      </c>
    </row>
    <row r="35">
      <c r="A35" s="1" t="inlineStr">
        <is>
          <t>los brazos NO son grupos de tratamiento, son clases de resistencia.</t>
        </is>
      </c>
    </row>
    <row r="36">
      <c r="A36" t="inlineStr">
        <is>
          <t>Todos los pacientes recibieron lo mismo, fago más antibiótico. Lo que separa</t>
        </is>
      </c>
    </row>
    <row r="37">
      <c r="A37" t="inlineStr">
        <is>
          <t>las filas es que el artículo permite contar desenlaces aparte en XDR, MDR y PDR.</t>
        </is>
      </c>
    </row>
    <row r="38">
      <c r="A38" t="inlineStr">
        <is>
          <t>Se copia la fila tres veces, con el MISMO Nº y el Brazo en A, B y C.</t>
        </is>
      </c>
    </row>
    <row r="39">
      <c r="A39" t="inlineStr"/>
    </row>
    <row r="40">
      <c r="A40" s="6" t="inlineStr">
        <is>
          <t>Brazo</t>
        </is>
      </c>
      <c r="B40" s="6" t="inlineStr">
        <is>
          <t>Clase de resistencia</t>
        </is>
      </c>
      <c r="C40" s="6" t="inlineStr">
        <is>
          <t>Pacientes</t>
        </is>
      </c>
      <c r="D40" s="6" t="inlineStr">
        <is>
          <t>Éxito clínico</t>
        </is>
      </c>
      <c r="E40" s="6" t="inlineStr">
        <is>
          <t>Eventos adversos</t>
        </is>
      </c>
      <c r="F40" s="6" t="inlineStr">
        <is>
          <t>Fallecidos</t>
        </is>
      </c>
    </row>
    <row r="41">
      <c r="A41" s="5" t="inlineStr">
        <is>
          <t>A</t>
        </is>
      </c>
      <c r="B41" s="5" t="inlineStr">
        <is>
          <t>XDR</t>
        </is>
      </c>
      <c r="C41" s="5" t="n">
        <v>7</v>
      </c>
      <c r="D41" s="5" t="n">
        <v>6</v>
      </c>
      <c r="E41" s="5" t="n">
        <v>2</v>
      </c>
      <c r="F41" s="5" t="n">
        <v>2</v>
      </c>
    </row>
    <row r="42">
      <c r="A42" s="5" t="inlineStr">
        <is>
          <t>B</t>
        </is>
      </c>
      <c r="B42" s="5" t="inlineStr">
        <is>
          <t>MDR</t>
        </is>
      </c>
      <c r="C42" s="5" t="n">
        <v>23</v>
      </c>
      <c r="D42" s="5" t="n">
        <v>16</v>
      </c>
      <c r="E42" s="5" t="n">
        <v>4</v>
      </c>
      <c r="F42" s="5" t="n">
        <v>2</v>
      </c>
    </row>
    <row r="43">
      <c r="A43" s="5" t="inlineStr">
        <is>
          <t>C</t>
        </is>
      </c>
      <c r="B43" s="5" t="inlineStr">
        <is>
          <t>PDR</t>
        </is>
      </c>
      <c r="C43" s="5" t="n">
        <v>2</v>
      </c>
      <c r="D43" s="5" t="n">
        <v>1</v>
      </c>
      <c r="E43" s="5" t="n">
        <v>0</v>
      </c>
      <c r="F43" s="5" t="n">
        <v>0</v>
      </c>
    </row>
    <row r="44">
      <c r="A44" t="inlineStr"/>
    </row>
    <row r="45">
      <c r="A45" t="inlineStr">
        <is>
          <t>El resto de columnas (vía, modalidad, revista, país…) se repite igual en las tres.</t>
        </is>
      </c>
    </row>
    <row r="46">
      <c r="A46" t="inlineStr">
        <is>
          <t>Si el artículo NO permite separar por clase de resistencia, no invente brazos:</t>
        </is>
      </c>
    </row>
    <row r="47">
      <c r="A47" t="inlineStr">
        <is>
          <t>una sola fila y la clase en 'no clasificable'.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2026-08-09T02:45:59Z</dcterms:created>
  <dcterms:modified xsi:type="dcterms:W3CDTF">2026-08-09T02:45:59Z</dcterms:modified>
</cp:coreProperties>
</file>