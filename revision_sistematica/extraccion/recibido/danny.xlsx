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Extraccion" sheetId="2" r:id="rId5"/>
    <sheet state="visible" name="Revistas" sheetId="3" r:id="rId6"/>
    <sheet state="visible" name="Listas" sheetId="4" r:id="rId7"/>
    <sheet state="visible" name="Diccionario" sheetId="5" r:id="rId8"/>
    <sheet state="visible" name="Ejemplo" sheetId="6" r:id="rId9"/>
  </sheets>
  <definedNames/>
  <calcPr/>
  <extLst>
    <ext uri="GoogleSheetsCustomDataVersion2">
      <go:sheetsCustomData xmlns:go="http://customooxmlschemas.google.com/" r:id="rId10" roundtripDataChecksum="pHbxUn5afW8Rgsp+qHS2I80/Llrw6zKAZLI7B023Z70="/>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ID#AAACFYyEaG0
Guía de extracción    (2026-08-09 02:48:32)
Clave con la que se cruzan las dos extracciones. NO la modifique.</t>
      </text>
    </comment>
    <comment authorId="0" ref="B1">
      <text>
        <t xml:space="preserve">======
ID#AAACFYyEaGg
Guía de extracción    (2026-08-09 02:48:32)
Posición en el pozo cribado.</t>
      </text>
    </comment>
    <comment authorId="0" ref="F1">
      <text>
        <t xml:space="preserve">======
ID#AAACFYqNOZ4
Guía de extracción    (2026-08-09 02:48:32)
Artículo, resumen de congreso o ficha de registro.</t>
      </text>
    </comment>
    <comment authorId="0" ref="G1">
      <text>
        <t xml:space="preserve">======
ID#AAACFYyEaG4
Guía de extracción    (2026-08-09 02:48:32)
DOI, PMID o identificador de registro.</t>
      </text>
    </comment>
    <comment authorId="0" ref="H1">
      <text>
        <t xml:space="preserve">======
ID#AAACFYqNOaU
Guía de extracción    (2026-08-09 02:48:32)
Clic para abrirlo en el navegador.</t>
      </text>
    </comment>
    <comment authorId="0" ref="I1">
      <text>
        <t xml:space="preserve">======
ID#AAACFYqNOZw
Guía de extracción    (2026-08-09 02:48:32)
Apellido del primer autor pegado al año: Tkhilaishvili2020. Sin espacios ni tildes.</t>
      </text>
    </comment>
    <comment authorId="0" ref="J1">
      <text>
        <t xml:space="preserve">======
ID#AAACFYqNOaE
Guía de extracción    (2026-08-09 02:48:32)
A si el estudio da un solo grupo de datos. Si separa desenlaces por clase de resistencia, usa A, B, C.</t>
      </text>
    </comment>
    <comment authorId="0" ref="K1">
      <text>
        <t xml:space="preserve">======
ID#AAACFYqNOaQ
Guía de extracción    (2026-08-09 02:48:32)
Solo Pseudomonas si todos los pacientes tenían P. aeruginosa. Mixto si había otras bacterias PERO el artículo permite separar los de Pseudomonas.</t>
      </text>
    </comment>
    <comment authorId="0" ref="L1">
      <text>
        <t xml:space="preserve">======
ID#AAACFYyEaGY
Guía de extracción    (2026-08-09 02:48:32)
MDR, XDR o PDR según Magiorakos. Si el antibiograma no alcanza para clasificar, pon 'no clasificable'.</t>
      </text>
    </comment>
    <comment authorId="0" ref="M1">
      <text>
        <t xml:space="preserve">======
ID#AAACFYqNOaA
Guía de extracción    (2026-08-09 02:48:32)
¿Lo dice el autor y lo aceptaste, o lo verificaste tú con el antibiograma? Importa para el riesgo de sesgo.</t>
      </text>
    </comment>
    <comment authorId="0" ref="N1">
      <text>
        <t xml:space="preserve">======
ID#AAACFYyEaGw
Guía de extracción    (2026-08-09 02:48:32)
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el artículo documenta sensibilidad SOLO a agentes de reserva.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t>
      </text>
    </comment>
    <comment authorId="0" ref="O1">
      <text>
        <t xml:space="preserve">======
ID#AAACFYyEaGo
Guía de extracción    (2026-08-09 02:48:32)
Por dónde se administró el fago. Si fueron varias vías, elige 'otra' y explica en el paréntesis.</t>
      </text>
    </comment>
    <comment authorId="0" ref="P1">
      <text>
        <t xml:space="preserve">======
ID#AAACFYyEaGs
Guía de extracción    (2026-08-09 02:48:32)
¿El fago fue solo, o junto con antibióticos?</t>
      </text>
    </comment>
    <comment authorId="0" ref="Q1">
      <text>
        <t xml:space="preserve">======
ID#AAACFYqNOao
Guía de extracción    (2026-08-09 02:48:32)
Lo que el artículo ES, no lo que dice ser. Un 'estudio' de un paciente es un caso clínico.</t>
      </text>
    </comment>
    <comment authorId="0" ref="R1">
      <text>
        <t xml:space="preserve">======
ID#AAACFYqNOak
Guía de extracción    (2026-08-09 02:48:32)
COMPLETA si sacaste todo lo que el artículo daba. PARCIAL o INCOMPLETA si te faltó algo, y explícalo en la última columna.</t>
      </text>
    </comment>
    <comment authorId="0" ref="S1">
      <text>
        <t xml:space="preserve">======
ID#AAACFYqNOZ0
Guía de extracción    (2026-08-09 02:48:32)
Cuántos pacientes hay en ESTE brazo, no en todo el estudio.</t>
      </text>
    </comment>
    <comment authorId="0" ref="T1">
      <text>
        <t xml:space="preserve">======
ID#AAACFYqNOZo
Guía de extracción    (2026-08-09 02:48:32)
Cuántos pacientes de este brazo mejoraron, según la definición del propio autor. Si no lo reporta, NA.</t>
      </text>
    </comment>
    <comment authorId="0" ref="U1">
      <text>
        <t xml:space="preserve">======
ID#AAACFYqNOZg
Guía de extracción    (2026-08-09 02:48:32)
Cuántos pacientes tuvieron algún evento adverso. Cero notificados se escribe 0, no NA.</t>
      </text>
    </comment>
    <comment authorId="0" ref="V1">
      <text>
        <t xml:space="preserve">======
ID#AAACFYqNOaM
Guía de extracción    (2026-08-09 02:48:32)
En cuántos desapareció la bacteria en cultivo.</t>
      </text>
    </comment>
    <comment authorId="0" ref="W1">
      <text>
        <t xml:space="preserve">======
ID#AAACFYyEaGc
Guía de extracción    (2026-08-09 02:48:32)
Cuántos fallecieron durante el seguimiento.</t>
      </text>
    </comment>
    <comment authorId="0" ref="X1">
      <text>
        <t xml:space="preserve">======
ID#AAACFYqNOZ8
Guía de extracción    (2026-08-09 02:48:32)
Días de hospitalización. Casi ningún caso clínico lo reporta: NA es lo normal aquí.</t>
      </text>
    </comment>
    <comment authorId="0" ref="Y1">
      <text>
        <t xml:space="preserve">======
ID#AAACFYqNOaY
Guía de extracción    (2026-08-09 02:48:32)
En cuántos apareció resistencia al fago durante el tratamiento.</t>
      </text>
    </comment>
    <comment authorId="0" ref="Z1">
      <text>
        <t xml:space="preserve">======
ID#AAACFYqNOZk
Guía de extracción    (2026-08-09 02:48:32)
Año del artículo.</t>
      </text>
    </comment>
    <comment authorId="0" ref="AA1">
      <text>
        <t xml:space="preserve">======
ID#AAACFYqNOZs
Guía de extracción    (2026-08-09 02:48:32)
COPIA la definición del autor, no escribas la tuya. Es lo que después permite ver si todos midieron lo mismo.</t>
      </text>
    </comment>
    <comment authorId="0" ref="AB1">
      <text>
        <t xml:space="preserve">======
ID#AAACFYqNOag
Guía de extracción    (2026-08-09 02:48:32)
Nombre de la revista, y si es de alto o medio impacto: 'alto (Nature Microbiology)'.</t>
      </text>
    </comment>
    <comment authorId="0" ref="AC1">
      <text>
        <t xml:space="preserve">======
ID#AAACFYyEaGk
Guía de extracción    (2026-08-09 02:48:32)
País y ciudad si consta: 'Alemania (Berlín)'.</t>
      </text>
    </comment>
    <comment authorId="0" ref="AD1">
      <text>
        <t xml:space="preserve">======
ID#AAACFYqNOac
Guía de extracción    (2026-08-09 02:48:32)
Página, tabla o figura de donde sacaste los números: 'p.3 Results, Tabla 2'. Obligatorio para cualquier cifra.</t>
      </text>
    </comment>
    <comment authorId="0" ref="AE1">
      <text>
        <t xml:space="preserve">======
ID#AAACFYqNOaI
Guía de extracción    (2026-08-09 02:48:32)
Qué faltó y por qué. NA si no faltó nada.</t>
      </text>
    </comment>
  </commentList>
  <extLst>
    <ext uri="GoogleSheetsCustomDataVersion2">
      <go:sheetsCustomData xmlns:go="http://customooxmlschemas.google.com/" r:id="rId1" roundtripDataSignature="AMtx7mgSQqBrHwU+g8eScOaZb/+1Rtlkww=="/>
    </ext>
  </extLst>
</comments>
</file>

<file path=xl/sharedStrings.xml><?xml version="1.0" encoding="utf-8"?>
<sst xmlns="http://schemas.openxmlformats.org/spreadsheetml/2006/main" count="2119" uniqueCount="862">
  <si>
    <t>Nivel de cada revista — se decide UNA vez por revista, no por estudio</t>
  </si>
  <si>
    <t>Nº</t>
  </si>
  <si>
    <t>Formulario de extracción — Danny Valdiviezo</t>
  </si>
  <si>
    <t>País</t>
  </si>
  <si>
    <t>Criterio de esta revisión (memo de estrategia, comprobación de falsación nº2):</t>
  </si>
  <si>
    <t>2026-08-08 · los 159 estudios extraíbles</t>
  </si>
  <si>
    <t>el nivel es un indicador grueso, solo sirve para comprobar que la revista no</t>
  </si>
  <si>
    <t>Empiece por la hoja Ejemplo. Son dos estudios ya resueltos.</t>
  </si>
  <si>
    <t>Lo que no debe hacer</t>
  </si>
  <si>
    <t>predice el resultado agrupado. No hace falta afinar: basta alto / medio / bajo.</t>
  </si>
  <si>
    <t>No abra el formulario del otro revisor ni el archivo de extracción del proyecto.</t>
  </si>
  <si>
    <t>alto   revista general o de infecciosas de primera línea (Nature Microbiology,</t>
  </si>
  <si>
    <t>Hay 42 estudios que ya se extrajeron y aun así salen en blanco aquí, a propósito:</t>
  </si>
  <si>
    <t>la comparación posterior solo mide algo si usted no vio lo que puso el otro.</t>
  </si>
  <si>
    <t xml:space="preserve">       Lancet Infect Dis, Clinical Infectious Diseases, Nature Communications…)</t>
  </si>
  <si>
    <t>Las columnas</t>
  </si>
  <si>
    <t>medio  revista especializada con revisión por pares (Viruses, Antibiotics,</t>
  </si>
  <si>
    <t>Grises (A a G): identifican el estudio. No se tocan. La primera, Nº, es la clave</t>
  </si>
  <si>
    <t>Pos.</t>
  </si>
  <si>
    <t xml:space="preserve">       Antimicrob Agents Chemother, Frontiers…)</t>
  </si>
  <si>
    <t>con la que se cruzan las dos extracciones; si la cambia, se rompe el cruce.</t>
  </si>
  <si>
    <t>bajo   revista local, sin indexación reconocible o sin revisión por pares clara</t>
  </si>
  <si>
    <t>Título del artículo</t>
  </si>
  <si>
    <t>Amarillas: son suyas. Pase el ratón por cada encabezado y sale una nota</t>
  </si>
  <si>
    <t>explicando qué va en esa columna.</t>
  </si>
  <si>
    <t>solo registro   no es una revista: es una ficha de ensayo</t>
  </si>
  <si>
    <t>Revista</t>
  </si>
  <si>
    <t>Una fila por brazo</t>
  </si>
  <si>
    <t>Un brazo es un grupo de pacientes cuyos desenlaces el artículo permite contar</t>
  </si>
  <si>
    <t>Si duda, búsquela en scimagojr.com: Q1 y Q2 -&gt; alto o medio; Q3, Q4 o sin</t>
  </si>
  <si>
    <t>Año</t>
  </si>
  <si>
    <t>aparte. Casi siempre eso significa clase de resistencia, no grupo de tratamiento.</t>
  </si>
  <si>
    <t>Si hay varios: copie la fila entera, péguela debajo, deje el mismo Nº y cambie</t>
  </si>
  <si>
    <t>cuartil -&gt; bajo. Anote la fuente en la última columna.</t>
  </si>
  <si>
    <t>el Brazo a B, C… Si el artículo no permite separarlos, una sola fila.</t>
  </si>
  <si>
    <t>Tipo</t>
  </si>
  <si>
    <t>Las que ya traen nivel salen del corpus ya extraído de este proyecto. No las</t>
  </si>
  <si>
    <t>NA y celda vacía no son lo mismo</t>
  </si>
  <si>
    <t>cambie sin motivo: cambiarlas descuadra los 42 estudios ya codificados.</t>
  </si>
  <si>
    <t>Cómo encontrarlo</t>
  </si>
  <si>
    <t>NA quiere decir que el artículo no lo reporta. Vacío quiere decir que usted</t>
  </si>
  <si>
    <t>todavía no lo ha mirado. El programa que compara los distingue.</t>
  </si>
  <si>
    <t>Abrir artículo</t>
  </si>
  <si>
    <t>Los desplegables admiten texto</t>
  </si>
  <si>
    <t>Si ninguna opción encaja, escriba encima: otra (instilación intravesical).</t>
  </si>
  <si>
    <t>Id del estudio (Autor+Año)</t>
  </si>
  <si>
    <t>Lo que va entre paréntesis no afecta a la concordancia, así que explíquese.</t>
  </si>
  <si>
    <t>Al terminar</t>
  </si>
  <si>
    <t>Brazo</t>
  </si>
  <si>
    <t>Estudios</t>
  </si>
  <si>
    <t>Guarde el archivo sin cambiarle el nombre y devuélvalo a quien coordina.</t>
  </si>
  <si>
    <t>¿Solo P. aeruginosa o mixto?</t>
  </si>
  <si>
    <t>Nivel</t>
  </si>
  <si>
    <t>Nivel de revista</t>
  </si>
  <si>
    <t>Clase de resistencia</t>
  </si>
  <si>
    <t>Propuesta (confirmar)</t>
  </si>
  <si>
    <t>Motivo si quedó incompleto</t>
  </si>
  <si>
    <t>¿De dónde sale esa clase?</t>
  </si>
  <si>
    <t>Alemania</t>
  </si>
  <si>
    <t>Fuente / nota</t>
  </si>
  <si>
    <t>alto</t>
  </si>
  <si>
    <t>NA</t>
  </si>
  <si>
    <t>¿Cumple criterio DTR?</t>
  </si>
  <si>
    <t>Australia</t>
  </si>
  <si>
    <t>Antibiotics</t>
  </si>
  <si>
    <t>medio</t>
  </si>
  <si>
    <t>texto completo no accesible</t>
  </si>
  <si>
    <t>Vía de administración</t>
  </si>
  <si>
    <t>Bélgica</t>
  </si>
  <si>
    <t>bajo</t>
  </si>
  <si>
    <t>el artículo no separa los datos de P. aeruginosa</t>
  </si>
  <si>
    <t>Canadá</t>
  </si>
  <si>
    <t>solo registro</t>
  </si>
  <si>
    <t>el artículo no reporta este desenlace</t>
  </si>
  <si>
    <t>¿Fago solo o con antibiótico?</t>
  </si>
  <si>
    <t>China</t>
  </si>
  <si>
    <t>solo resumen de congreso: datos limitados</t>
  </si>
  <si>
    <t>Corea del Sur</t>
  </si>
  <si>
    <t>datos solo del estudio entero, no por brazo</t>
  </si>
  <si>
    <t>Dinamarca</t>
  </si>
  <si>
    <t>Diseño del estudio</t>
  </si>
  <si>
    <t>el antibiograma no permite clasificar la resistencia</t>
  </si>
  <si>
    <t>Ecuador</t>
  </si>
  <si>
    <t>otro (explicar al lado)</t>
  </si>
  <si>
    <t>Estado de esta extracción</t>
  </si>
  <si>
    <t>España</t>
  </si>
  <si>
    <t>Estados Unidos</t>
  </si>
  <si>
    <t>Pacientes en este brazo</t>
  </si>
  <si>
    <t>Francia</t>
  </si>
  <si>
    <t>corpus del proyecto</t>
  </si>
  <si>
    <t>Georgia</t>
  </si>
  <si>
    <t>Éxito clínico (nº pacientes)</t>
  </si>
  <si>
    <t>India</t>
  </si>
  <si>
    <t>Viruses</t>
  </si>
  <si>
    <t>Irán</t>
  </si>
  <si>
    <t>Eventos adversos (nº)</t>
  </si>
  <si>
    <t>Israel</t>
  </si>
  <si>
    <t>Erradicación microbiológica (nº)</t>
  </si>
  <si>
    <t>Italia</t>
  </si>
  <si>
    <t>Japón</t>
  </si>
  <si>
    <t>Fallecidos (nº)</t>
  </si>
  <si>
    <t>Nature Communications</t>
  </si>
  <si>
    <t>Letonia</t>
  </si>
  <si>
    <t>Países Bajos</t>
  </si>
  <si>
    <t>Estancia hospitalaria (días)</t>
  </si>
  <si>
    <t>Polonia</t>
  </si>
  <si>
    <t>Reino Unido</t>
  </si>
  <si>
    <t>Aparición de resistencia al fago (nº)</t>
  </si>
  <si>
    <t>Rusia</t>
  </si>
  <si>
    <t>Frontiers in medicine</t>
  </si>
  <si>
    <t>Singapur</t>
  </si>
  <si>
    <t>Año de publicación</t>
  </si>
  <si>
    <t>Suiza</t>
  </si>
  <si>
    <t>¿Cómo define el AUTOR el éxito clínico?</t>
  </si>
  <si>
    <t>Turquía</t>
  </si>
  <si>
    <t>Pirogov Russian Journal of Surgery</t>
  </si>
  <si>
    <t>multicéntrico (Europa)</t>
  </si>
  <si>
    <t>Nivel de la revista</t>
  </si>
  <si>
    <t>multicéntrico (internacional)</t>
  </si>
  <si>
    <t>otro</t>
  </si>
  <si>
    <t>País del estudio</t>
  </si>
  <si>
    <t>¿Dónde viste estos datos?</t>
  </si>
  <si>
    <t>buscar en scimagojr.com</t>
  </si>
  <si>
    <t>Si algo quedó incompleto, ¿por qué?</t>
  </si>
  <si>
    <t>The international journal of lower extremity wounds</t>
  </si>
  <si>
    <t>EST-001</t>
  </si>
  <si>
    <t>propuesta: confirmar</t>
  </si>
  <si>
    <t>Vestnik otorinolaringologii</t>
  </si>
  <si>
    <t>Case Report: Arthroscopic "Debridement Antibiotics and Implant Retention" With Local Injection of Personalized Phage Therapy to Salvage a Relapsing Pseudomonas Aeruginosa Prostheti</t>
  </si>
  <si>
    <t>2021</t>
  </si>
  <si>
    <t>Infektsionnye Bolezni</t>
  </si>
  <si>
    <t>articulo</t>
  </si>
  <si>
    <t>10.3389/fmed.2021.569159</t>
  </si>
  <si>
    <t>abrir</t>
  </si>
  <si>
    <t>International journal of antimicrobial agents</t>
  </si>
  <si>
    <t>Ferry2021</t>
  </si>
  <si>
    <t>A</t>
  </si>
  <si>
    <t>solo Pseudomonas</t>
  </si>
  <si>
    <t>por debajo del umbral MDR</t>
  </si>
  <si>
    <t>declarado por el autor</t>
  </si>
  <si>
    <t>no</t>
  </si>
  <si>
    <t>intraarticular</t>
  </si>
  <si>
    <t>fago + antibiotico</t>
  </si>
  <si>
    <t>caso clinico</t>
  </si>
  <si>
    <t>PARCIAL</t>
  </si>
  <si>
    <t>Na</t>
  </si>
  <si>
    <t>Los datos actuales sugieren que el procedimiento PhagoDAIR por artroscopia tiene el potencial de ser utilizado como terapia de rescate para pacientes con P. aeruginosa PJI recidivante, en combinación con terapia antimicrobiana supresora. Un estudio clínico de fase II merece ser realizado para confirmar esta hipótesis.</t>
  </si>
  <si>
    <t>Informe del caso</t>
  </si>
  <si>
    <t>Falta el antibiograma</t>
  </si>
  <si>
    <t>EST-002</t>
  </si>
  <si>
    <t>Case report: Analysis of phage therapy failure in a patient with a Pseudomonas aeruginosa prosthetic vascular graft infection.</t>
  </si>
  <si>
    <t>2023</t>
  </si>
  <si>
    <t>Columna</t>
  </si>
  <si>
    <t>10.3389/fmed.2023.1199657</t>
  </si>
  <si>
    <t>Qué se contesta</t>
  </si>
  <si>
    <t>Opciones</t>
  </si>
  <si>
    <t>Blasco2023</t>
  </si>
  <si>
    <t>Apellido del primer autor pegado al año: Tkhilaishvili2020. Sin espacios ni tildes.</t>
  </si>
  <si>
    <t>MDR</t>
  </si>
  <si>
    <t>A si el estudio da un solo grupo de datos. Si separa desenlaces por clase de resistencia, usa A, B, C.</t>
  </si>
  <si>
    <t>Solo Pseudomonas si todos los pacientes tenían P. aeruginosa. Mixto si había otras bacterias PERO el artículo permite separar los de Pseudomonas.</t>
  </si>
  <si>
    <t>otra</t>
  </si>
  <si>
    <t>solo Pseudomonas · mixto con subgrupo de Pseudomonas</t>
  </si>
  <si>
    <t>MDR, XDR o PDR según Magiorakos. Si el antibiograma no alcanza para clasificar, pon 'no clasificable'.</t>
  </si>
  <si>
    <t>MDR · XDR · PDR · por debajo del umbral MDR · no clasificable</t>
  </si>
  <si>
    <t>COMPLETA</t>
  </si>
  <si>
    <t>¿Lo dice el autor y lo aceptaste, o lo verificaste tú con el antibiograma? Importa para el riesgo de sesgo.</t>
  </si>
  <si>
    <t>declarado por el autor · verificado de forma independiente · no clasificable</t>
  </si>
  <si>
    <t>Difficult-to-Treat Resistance (Kadri 2018, PMID 30052813). NO es MDR con otro nombre: pregunta si se agotaron los antibióticos de PRIMERA LÍNEA (carbapenémicos, otros betalactámicos, fluoroquinolonas). Los de RESERVA -- colistina, aminoglucósidos, tigeciclina -- y los posteriores a 2018 -- ceftazidima-avibactam, cefiderocol -- NO cuentan: son aquello a lo que el DTR obliga a recurrir.
SÍ: el artículo documenta sensibilidad SOLO a agentes de reserva.
NO: basta UN agente de primera línea sensible documentado.
NO DERIVABLE: el resto.
Ojo: esta revisión ya definió mal este campo una vez (exigía 'todos los betalactámicos', más estricto que Kadri) y fabricó no-derivabilidad. Si duda entre 'no' y 'no derivable', mire si hay UN solo agente de primera línea sensible.</t>
  </si>
  <si>
    <t>si · no · no derivable</t>
  </si>
  <si>
    <t>Por dónde se administró el fago. Si fueron varias vías, elige 'otra' y explica en el paréntesis.</t>
  </si>
  <si>
    <t>IV · inhalada/nebulizada · topica/local · oral · intravesical · intraarticular · otra · NA</t>
  </si>
  <si>
    <t>¿El fago fue solo, o junto con antibióticos?</t>
  </si>
  <si>
    <t>fago en monoterapia · fago + antibiotico · fago + otro · NA</t>
  </si>
  <si>
    <t>En conclusión, en las infecciones complejas por P. aeruginosa, la elección de la terapia antibiótica y su duración son cruciales para minimizar la presión antibiótica y el desarrollo de la resistencia. Aunque no hemos demostrado que el tratamiento con fagos haya sido efectivo en este caso, el estudio de los mecanismos moleculares de resistencia a los fagos y las interacciones bacterias-fágos son clave para mejorar la terapia con fagos en un futuro próximo.</t>
  </si>
  <si>
    <t>Lo que el artículo ES, no lo que dice ser. Un 'estudio' de un paciente es un caso clínico.</t>
  </si>
  <si>
    <t>ECA · caso clinico · serie de casos · cohorte retrospectiva · cohorte prospectiva · ensayo no aleatorizado · otra</t>
  </si>
  <si>
    <t>COMPLETA si sacaste todo lo que el artículo daba. PARCIAL o INCOMPLETA si te faltó algo, y explícalo en la última columna.</t>
  </si>
  <si>
    <t>COMPLETA · PARCIAL · INCOMPLETA</t>
  </si>
  <si>
    <t>Cuántos pacientes hay en ESTE brazo, no en todo el estudio.</t>
  </si>
  <si>
    <t>Cuántos pacientes de este brazo mejoraron, según la definición del propio autor. Si no lo reporta, NA.</t>
  </si>
  <si>
    <t>Cuántos pacientes tuvieron algún evento adverso. Cero notificados se escribe 0, no NA.</t>
  </si>
  <si>
    <t>En cuántos desapareció la bacteria en cultivo.</t>
  </si>
  <si>
    <t>Cuántos fallecieron durante el seguimiento.</t>
  </si>
  <si>
    <t>EST-003</t>
  </si>
  <si>
    <t>Días de hospitalización. Casi ningún caso clínico lo reporta: NA es lo normal aquí.</t>
  </si>
  <si>
    <t>Refractory Pseudomonas aeruginosa infections treated with phage PASA16: A compassionate use case series.</t>
  </si>
  <si>
    <t>Med (New York, N.Y.)</t>
  </si>
  <si>
    <t>En cuántos apareció resistencia al fago durante el tratamiento.</t>
  </si>
  <si>
    <t>10.1016/j.medj.2023.07.002</t>
  </si>
  <si>
    <t>Año del artículo.</t>
  </si>
  <si>
    <t>COPIA la definición del autor, no escribas la tuya. Es lo que después permite ver si todos midieron lo mismo.</t>
  </si>
  <si>
    <t>Nombre de la revista, y si es de alto o medio impacto: 'alto (Nature Microbiology)'.</t>
  </si>
  <si>
    <t>Dos ejemplos resueltos</t>
  </si>
  <si>
    <t>País y ciudad si consta: 'Alemania (Berlín)'.</t>
  </si>
  <si>
    <t>Salen de estudios que ya se extrajeron en este proyecto.</t>
  </si>
  <si>
    <t>Onallah2023</t>
  </si>
  <si>
    <t>EJEMPLO 1 — un solo brazo</t>
  </si>
  <si>
    <t>Tkhilaishvili 2020. Un paciente con infección de prótesis por P. aeruginosa XDR,</t>
  </si>
  <si>
    <t>Página, tabla o figura de donde sacaste los números: 'p.3 Results, Tabla 2'. Obligatorio para cualquier cifra.</t>
  </si>
  <si>
    <t>tratado con fago más antibiótico por vía local. Curó.</t>
  </si>
  <si>
    <t>Qué faltó y por qué. NA si no faltó nada.</t>
  </si>
  <si>
    <t>Qué escribí</t>
  </si>
  <si>
    <t>Por qué</t>
  </si>
  <si>
    <t>Tkhilaishvili2020</t>
  </si>
  <si>
    <t>apellido pegado al año</t>
  </si>
  <si>
    <t>un solo brazo</t>
  </si>
  <si>
    <t>1</t>
  </si>
  <si>
    <t>pacientes de este brazo</t>
  </si>
  <si>
    <t>no clasificable</t>
  </si>
  <si>
    <t>XDR</t>
  </si>
  <si>
    <t>según el antibiograma</t>
  </si>
  <si>
    <t>verificado de forma independiente</t>
  </si>
  <si>
    <t>lo verifiqué yo con Magiorakos; no me fié de la etiqueta del autor</t>
  </si>
  <si>
    <t>no derivable</t>
  </si>
  <si>
    <t>el artículo no da lo necesario</t>
  </si>
  <si>
    <t>topica/local</t>
  </si>
  <si>
    <t>serie de casos</t>
  </si>
  <si>
    <t>de 1 paciente</t>
  </si>
  <si>
    <t>Infección erradicada; sin dolor, PCR normal, sin aflojamiento a 10 meses</t>
  </si>
  <si>
    <t>la definición DEL AUTOR, copiada, no la mía</t>
  </si>
  <si>
    <t>0</t>
  </si>
  <si>
    <t>cero notificados; NO es lo mismo que NA</t>
  </si>
  <si>
    <t>el artículo no lo dice</t>
  </si>
  <si>
    <t>En conclusión, parece que para los pacientes con infecciones persistentes por P. aeruginosa para los que la terapia convencional previa ha fracasado, el bacteriófago PASA16 puede ofrecer una opción de tratamiento razonable y segura, aunque se necesitan estudios prospectivos más amplios para definir mejor la susceptibilidad, el esquema de dosificación y la duración. Nuestro estudio ofrece una base potencial para dichos estudios, así como casos de uso compasivos en necesidad.</t>
  </si>
  <si>
    <t>2020</t>
  </si>
  <si>
    <t>medio (Antimicrob Agents Chemother)</t>
  </si>
  <si>
    <t>Alemania (Berlín)</t>
  </si>
  <si>
    <t>pp.1-2 Case Presentation; Tabla 1 antibiograma</t>
  </si>
  <si>
    <t>dónde lo vi; obligatorio para cualquier cifra</t>
  </si>
  <si>
    <t>EJEMPLO 2 — varios brazos</t>
  </si>
  <si>
    <t>Pirnay 2024, cohorte de 100 casos. Aquí está el error más común:</t>
  </si>
  <si>
    <t>los brazos NO son grupos de tratamiento, son clases de resistencia.</t>
  </si>
  <si>
    <t>Todos los pacientes recibieron lo mismo, fago más antibiótico. Lo que separa</t>
  </si>
  <si>
    <t>las filas es que el artículo permite contar desenlaces aparte en XDR, MDR y PDR.</t>
  </si>
  <si>
    <t>Se copia la fila tres veces, con el MISMO Nº y el Brazo en A, B y C.</t>
  </si>
  <si>
    <t>Pacientes</t>
  </si>
  <si>
    <t>Éxito clínico</t>
  </si>
  <si>
    <t>Eventos adversos</t>
  </si>
  <si>
    <t>Fallecidos</t>
  </si>
  <si>
    <t>B</t>
  </si>
  <si>
    <t>Tabla 4. Descripción general de los 16 casos de terapia con bacteriófagos PASA16</t>
  </si>
  <si>
    <t>C</t>
  </si>
  <si>
    <t>PDR</t>
  </si>
  <si>
    <t>El resto de columnas (vía, modalidad, revista, país…) se repite igual en las tres.</t>
  </si>
  <si>
    <t>Si el artículo NO permite separar por clase de resistencia, no invente brazos:</t>
  </si>
  <si>
    <t>una sola fila y la clase en 'no clasificable'.</t>
  </si>
  <si>
    <t>IV</t>
  </si>
  <si>
    <t>D</t>
  </si>
  <si>
    <t>Open forum infectious diseases</t>
  </si>
  <si>
    <t>Reproductive Health Eastern Europe</t>
  </si>
  <si>
    <t>The Lancet. Infectious diseases</t>
  </si>
  <si>
    <t>Urologiia (Moscow, Russia : 1999)</t>
  </si>
  <si>
    <t>Akusherstvo i Ginekologiya (Russian Federation)</t>
  </si>
  <si>
    <t>Antimicrobial agents and chemotherapy</t>
  </si>
  <si>
    <t>ASM case reports</t>
  </si>
  <si>
    <t>Clinical infectious diseases : an official publication of the Infectious Diseases Society of America</t>
  </si>
  <si>
    <t>Gynecology</t>
  </si>
  <si>
    <t>International journal of infectious diseases : IJID : official publication of the International Society for Infectious Diseases</t>
  </si>
  <si>
    <t>JAC-antimicrobial resistance</t>
  </si>
  <si>
    <t>E</t>
  </si>
  <si>
    <t>Meditsinskiy Sovet</t>
  </si>
  <si>
    <t>Russian Bulletin of Obstetrician-Gynecologist</t>
  </si>
  <si>
    <t>Scientific reports</t>
  </si>
  <si>
    <t>The Journal of heart and lung transplantation : the official publication of the International Society for Heart Transplantation</t>
  </si>
  <si>
    <t>Voprosy Prakticheskoi Pediatrii</t>
  </si>
  <si>
    <t>American journal of respiratory and critical care medicine</t>
  </si>
  <si>
    <t>American journal of transplantation : official journal of the American Society of Transplantation and the American Society of Transplant Surgeons</t>
  </si>
  <si>
    <t>Annals of Critical Care</t>
  </si>
  <si>
    <t>Annals of Vascular Surgery - Brief Reports and Innovations</t>
  </si>
  <si>
    <t>EST-004</t>
  </si>
  <si>
    <t>Personalized inhaled bacteriophage therapy for treatment of multidrug-resistant Pseudomonas aeruginosa in cystic fibrosis.</t>
  </si>
  <si>
    <t>Nature medicine</t>
  </si>
  <si>
    <t>2025</t>
  </si>
  <si>
    <t>Biomedicines</t>
  </si>
  <si>
    <t>10.1038/s41591-025-03678-8</t>
  </si>
  <si>
    <t>Bioscience trends</t>
  </si>
  <si>
    <t>BMJ open</t>
  </si>
  <si>
    <t>BMJ open respiratory research</t>
  </si>
  <si>
    <t>Clinical Medicine Insights: Case Reports</t>
  </si>
  <si>
    <t>Chan2025</t>
  </si>
  <si>
    <t>Critical care (London, England)</t>
  </si>
  <si>
    <t>si</t>
  </si>
  <si>
    <t>Cureus</t>
  </si>
  <si>
    <t>inhalada/nebulizada</t>
  </si>
  <si>
    <t>cohorte prospectiva</t>
  </si>
  <si>
    <t>Current opinion in infectious diseases</t>
  </si>
  <si>
    <t>Current Urology</t>
  </si>
  <si>
    <t>EMBO molecular medicine</t>
  </si>
  <si>
    <t>En resumen, este estudio evaluó el impacto de la terapia de fagos nebulizados complementarios para MDR y PDR PsA en una cohorte de casos compasivos en pwCF. Si bien el número de pacientes es limitado, la nebulización de fagos fue bien tolerada, y los resultados mostraron que un enfoque de terapia con fagos personalizado se asoció con una carga reducida de PsA y una mejor función pulmonar. Además de la muerte bacteriana, este enfoque de la terapia de fagos se asoció con compensaciones en PsA que resultaron en una disminución de la resistencia a los antibióticos y una reducción de la virulencia en los aislados posteriores a la terapia. Por lo tanto, en una enfermedad pulmonar crónica como la FQ, la terapia con fagos inhalados puede ofrecer una opción terapéutica efectiva. Actualmente se están llevando a cabo más estudios de esta nueva terapia en ensayos clínicos, y nuestro enfoque personalizado de terapia con fagos requerirá de manera similar ensayos clínicos más grandes.</t>
  </si>
  <si>
    <t>Enfermedades Infecciosas y Microbiologia Clinica</t>
  </si>
  <si>
    <t>Estados unidos</t>
  </si>
  <si>
    <t>Tabla 2 Terapia personalizada con fagos</t>
  </si>
  <si>
    <t>Europace : European pacing, arrhythmias, and cardiac electrophysiology : journal of the working groups on cardiac pacing, arrhythmias, and cardiac cellular electrophysiology of the European Society of Cardiology</t>
  </si>
  <si>
    <t>European journal of cardio-thoracic surgery : official journal of the European Association for Cardio-thoracic Surgery</t>
  </si>
  <si>
    <t>European urology, supplements</t>
  </si>
  <si>
    <t>Evolution, medicine, and public health</t>
  </si>
  <si>
    <t>Folia microbiologica</t>
  </si>
  <si>
    <t>Frontiers in cellular and infection microbiology</t>
  </si>
  <si>
    <t>Frontiers in microbiology</t>
  </si>
  <si>
    <t>Frontiers in pharmacology</t>
  </si>
  <si>
    <t>Future microbiology</t>
  </si>
  <si>
    <t>hLife</t>
  </si>
  <si>
    <t>Indian Journal of Critical Care Medicine</t>
  </si>
  <si>
    <t>EST-005</t>
  </si>
  <si>
    <t>Infection</t>
  </si>
  <si>
    <t>Successful adjunctive use of bacteriophage therapy for treatment of multidrug-resistant Pseudomonas aeruginosa infection in a cystic fibrosis patient.</t>
  </si>
  <si>
    <t>2019</t>
  </si>
  <si>
    <t>Infection and drug resistance</t>
  </si>
  <si>
    <t>10.1007/s15010-019-01319-0</t>
  </si>
  <si>
    <t>International journal of diabetes in developing countries</t>
  </si>
  <si>
    <t>International journal of molecular sciences</t>
  </si>
  <si>
    <t>Law2019</t>
  </si>
  <si>
    <t>International Journal of Pediatrics and Adolescent Medicine</t>
  </si>
  <si>
    <t>JAAD Case Reports</t>
  </si>
  <si>
    <t>Japanese Journal of Clinical Ophthalmology</t>
  </si>
  <si>
    <t>Journal of chemotherapy (Florence, Italy)</t>
  </si>
  <si>
    <t>Journal of cystic fibrosis</t>
  </si>
  <si>
    <t>Journal of Drug Delivery Science and Technology</t>
  </si>
  <si>
    <t>Journal of infection and chemotherapy : official journal of the Japan Society of Chemotherapy</t>
  </si>
  <si>
    <t>Journal of investigative medicine high impact case reports</t>
  </si>
  <si>
    <t>Journal of Plastic, Reconstructive and Aesthetic Surgery</t>
  </si>
  <si>
    <t>Journal of the Pediatric Infectious Diseases Society</t>
  </si>
  <si>
    <t>Klinichna khirurhiia / Ministerstvo okhorony zdorov'ia Ukraïny, Naukove tovarystvo khirurhiv Ukraïny</t>
  </si>
  <si>
    <t>Medical Immunology (Russia)</t>
  </si>
  <si>
    <t>Medicine in Microecology</t>
  </si>
  <si>
    <t>Methods in molecular biology (Clifton, N.J.)</t>
  </si>
  <si>
    <t>no aplica (serie de libros)</t>
  </si>
  <si>
    <t>Microbial biotechnology</t>
  </si>
  <si>
    <t>mLife</t>
  </si>
  <si>
    <t>Nature microbiology</t>
  </si>
  <si>
    <t>Dada la preocupación por las infecciones por MDR P. aeruginosa en pacientes con FQ, BT puede ofrecer un complemento antiinfeccioso viable a la terapia antibiótica tradicional.</t>
  </si>
  <si>
    <t>Hospital Course</t>
  </si>
  <si>
    <t>Sin acceso completo</t>
  </si>
  <si>
    <t>EST-006</t>
  </si>
  <si>
    <t>Phage Therapy in a Burn Patient Colonized with Extensively Drug-Resistant Pseudomonas aeruginosa Responsible for Relapsing Ventilator-Associated Pneumonia and Bacteriemia.</t>
  </si>
  <si>
    <t>2024</t>
  </si>
  <si>
    <t>10.3390/v16071080</t>
  </si>
  <si>
    <t>Teney2024</t>
  </si>
  <si>
    <t xml:space="preserve">2 meses </t>
  </si>
  <si>
    <t>En este caso, el efecto sinérgico de la administración de fagos y las dosis más bajas de antibióticos podrían haber sido la razón del resultado positivo. Los fagos permitieron dosis más bajas de antibióticos y redujeron sus toxicidades, que eran graves y no controlaban la colonización respiratoria. Aunque el PAS no resultó en un éxito microbiano, el resultado clínico fue favorable. La inmunoestimulación también puede influir en el resultado. Facilitar el uso de la terapia con fagos sobre la base del uso compasivo es el primer paso antes de llevar a cabo ensayos terapéuticos para demostrar su valor añadido para esta indicación. Este tratamiento adaptado al paciente fue posible debido a la baja respuesta inmune a la infección y la disponibilidad de los fagos listos para usar, con un fagograma compatible en la cepa de P. aeruginosa del paciente.</t>
  </si>
  <si>
    <t xml:space="preserve">Francia </t>
  </si>
  <si>
    <t>Tabla 1 figura 2</t>
  </si>
  <si>
    <t>EST-007</t>
  </si>
  <si>
    <t>Adjuvant multisite bacteriophage cocktail administration as salvage treatment in a patient with a multidrug-resistant Pseudomonas aeruginosa frontal relapsing complex osteitis.</t>
  </si>
  <si>
    <t>2026</t>
  </si>
  <si>
    <t>10.1016/j.ijid.2026.108756</t>
  </si>
  <si>
    <t>Aurore2026</t>
  </si>
  <si>
    <t>La experiencia con la terapia con fagos está creciendo, y la mayoría de los casos no han reportado efectos secundarios adversos graves, como en el caso presentado aquí [14]. La personalización de la terapia con fagos, que combina múltiples vías de administración, es necesaria para lograr una exposición suficiente de fagos en el sitio de la infección para obtener un efecto clínico. Para ese propósito, la estructuración a nivel nacional con reuniones multidisciplinarias dedicadas es útil y facilitará el desempeño de los ensayos clínicos de terapia con fagos.</t>
  </si>
  <si>
    <t>Presentación del caso</t>
  </si>
  <si>
    <t>EST-009</t>
  </si>
  <si>
    <t>Case Report: Chronic Bacterial Prostatitis Treated With Phage Therapy After Multiple Failed Antibiotic Treatments.</t>
  </si>
  <si>
    <t>10.3389/fphar.2021.692614</t>
  </si>
  <si>
    <t>Johri2021</t>
  </si>
  <si>
    <t>Nephrology dialysis transplantation</t>
  </si>
  <si>
    <t>El paciente descrito en este estudio de caso se sometió a numerosos ciclos de antibióticos sin mejoría en los síntomas o evaluación adecuada, como análisis bacteriológico y TRUS. Este fracaso de los antibióticos para proporcionar mejora clínica lo llevó a buscar un tratamiento alternativo. La terapia con fagos mostró eficacia tanto en la erradicación de bacterias patógenas como se observó en repetidos análisis microbiológicos y la reducción de la inflamación en la próstata, así como en el volumen sin cargar al paciente con efectos secundarios. La calidad de vida del paciente mejoró drásticamente. Ahora está libre de síntomas y ha restaurado la actividad normal.</t>
  </si>
  <si>
    <t>Novosti Khirurgii</t>
  </si>
  <si>
    <t>Obshchaya Reanimatologiya</t>
  </si>
  <si>
    <t>Obstetrics, Gynecology and Reproduction</t>
  </si>
  <si>
    <t>Otolaryngologia polska = The Polish otolaryngology</t>
  </si>
  <si>
    <t>Tabla 1 y tabla 2</t>
  </si>
  <si>
    <t>No es pseudomona</t>
  </si>
  <si>
    <t>Otology &amp; neurotology : official publication of the American Otological Society, American Neurotology Society [and] European Academy of Otology and Neurotology</t>
  </si>
  <si>
    <t>EST-010</t>
  </si>
  <si>
    <t>Pediatriya - Zhurnal im G.N. Speranskogo</t>
  </si>
  <si>
    <t>Personalized bacteriophage therapy to treat pandrug-resistant spinal Pseudomonas aeruginosa infection.</t>
  </si>
  <si>
    <t xml:space="preserve">Nature Communications </t>
  </si>
  <si>
    <t>2022</t>
  </si>
  <si>
    <t>PHAGE: Therapy, Applications, and Research</t>
  </si>
  <si>
    <t>10.1038/s41467-022-31837-9</t>
  </si>
  <si>
    <t>Pharmaceutisch Weekblad</t>
  </si>
  <si>
    <t>Ferry2022</t>
  </si>
  <si>
    <t>Revista Cubana de Angiología y Cirugía Vascular</t>
  </si>
  <si>
    <t>Russian Journal of Anesthesiology and Reanimatology /Anesteziologiya i Reanimatologiya</t>
  </si>
  <si>
    <t>Russian Journal of Human Reproduction</t>
  </si>
  <si>
    <t>Russian Journal of Infection and Immunity</t>
  </si>
  <si>
    <t>Russian Medical Inquiry</t>
  </si>
  <si>
    <t>Stomatologiia</t>
  </si>
  <si>
    <t>En el presente caso, un factor limitante fue el tiempo para examinar, producir y purificar los bacteriófagos (en total 3 meses) antes de que se pudiera administrar al paciente un cóctel de fagos premontado, personalizado y dirigido como adyuvante para la cirugía y los antibióticos. En consecuencia, tener acceso a una colección de fagos purificados, que podrían usarse en un corto retraso, podría ser extremadamente importante para futuros tratamientos de infecciones bacterianas tan graves. Por lo menos, el presente estudio de caso ha demostrado una vez más la seguridad de los fagos purificados, administrados varias veces localmente y por vía intravenosa. En consecuencia, con respecto al enfoque altamente personalizado necesario para la terapia de fagos, las colaboraciones académicas, además de los actores industriales, son muy valiosas para desarrollar el campo. De hecho, como se ha demostrado aquí, una colaboración académica europea única en el contexto de un tratamiento que salva vidas proporcionó nuevamente datos importantes que, con suerte, facilitarán el establecimiento y la realización de ensayos clínicos en una indicación principalmente relevante.</t>
  </si>
  <si>
    <t>Resultados</t>
  </si>
  <si>
    <t>EST-008</t>
  </si>
  <si>
    <t>Phage therapy with nebulized cocktail BX004-A for chronic Pseudomonas aeruginosa infections in cystic fibrosis: a randomized first-in-human trial.</t>
  </si>
  <si>
    <t>40593506</t>
  </si>
  <si>
    <t>Weiner2025</t>
  </si>
  <si>
    <t>fago en monoterapia</t>
  </si>
  <si>
    <t>ECA</t>
  </si>
  <si>
    <t>EST-011</t>
  </si>
  <si>
    <t>A case report of bacteriophage therapy for the treatment of lung infection due to carbapenem-resistant Pseudomonas aeruginosa.</t>
  </si>
  <si>
    <t>10.1038/s41598-025-17510-3</t>
  </si>
  <si>
    <t>Yang2025</t>
  </si>
  <si>
    <t>En general, el paciente estaba infectado con P. aeruginosa multirresistente, lo que resultó en síntomas potencialmente mortales. Después de la terapia con fagos personalizada, la infección del paciente mejoró significativamente, con la normalización de los marcadores inflamatorios y la mejora de las lesiones pulmonares a pesar del aislamiento de las cepas resistentes a los fagos. Si bien la erradicación completa de P. aeruginosa puede no ser siempre alcanzable, la virulencia reducida de las cepas resistentes a los fagos contribuyó a una marcada mejora en la condición clínica del paciente. Esta investigación enfatiza la importancia de comprender las complejas interacciones entre fagos y bacterias para optimizar las estrategias de terapia de fagos.</t>
  </si>
  <si>
    <t>Surgical Chronicles</t>
  </si>
  <si>
    <t>The Journal of antimicrobial chemotherapy</t>
  </si>
  <si>
    <t>The Journal of pediatrics</t>
  </si>
  <si>
    <t>Trials</t>
  </si>
  <si>
    <t>Ugeskrift for laeger</t>
  </si>
  <si>
    <t>Virus research</t>
  </si>
  <si>
    <t>Wiadomosci lekarskie (Warsaw, Poland : 1960)</t>
  </si>
  <si>
    <t>EST-012</t>
  </si>
  <si>
    <t>Chronic suppression of a multidrug-resistant Pseudomonas aeruginosa in prosthetic joint infection using personalized bacteriophage treatment.</t>
  </si>
  <si>
    <t>Nature communications</t>
  </si>
  <si>
    <t>10.1038/s41467-026-74326-z</t>
  </si>
  <si>
    <t>Arya2026</t>
  </si>
  <si>
    <t xml:space="preserve"> El tratamiento con terapia intermitente con bacteriófagos solo sin antibióticos durante un período de 2 años resultó en la resolución clínica de la infección, pero no en la erradicación microbiológica. La terapia con bacteriófagos estableció este control, en parte, alterando la virulencia definida por la gravedad y los síntomas de la enfermedad e interrumpiendo la biopelícula. La secuenciación del genoma completo demostró la presencia continua de bacteriófagos durante el tratamiento. Esto proporciona evidencia preliminar de que la terapia con bacteriófagos se puede utilizar para tratar infecciones MDR en casos de rescate cuando no existen opciones quirúrgicas y de antibióticos.</t>
  </si>
  <si>
    <t>Resumen</t>
  </si>
  <si>
    <t>No open acces</t>
  </si>
  <si>
    <t>EST-013</t>
  </si>
  <si>
    <t>Personalized bacteriophage therapy for chronic biliary tract Pseudomonas aeruginosa infections</t>
  </si>
  <si>
    <t>10.1016/j.hlife.2025.03.004</t>
  </si>
  <si>
    <t>Li2026</t>
  </si>
  <si>
    <t>intravesical</t>
  </si>
  <si>
    <t>Después de que el paciente se sometiera al curso inicial de la terapia con cóctel de fagos dsDNA, se observó la aparición de mutantes de P.aeruginosa totalmente resistentes a los fagos. Estos mutantes se caracterizaron por varias mutaciones que resultan en mutaciones de antígeno O, que pueden contribuir a infecciones persistentes y complicar el manejo. Por ejemplo, se encontró una eliminación de fragmento genómico de 24.836 pb en W221205R, incluyendo galU y hmgA. Esta deleción conduce a la pérdida de antígeno O y a la acumulación de ácido homogentisico, respectivamente [20]. Además, una mutación en el gen biosintético dnpA de la región central de LPS en W221205 podría causar resistencia a los fagos durante la primera terapia con fagos. Esto indica que la terapia con fagos fue muy efectiva ya que se eliminó la cepa dominante original, se seleccionaron clones resistentes a los fagos y los síntomas del paciente se aliviaron significativamente</t>
  </si>
  <si>
    <t>EST-014</t>
  </si>
  <si>
    <t>Bacteriophage therapy for empyema caused by carbapenem-resistant Pseudomonas aeruginosa.</t>
  </si>
  <si>
    <t>10.5582/bst.2022.01147</t>
  </si>
  <si>
    <t>Chen2022</t>
  </si>
  <si>
    <t>EST-015</t>
  </si>
  <si>
    <t>Combination of phage therapy and cefiderocol to successfully treat Pseudomonas aeruginosa cranial osteomyelitis.</t>
  </si>
  <si>
    <t>10.1093/jacamr/dlac046</t>
  </si>
  <si>
    <t>EST-016</t>
  </si>
  <si>
    <t>Use of Phage Cocktail BFC 1.10 in Combination With Ceftazidime-Avibactam in the Treatment of Multidrug-Resistant Pseudomonas aeruginosa Femur Osteomyelitis-A Case Report.</t>
  </si>
  <si>
    <t>10.3389/fmed.2022.851310</t>
  </si>
  <si>
    <t>EST-017</t>
  </si>
  <si>
    <t>Successful Treatment of a Patient With Chronic Bronchiectasis Using an Induced Native Phage Cocktail: A Case Report.</t>
  </si>
  <si>
    <t>10.7759/cureus.77681</t>
  </si>
  <si>
    <t>EST-018</t>
  </si>
  <si>
    <t>Bacteriophage therapy in clinical practice: case studies of Pseudomonas aeruginosa infections.</t>
  </si>
  <si>
    <t>10.1080/1120009x.2025.2547147</t>
  </si>
  <si>
    <t>EST-019</t>
  </si>
  <si>
    <t>Neutralizing antibodies after nebulized phage therapy in cystic fibrosis patients.</t>
  </si>
  <si>
    <t>10.1016/j.medj.2024.05.017</t>
  </si>
  <si>
    <t>EST-020</t>
  </si>
  <si>
    <t>Adjunctive phage therapy improves antibiotic treatment of ventilator-associated-pneumonia with Pseudomonas aeruginosa.</t>
  </si>
  <si>
    <t>10.1038/s41467-025-59806-y</t>
  </si>
  <si>
    <t>EST-024</t>
  </si>
  <si>
    <t>Bacteriophage Therapy for Pan-Drug-Resistant Pseudomonas aeruginosa in Two Persons With Cystic Fibrosis.</t>
  </si>
  <si>
    <t>10.1177/23247096231188243</t>
  </si>
  <si>
    <t>EST-021</t>
  </si>
  <si>
    <t>Efficacy and tolerability of a cocktail of bacteriophages to treat burn wounds infected by Pseudomonas aeruginosa (PhagoBurn): a randomised, controlled, double-blind phase 1/2 tria</t>
  </si>
  <si>
    <t>30292481</t>
  </si>
  <si>
    <t>EST-027</t>
  </si>
  <si>
    <t>Personalized aerosolised bacteriophage treatment of a chronic lung infection due to multidrug-resistant Pseudomonas aeruginosa.</t>
  </si>
  <si>
    <t>10.1038/s41467-023-39370-z</t>
  </si>
  <si>
    <t>EST-028</t>
  </si>
  <si>
    <t>A feasibility study for personalized phage therapy against drug-resistant bacteria in Japan.</t>
  </si>
  <si>
    <t>10.1016/j.jiac.2025.102770</t>
  </si>
  <si>
    <t>EST-029</t>
  </si>
  <si>
    <t>Randomized double-blind study on safety and tolerability of TP-102 phage cocktail in patients with infected and non-infected diabetic foot ulcers.</t>
  </si>
  <si>
    <t>39740667</t>
  </si>
  <si>
    <t>EST-030</t>
  </si>
  <si>
    <t>Clearance of hypermutator XDR Pseudomonas osteomyelitis and hardware infection with adjunctive bacteriophage therapy.</t>
  </si>
  <si>
    <t>10.1128/asmcr.00108-25</t>
  </si>
  <si>
    <t>EST-031</t>
  </si>
  <si>
    <t>Harnessing bacteriophages to combat antibiotic-resistant chronic postoperative infections: A promising case series</t>
  </si>
  <si>
    <t>10.1016/j.medmic.2026.100178</t>
  </si>
  <si>
    <t>EST-032</t>
  </si>
  <si>
    <t>Refractory Pseudomonas Bacteremia in a 2-Year-Old Sterilized by Bacteriophage Therapy.</t>
  </si>
  <si>
    <t>2018</t>
  </si>
  <si>
    <t>10.1093/jpids/pix056</t>
  </si>
  <si>
    <t>EST-033</t>
  </si>
  <si>
    <t>Bacteriophage Therapy of Ventilator-associated Pneumonia and Empyema Caused by Pseudomonas aeruginosa.</t>
  </si>
  <si>
    <t>10.1164/rccm.201904-0839le</t>
  </si>
  <si>
    <t>EST-034</t>
  </si>
  <si>
    <t>Lessons Learned From the First 10 Consecutive Cases of Intravenous Bacteriophage Therapy to Treat Multidrug-Resistant Bacterial Infections at a Single Center in the United States.</t>
  </si>
  <si>
    <t>10.1093/ofid/ofaa389</t>
  </si>
  <si>
    <t>EST-035</t>
  </si>
  <si>
    <t>Safety and microbiological activity of phage therapy in persons with cystic fibrosis colonized with Pseudomonas aeruginosa: study protocol for a phase 1b/2, multicenter, randomized</t>
  </si>
  <si>
    <t>36578069</t>
  </si>
  <si>
    <t>EST-037</t>
  </si>
  <si>
    <t>Pan-Resistant Pseudomonas aeruginosa Septic Shock in a Critically Ill Patient: A Case Report.</t>
  </si>
  <si>
    <t xml:space="preserve">Clinical Medicine Insights: Case Reports </t>
  </si>
  <si>
    <t>10.1177/11795476251411094</t>
  </si>
  <si>
    <t>EST-038</t>
  </si>
  <si>
    <t>Phage Therapy Experience at the Eliava Phage Therapy Center: Three Cases of Bacterial Persistence.</t>
  </si>
  <si>
    <t>10.3390/v13101901</t>
  </si>
  <si>
    <t>EST-039</t>
  </si>
  <si>
    <t>Adaptive Phage Therapy for the Prevention of Recurrent Nosocomial Pneumonia: Novel Protocol Description and Case Series</t>
  </si>
  <si>
    <t>10.3390/antibiotics12121734</t>
  </si>
  <si>
    <t>EST-040</t>
  </si>
  <si>
    <t>Refractory Pseudomonas aeruginosa Bronchopulmonary Infection After Lung Transplantation for Common Variable Immunodeficiency Despite Maximal Treatment Including IgM/IgA-Enriched Im</t>
  </si>
  <si>
    <t>10.2147/idr.s413900</t>
  </si>
  <si>
    <t>EST-041</t>
  </si>
  <si>
    <t>Optimized preparation pipeline for emergency phage therapy against Pseudomonas aeruginosa at Yale University.</t>
  </si>
  <si>
    <t>10.1038/s41598-024-52192-3</t>
  </si>
  <si>
    <t>EST-042</t>
  </si>
  <si>
    <t>Phage therapy of perinephric abscess in kidney transplantation recipients caused by drug-resistant Pseudomonas aeruginosa.</t>
  </si>
  <si>
    <t>10.1002/mlf2.70042</t>
  </si>
  <si>
    <t>EST-043</t>
  </si>
  <si>
    <t>Calciphylaxis complicated by NDM-1-producing Pseudomonas aeruginosa: first experience with cefepime-zidebactam alongside phage therapy in the USA.</t>
  </si>
  <si>
    <t>10.1016/s1473-3099(26)00176-3</t>
  </si>
  <si>
    <t>EST-044</t>
  </si>
  <si>
    <t>Successful Bacteriophage Treatment of a Recalcitrant Intra-Abdominal Infection Caused by Multidrug-Resistant Pseudomonas aeruginosa in a 2-Year-Old Child.</t>
  </si>
  <si>
    <t>10.1016/j.jpeds.2026.115005</t>
  </si>
  <si>
    <t>EST-045</t>
  </si>
  <si>
    <t>Concept of individualized medicine based on personalized phage therapy for intensive care unit patients suffering from healthcare-associated infections</t>
  </si>
  <si>
    <t>2017</t>
  </si>
  <si>
    <t>10.20953/1729-9225-2017-4-49-54</t>
  </si>
  <si>
    <t>EST-046</t>
  </si>
  <si>
    <t>Use of bacteriophages in the treatment of colistin-only-sensitive Pseudomonas aeruginosa septicaemia in a patient with acute kidney injury-a case report.</t>
  </si>
  <si>
    <t>10.1186/s13054-017-1709-y</t>
  </si>
  <si>
    <t>EST-047</t>
  </si>
  <si>
    <t>Bacteriophages as Adjuvant to Antibiotics for the Treatment of Periprosthetic Joint Infection Caused by Multidrug-Resistant Pseudomonas aeruginosa.</t>
  </si>
  <si>
    <t>10.1128/aac.00924-19</t>
  </si>
  <si>
    <t>EST-048</t>
  </si>
  <si>
    <t>Application of Phage Therapy in a Case of a Chronic Hip-Prosthetic Joint Infection due to Pseudomonas aeruginosa: An Italian Real-Life Experience and In Vitro Analysis.</t>
  </si>
  <si>
    <t>10.1093/ofid/ofad051</t>
  </si>
  <si>
    <t>EST-049</t>
  </si>
  <si>
    <t>Development of Host Immune Response to Bacteriophage in a Lung Transplant Recipient on Adjunctive Phage Therapy for a Multidrug-Resistant Pneumonia.</t>
  </si>
  <si>
    <t>The Journal of infectious diseases</t>
  </si>
  <si>
    <t>10.1093/infdis/jiac368</t>
  </si>
  <si>
    <t>EST-050</t>
  </si>
  <si>
    <t>Access to phage therapy at Hospices Civils de Lyon in 2022: Implementation of the PHAGEinLYON Clinic programme.</t>
  </si>
  <si>
    <t>10.1016/j.ijantimicag.2024.107372</t>
  </si>
  <si>
    <t>EST-051</t>
  </si>
  <si>
    <t>Case report: Local bacteriophage therapy for fracture-related infection with polymicrobial multi-resistant bacteria: hydrogel application and postoperative phage analysis through m</t>
  </si>
  <si>
    <t>Frontiers in Medicine</t>
  </si>
  <si>
    <t>10.3389/fmed.2024.1428432</t>
  </si>
  <si>
    <t>EST-053</t>
  </si>
  <si>
    <t>Phage-Antibiotic Combination Therapy against Recurrent Pseudomonas Septicaemia in a Patient with an Arterial Stent.</t>
  </si>
  <si>
    <t>Antibiotics (Basel, Switzerland)</t>
  </si>
  <si>
    <t>10.3390/antibiotics13100916</t>
  </si>
  <si>
    <t>EST-054</t>
  </si>
  <si>
    <t>Bacteriophage Therapy for Chronic Mastoiditis.</t>
  </si>
  <si>
    <t>10.1097/mao.0000000000004417</t>
  </si>
  <si>
    <t>EST-055</t>
  </si>
  <si>
    <t>Bacteriophage therapy in women with chronic recurrent cystitis caused by multidrug-resistant bacteria: A prospective, observational, comparative study</t>
  </si>
  <si>
    <t>10.1097/cu9.0000000000000268</t>
  </si>
  <si>
    <t>EST-057</t>
  </si>
  <si>
    <t>Phage Therapy as a Rescue Treatment for Recurrent Pseudomonas aeruginosa Bentall Infection.</t>
  </si>
  <si>
    <t>10.3390/v17010123</t>
  </si>
  <si>
    <t>EST-058</t>
  </si>
  <si>
    <t>Resolution of acute rejection in a bilateral double-lung transplanted cystic fibrosis patient following phage intervention.</t>
  </si>
  <si>
    <t>10.1128/asmcr.00058-24</t>
  </si>
  <si>
    <t>EST-059</t>
  </si>
  <si>
    <t>Anti-phage antibody response in phage therapy against healthcare-associated infections (HAIs)</t>
  </si>
  <si>
    <t>10.20953/1729-9225-2017-1-35-40</t>
  </si>
  <si>
    <t>EST-060</t>
  </si>
  <si>
    <t>Clinical Indications and Compassionate Use of Phage Therapy: Personal Experience and Literature Review with a Focus on Osteoarticular Infections.</t>
  </si>
  <si>
    <t>10.3390/v11010018</t>
  </si>
  <si>
    <t>EST-061</t>
  </si>
  <si>
    <t>Early clinical experience of bacteriophage therapy in 3 lung transplant recipients.</t>
  </si>
  <si>
    <t>10.1111/ajt.15503</t>
  </si>
  <si>
    <t>EST-062</t>
  </si>
  <si>
    <t>Bacteriophage-antibiotic combination therapy against extensively drug-resistant Pseudomonas aeruginosa infection to allow liver transplantation in a toddler.</t>
  </si>
  <si>
    <t>10.1038/s41467-022-33294-w</t>
  </si>
  <si>
    <t>EST-063</t>
  </si>
  <si>
    <t>Single-arm, open-labelled, safety and tolerability of intrabronchial and nebulised bacteriophage treatment in children with cystic fibrosis and Pseudomonas aeruginosa.</t>
  </si>
  <si>
    <t>10.1136/bmjresp-2022-001360</t>
  </si>
  <si>
    <t>EST-064</t>
  </si>
  <si>
    <t>Adjunctive bacteriophage therapy for refractory/resistant Pseudomonas aeruginosa infections: Bottlenecks and proposed solutions.</t>
  </si>
  <si>
    <t>10.1016/j.ijantimicag.2025.107629</t>
  </si>
  <si>
    <t>EST-065</t>
  </si>
  <si>
    <t>Successful phage therapy in a patient with prosthetic joint infection; [Tratamiento exitoso con fagoterapia en una paciente con infección periprotésica]</t>
  </si>
  <si>
    <t>10.1016/j.eimc.2025.05.008</t>
  </si>
  <si>
    <t>EST-067</t>
  </si>
  <si>
    <t>Adaptive Phage Therapy in the Treatment of Patients with Recurrent Pneumonia (Pilot Study)</t>
  </si>
  <si>
    <t>10.15360/1813-9779-2021-6-4-14</t>
  </si>
  <si>
    <t>EST-052</t>
  </si>
  <si>
    <t>CYstic Fibrosis bacterioPHage study at Yale (CYPHY)</t>
  </si>
  <si>
    <t>NCT04684641</t>
  </si>
  <si>
    <t>EST-070</t>
  </si>
  <si>
    <t>Compassionate Use of Bacteriophages for Failed Persistent Infections During the First 5 Years of the Israeli Phage Therapy Center</t>
  </si>
  <si>
    <t>Open Forum Infectious Diseases</t>
  </si>
  <si>
    <t>10.1093/ofid/ofad221</t>
  </si>
  <si>
    <t>EST-073</t>
  </si>
  <si>
    <t>Bacteriophage Therapy of Chronic Nonhealing Wound: Clinical Study.</t>
  </si>
  <si>
    <t>10.1177/1534734619835115</t>
  </si>
  <si>
    <t>EST-074</t>
  </si>
  <si>
    <t>Bacteriophage Therapy for Critical Infections Related to Cardiothoracic Surgery.</t>
  </si>
  <si>
    <t>10.3390/antibiotics9050232</t>
  </si>
  <si>
    <t>EST-075</t>
  </si>
  <si>
    <t>Phage therapy in antibiotic resistant pneumonia: Immunomodulation or redistribution?; [ФАГОТЕРАПИЯ АНТИБИОТИКОРЕЗИСТЕНТНОЙ ПНЕВМОНИИ: ИММУНОМОДУЛЯЦИЯ ИЛИ ПЕРЕРАСПРЕДЕЛЕНИЕ?]</t>
  </si>
  <si>
    <t>10.15789/1563-0625-pti-2012</t>
  </si>
  <si>
    <t>EST-076</t>
  </si>
  <si>
    <t>Experience Using Adjuvant Bacteriophage Therapy for the Treatment of 10 Recalcitrant Periprosthetic Joint Infections: A Case Series.</t>
  </si>
  <si>
    <t>10.1093/cid/ciac694</t>
  </si>
  <si>
    <t>EST-077</t>
  </si>
  <si>
    <t>Pseudomonas aeruginosa ventricular assist device infections: findings from ineffective phage therapies in five cases.</t>
  </si>
  <si>
    <t>10.1128/aac.01728-23</t>
  </si>
  <si>
    <t>EST-078</t>
  </si>
  <si>
    <t>Efficacy of Bacteriophage Therapy in the Treatment of Diabetic Foot Ulcers: a Pilot Study from South India</t>
  </si>
  <si>
    <t>resumen de congreso</t>
  </si>
  <si>
    <t>cita: Int J Diabetes Dev Ctries 2025</t>
  </si>
  <si>
    <t>EST-079</t>
  </si>
  <si>
    <t>The potential use of phage therapy in the treatment of exacerbated chronic suppurative otitis media; [Возможности фаготерапии в лечении хронического гнойного среднего отита в стади</t>
  </si>
  <si>
    <t>10.21518/ms2025-451</t>
  </si>
  <si>
    <t>EST-080</t>
  </si>
  <si>
    <t>Bacteriophage Therapy as a Potential Management Option for Surgical Wound Infections</t>
  </si>
  <si>
    <t>10.1089/phage.2020.0010</t>
  </si>
  <si>
    <t>EST-081</t>
  </si>
  <si>
    <t>Bacteriophage therapy as a treatment option for transplant infections.</t>
  </si>
  <si>
    <t>10.1097/qco.0000000000000658</t>
  </si>
  <si>
    <t>EST-083</t>
  </si>
  <si>
    <t>Bacteriophage Therapy for Difficult-to-Treat Infections: The Implementation of a Multidisciplinary Phage Task Force (The PHAGEFORCE Study Protocol).</t>
  </si>
  <si>
    <t>10.3390/v13081543</t>
  </si>
  <si>
    <t>EST-085</t>
  </si>
  <si>
    <t>First-in-human application of double-stranded RNA bacteriophage in the treatment of pulmonary Pseudomonas aeruginosa infection.</t>
  </si>
  <si>
    <t>10.1111/1751-7915.14217</t>
  </si>
  <si>
    <t>EST-086</t>
  </si>
  <si>
    <t>Inhalation phage therapy as a new approach to preventing secondary bacterial pneumonia in patients with moderate to severe COVID-19: A double-blind clinical trial study</t>
  </si>
  <si>
    <t>10.1016/j.jddst.2023.104486</t>
  </si>
  <si>
    <t>EST-088</t>
  </si>
  <si>
    <t>Case report: Personalized triple phage-antibiotic combination therapy to rescue necrotizing fasciitis caused by Panton-Valentine leukocidin-producing MRSA in a 12-year-old boy.</t>
  </si>
  <si>
    <t>10.3389/fcimb.2024.1354681</t>
  </si>
  <si>
    <t>EST-089</t>
  </si>
  <si>
    <t>Combined use of light and phage therapy in patients with pharyngeal tonsil hypertrophy</t>
  </si>
  <si>
    <t>10.20953/1817-7646-2024-2-123-127</t>
  </si>
  <si>
    <t>EST-090</t>
  </si>
  <si>
    <t xml:space="preserve">'Bacteriophage therapy, a solution for increasing antibiotic resistance'. UMC Utrecht treats a patient with bacteriophage for the first time; [IBACTERIOFAAGTH ERAPI E UITKOMST BIJ </t>
  </si>
  <si>
    <t>cita: Pharmaceutisch Weekblad 2025</t>
  </si>
  <si>
    <t>EST-091</t>
  </si>
  <si>
    <t>Analysis of Pro- and Anti-Inflammatory Gene Response Patterns in Patients Receiving Phage Therapy.</t>
  </si>
  <si>
    <t>10.3390/ijms27010172</t>
  </si>
  <si>
    <t>EST-092</t>
  </si>
  <si>
    <t>Phage therapy analysis of effectiveness in comorbid patients with wounds and surgical infections of various etiology based on the results of a comparative clinical study; [Анализ э</t>
  </si>
  <si>
    <t>40103254</t>
  </si>
  <si>
    <t>EST-093</t>
  </si>
  <si>
    <t>Pharmacodynamic individualization of phage therapy against a KPC-5-producing Pseudomonas aeruginosa.</t>
  </si>
  <si>
    <t>10.1093/jacamr/dlaf257</t>
  </si>
  <si>
    <t>EST-094</t>
  </si>
  <si>
    <t>Timely bespoke phage-antibiotic combination to treat refractory Pseudomonas aeruginosa mediastinitis and vascular graft infection.</t>
  </si>
  <si>
    <t>10.1038/s41467-025-68136-y</t>
  </si>
  <si>
    <t>EST-095</t>
  </si>
  <si>
    <t>Bacterial lysis, autophagy and innate immune responses during adjunctive phage therapy in a child.</t>
  </si>
  <si>
    <t>10.15252/emmm.202113936</t>
  </si>
  <si>
    <t>EST-096</t>
  </si>
  <si>
    <t>Low immunogenicity of intravesical phage therapy for urogenitary tract infections</t>
  </si>
  <si>
    <t>10.3390/antibiotics10060627</t>
  </si>
  <si>
    <t>EST-098</t>
  </si>
  <si>
    <t>Bacteriophage therapy as a treatment option for complex cardiovascular implant infection: The German Heart Center Berlin experience.</t>
  </si>
  <si>
    <t>10.1016/j.healun.2022.01.018</t>
  </si>
  <si>
    <t>EST-100</t>
  </si>
  <si>
    <t>Personalized phagotherapy in the treatment of healthcare-associated infections caused by multidrug-resistant pathogens</t>
  </si>
  <si>
    <t>10.20953/1729-9225-2024-4-76-85</t>
  </si>
  <si>
    <t>EST-101</t>
  </si>
  <si>
    <t>The Efficacy of Inhaled Phage Cocktail to Prevent Ventilator-Associated Pneumonia in Children: A Double-Blind Clinical Trial</t>
  </si>
  <si>
    <t>10.3390/biomedicines13092103</t>
  </si>
  <si>
    <t>EST-103</t>
  </si>
  <si>
    <t>Phage therapy of purulent wounds: comparative clinical cytomorphological and microbiological analysis of effectiveness; [Фаготерапиягнойныхран:сравнительныйклинико-цитоморфологичес</t>
  </si>
  <si>
    <t>41885494</t>
  </si>
  <si>
    <t>EST-105</t>
  </si>
  <si>
    <t>Innovations for the treatment of a complex bone and joint infection due to XDR Pseudomonas aeruginosa including local application of a selected cocktail of bacteriophages.</t>
  </si>
  <si>
    <t>10.1093/jac/dky263</t>
  </si>
  <si>
    <t>EST-106</t>
  </si>
  <si>
    <t>Phage treatment of an aortic graft infected with Pseudomonas aeruginosa.</t>
  </si>
  <si>
    <t>10.1093/emph/eoy005</t>
  </si>
  <si>
    <t>EST-108</t>
  </si>
  <si>
    <t>Personalized bacteriophage therapy outcomes for 100 consecutive cases: a multicentre, multinational, retrospective observational study.</t>
  </si>
  <si>
    <t>10.1038/s41564-024-01705-x</t>
  </si>
  <si>
    <t>EST-109</t>
  </si>
  <si>
    <t>Prevention of nosocomial pneumonia recurrence using a bacteriophage cocktail in intensive care unit</t>
  </si>
  <si>
    <t>10.17116/anaesthesiology202402139</t>
  </si>
  <si>
    <t>EST-110</t>
  </si>
  <si>
    <t>Successful Use of Phage and Antibiotics Therapy for the Eradication of Two Bacterial Pathogens from the Respiratory Tract of an Infant.</t>
  </si>
  <si>
    <t>10.1007/978-1-0716-3523-0_15</t>
  </si>
  <si>
    <t>EST-115</t>
  </si>
  <si>
    <t>Antiphage activity of sera during phage therapy in relation to its outcome.</t>
  </si>
  <si>
    <t>10.2217/fmb-2016-0156</t>
  </si>
  <si>
    <t>EST-116</t>
  </si>
  <si>
    <t>Processing Phage Therapy Requests in a Brussels Military Hospital: Lessons Identified.</t>
  </si>
  <si>
    <t>10.3390/v11030265</t>
  </si>
  <si>
    <t>EST-117</t>
  </si>
  <si>
    <t>Anti-phage serum antibody responses and the outcome of phage therapy.</t>
  </si>
  <si>
    <t>10.1007/s12223-020-00835-z</t>
  </si>
  <si>
    <t>EST-118</t>
  </si>
  <si>
    <t>Intravesical bacteriophages for treating urinary tract infections in patients undergoing transurethral resection of the prostate: a randomised, placebo-controlled, double-blind cli</t>
  </si>
  <si>
    <t>32949500</t>
  </si>
  <si>
    <t>EST-120</t>
  </si>
  <si>
    <t>Possibilities of inhalation bacteriophage therapy in treatment of children with acute tonsillitis</t>
  </si>
  <si>
    <t>10.21518/2079-701x-2021-17-86-93</t>
  </si>
  <si>
    <t>EST-121</t>
  </si>
  <si>
    <t>Do Anti-Phage Antibodies Persist after Phage Therapy? A Preliminary Report</t>
  </si>
  <si>
    <t>10.3390/antibiotics11101358</t>
  </si>
  <si>
    <t>EST-122</t>
  </si>
  <si>
    <t>Standardised treatment and monitoring protocol to assess safety and tolerability of bacteriophage therapy for adult and paediatric patients (STAMP study): protocol for an open-labe</t>
  </si>
  <si>
    <t>10.1136/bmjopen-2022-065401</t>
  </si>
  <si>
    <t>EST-123</t>
  </si>
  <si>
    <t>INFLUENCE OF INHALED BACTERIOPHAGE THERAPY ON ORAL MUCOSAL IMMUNITY IN CHILDREN WITH ACUTE TONSILLITIS; [ВЛИЯНИЕ ИНГАЛЯЦИОННОЙ БАКТЕРИОФАГТЕРАПИИ НА МУКОЗАЛЬНЫЙ ИММУНИТЕТ РОТОВОЙ П</t>
  </si>
  <si>
    <t>10.15789/2220-7619-ioi-2081</t>
  </si>
  <si>
    <t>EST-124</t>
  </si>
  <si>
    <t>Successful Bacteriophage-Antibiotic Combination Therapy against Multidrug-Resistant Pseudomonas aeruginosa Left Ventricular Assist Device Driveline Infection.</t>
  </si>
  <si>
    <t>10.3390/v15051210</t>
  </si>
  <si>
    <t>EST-125</t>
  </si>
  <si>
    <t>[Phage therapy in overcoming antibiotic resistance in chronic rhinosinusitis].</t>
  </si>
  <si>
    <t>10.17116/otorino20238806148</t>
  </si>
  <si>
    <t>EST-126</t>
  </si>
  <si>
    <t>Application of bacteriophage therapy in the treatment of children with acute tonsillitis</t>
  </si>
  <si>
    <t xml:space="preserve">International Journal of Pediatrics and Adolescent Medicine </t>
  </si>
  <si>
    <t>10.4103/ijpam.ijpam_1_24</t>
  </si>
  <si>
    <t>EST-127</t>
  </si>
  <si>
    <t>Bacteriophage Therapy for Vaginal Infections Pregnancy as a Way of its Favorable Outcome</t>
  </si>
  <si>
    <t>10.34883/pi.2024.14.3.006</t>
  </si>
  <si>
    <t>EST-128</t>
  </si>
  <si>
    <t>Bacteriophages for the treatment of pseudomonas-infected vascular prosthesis; [Bakteriofager til behandling af pseudomonasinficeret karprotese]</t>
  </si>
  <si>
    <t>10.61409/v09230617</t>
  </si>
  <si>
    <t>EST-129</t>
  </si>
  <si>
    <t>Phage Therapy for Orthopaedic Infections: The First Three Cases from the United Kingdom</t>
  </si>
  <si>
    <t>10.3390/antibiotics14020114</t>
  </si>
  <si>
    <t>EST-130</t>
  </si>
  <si>
    <t>Prolonged disease remission of the chronic immunological skin disorder hidradenitis suppurativa with adjunctive bacteriophage therapy.</t>
  </si>
  <si>
    <t>10.1038/s41467-025-65939-x</t>
  </si>
  <si>
    <t>EST-131</t>
  </si>
  <si>
    <t>Results of TOR001: An open-label single patient study using targeted bacteriophage therapy for the treatment of a chronic urinary tract infection</t>
  </si>
  <si>
    <t>10.1016/j.ijantimicag.2025.107613</t>
  </si>
  <si>
    <t>EST-132</t>
  </si>
  <si>
    <t>Evaluation of the Potential Efficacy of Bacteriophage Therapy for the Management of Pressure Ulcers and Its Comparison to Conventional Therapy: A Randomized Controlled Trial</t>
  </si>
  <si>
    <t>10.5005/jp-journals-10071-25143</t>
  </si>
  <si>
    <t>EST-133</t>
  </si>
  <si>
    <t>Phage therapy for the treatment for urinary tract infection: results of in-vitro screenings and in-vivo application using commercially available bacteriophage cocktails</t>
  </si>
  <si>
    <t>2016</t>
  </si>
  <si>
    <t>cita: Eur Urol Suppl 2016 (informe previo del grupo de Leitner)</t>
  </si>
  <si>
    <t>EST-134</t>
  </si>
  <si>
    <t>Adapted Bacteriophages for Treating Urinary Tract Infections.</t>
  </si>
  <si>
    <t>30131795</t>
  </si>
  <si>
    <t>EST-135</t>
  </si>
  <si>
    <t>The Potential Innovative Use of Bacteriophages Within the DAC® Hydrogel to Treat Patients With Knee Megaprosthesis Infection Requiring “Debridement Antibiotics and Implant Retentio</t>
  </si>
  <si>
    <t>10.3389/fmed.2020.00342</t>
  </si>
  <si>
    <t>EST-136</t>
  </si>
  <si>
    <t>[Clinical efficiency of polyvalent piobacteriophage in the complex treatment of nosocomial sinusitis].</t>
  </si>
  <si>
    <t>10.17116/otorino20259004133</t>
  </si>
  <si>
    <t>EST-139</t>
  </si>
  <si>
    <t>Hemodynamic aspects of combination treatment using medical ozone and bacteriophages in patients with chronic endometritis</t>
  </si>
  <si>
    <t>10.17116/rosakush201818475</t>
  </si>
  <si>
    <t>EST-140</t>
  </si>
  <si>
    <t>Novel bacteriophage therapy for treatment of left ventricular assist device infection.</t>
  </si>
  <si>
    <t>10.1016/j.healun.2019.01.001</t>
  </si>
  <si>
    <t>EST-142</t>
  </si>
  <si>
    <t>Bacteriophage therapy for bacterial endophthalmitis</t>
  </si>
  <si>
    <t>cita: Jpn J Clin Ophthalmol 2021</t>
  </si>
  <si>
    <t>EST-144</t>
  </si>
  <si>
    <t>Results of a clinical study of the drug efficacy and safety for intravesical administration based on bacteriophages in therapy in patients with chronic recurrent cystitis; [Результ</t>
  </si>
  <si>
    <t>10.26442/20795696.2021.6.201286</t>
  </si>
  <si>
    <t>EST-145</t>
  </si>
  <si>
    <t>Vacuum Therapy in the Treatment of a Patient with Chronic Periprosthetic Infection after Total Hip Arthroplasty</t>
  </si>
  <si>
    <t>10.18484/2305-0047.2022.4.401</t>
  </si>
  <si>
    <t>EST-146</t>
  </si>
  <si>
    <t>A Retrospective, Observational Study of 12 Cases of Expanded-Access Customized Phage Therapy: Production, Characteristics, and Clinical Outcomes.</t>
  </si>
  <si>
    <t>10.1093/cid/ciad335</t>
  </si>
  <si>
    <t>EST-147</t>
  </si>
  <si>
    <t>Complex surgical treatment of recurrent post-injection abscess in a patient with systemic autoimmune disease; [Комплексное хирургическое лечение рецидивирующего постинъекционного а</t>
  </si>
  <si>
    <t>10.17116/hirurgia2023121123</t>
  </si>
  <si>
    <t>EST-151</t>
  </si>
  <si>
    <t>[Experience with the use of bacteriophages in patients with neurogenic lower urinary tract dysfunction, complicated by recurrent lower urinary tract infection].</t>
  </si>
  <si>
    <t>10.18565/urology.2024.1.114-118</t>
  </si>
  <si>
    <t>EST-152</t>
  </si>
  <si>
    <t>The Appearance of Antiphage Antibodies in Sera of Patients Treated with Phages</t>
  </si>
  <si>
    <t>10.3390/antibiotics14010087</t>
  </si>
  <si>
    <t>EST-157</t>
  </si>
  <si>
    <t>A Randomized, Placebo-controlled, Double-blind Clinical Trial of Bacteriophage Cocktails in Chronic Wound Infections.</t>
  </si>
  <si>
    <t>38233034</t>
  </si>
  <si>
    <t>EST-159</t>
  </si>
  <si>
    <t>Bacteriophage-Enriched Galenic for Intrapericardial Ventricular Assist Device Infection</t>
  </si>
  <si>
    <t>10.3390/antibiotics11050602</t>
  </si>
  <si>
    <t>EST-163</t>
  </si>
  <si>
    <t>The use of bacteriophages in therapy of ENT organs in children</t>
  </si>
  <si>
    <t>10.20953/1817-7646-2018-2-49-53</t>
  </si>
  <si>
    <t>EST-164</t>
  </si>
  <si>
    <t>Bacteriophage Application for Difficult-to-treat Musculoskeletal Infections: Development of a Standardized Multidisciplinary Treatment Protocol.</t>
  </si>
  <si>
    <t>10.3390/v11100891</t>
  </si>
  <si>
    <t>EST-165</t>
  </si>
  <si>
    <t>Use of Customized Bacteriophages in the Treatment of Chronic Nonhealing Wounds: A Prospective Study.</t>
  </si>
  <si>
    <t>10.1177/1534734619881076</t>
  </si>
  <si>
    <t>EST-166</t>
  </si>
  <si>
    <t>THE CURRENT STATE OF THE PROBLEM AND A CLINICAL OBSERVATION OF THERAPY FOR OBSTETRIC SEPSIS CAUSED BY ESKAPE PATHOGENS</t>
  </si>
  <si>
    <t>10.18565/aig.2022.4.164-175</t>
  </si>
  <si>
    <t>EST-167</t>
  </si>
  <si>
    <t>Biological Therapy on Infected Traumatic Wounds: A Case-Control Study.</t>
  </si>
  <si>
    <t>10.1177/15347346211072779</t>
  </si>
  <si>
    <t>EST-168</t>
  </si>
  <si>
    <t>Combination Therapy for Inflammatory Diseases of the Uterine Appendages as an Alternative to Standard Treatment Regimens</t>
  </si>
  <si>
    <t>10.34883/pi.2024.14.2.005</t>
  </si>
  <si>
    <t>EST-169</t>
  </si>
  <si>
    <t>Safety and tolerability of bronchoscopic and nebulised administration of bacteriophage.</t>
  </si>
  <si>
    <t>10.1016/j.virusres.2024.199442</t>
  </si>
  <si>
    <t>EST-170</t>
  </si>
  <si>
    <t>Thoracic endovascular aneurysm repair of a ruptured zone 0 mycotic thoracic aortic aneurysm</t>
  </si>
  <si>
    <t>10.1016/j.avsurg.2024.100302</t>
  </si>
  <si>
    <t>EST-173</t>
  </si>
  <si>
    <t>Use of bacteriophages in the treatment of infected wounds in patients who have allergy to antibiotics</t>
  </si>
  <si>
    <t>cita: Surgical Chronicles 2016</t>
  </si>
  <si>
    <t>EST-174</t>
  </si>
  <si>
    <t>[CORRECTION OF ENTERAL INSUFFICIENCY SYNDROME IN PATIENTS, SUFFERING DIFFUSE PERITONITIS].</t>
  </si>
  <si>
    <t>27244910</t>
  </si>
  <si>
    <t>EST-175</t>
  </si>
  <si>
    <t>[Secondary prevention of chronic tonsillitis exacerbations by bacteriophage medications].</t>
  </si>
  <si>
    <t>10.17116/otorino20198402146</t>
  </si>
  <si>
    <t>EST-176</t>
  </si>
  <si>
    <t>Chronic endometritis in patients of reproductive age: Individualized treatment capabilities; [Хронический эндометрит у пациенток репродуктивного возраста: возможности индивидуализи</t>
  </si>
  <si>
    <t>10.17749/2313-7347/ob.gyn.rep.2020.157</t>
  </si>
  <si>
    <t>EST-177</t>
  </si>
  <si>
    <t>A randomized, double-blind, placebo- -controlled study to investigate the use of bacteriophages in patients with chronic rhinosinusitis with nasal polyps.</t>
  </si>
  <si>
    <t>35175218</t>
  </si>
  <si>
    <t>EST-178</t>
  </si>
  <si>
    <t>CLINICAL AND LABORATORY JUSTIFICATION FOR USE OF POLYVALENT BACTERIOPHAGE IN TECHNIQUE OF DELAYED PRESCRIBING OF ANTIBIOTICS IN PATIENTS WITH ARS.</t>
  </si>
  <si>
    <t>10.36740/wlek202106129</t>
  </si>
  <si>
    <t>EST-179</t>
  </si>
  <si>
    <t>BACTERIOPHAGES IN RECURRENT URINARY TRACT INFECTION IN PATIENTS WITH PAINFUL BLADDER SYNDROME/INTERSTITIAL CYSTITIS. CLINICAL CASES</t>
  </si>
  <si>
    <t>Urologiia</t>
  </si>
  <si>
    <t>10.18565/urology.2022.3.115-118</t>
  </si>
  <si>
    <t>EST-180</t>
  </si>
  <si>
    <t>Impact of multizonal decontamination of upper respiratory tract on incidence of ventilator-associated pneumonia: multicenter randomized pilot study</t>
  </si>
  <si>
    <t>10.21320/1818-474x-2023-3-66-81</t>
  </si>
  <si>
    <t>EST-181</t>
  </si>
  <si>
    <t>Short-Term Outcomes of Phage-Antibiotic Combination Treatment in Adult Patients with Periprosthetic Hip Joint Infection.</t>
  </si>
  <si>
    <t>36851713</t>
  </si>
  <si>
    <t>EST-183</t>
  </si>
  <si>
    <t>Pioneering methods in managing acute respiratory infections with tonsillopharyngitis in pediatric patients prone to recurrent respiratory illnesses; [Новые подходы к терапии эпизод</t>
  </si>
  <si>
    <t>10.32364/2587-6821-2025-9-12-5</t>
  </si>
  <si>
    <t>EST-184</t>
  </si>
  <si>
    <t>Severe Darier disease complicated by recurrent multidrug-resistant cutaneous infection</t>
  </si>
  <si>
    <t>10.1016/j.jdcr.2026.06.010</t>
  </si>
  <si>
    <t>EST-185</t>
  </si>
  <si>
    <t>The management of sternal mediastinitis in heart and lung transplant patients: An 8-year experience and application of reconstructive algorithm</t>
  </si>
  <si>
    <t>10.1016/j.bjps.2026.06.028</t>
  </si>
  <si>
    <t>EST-188</t>
  </si>
  <si>
    <t>Potential treatment method of recurrent urinary tract infection in postmenopausal kidney transplant recipients: the results of pilot study</t>
  </si>
  <si>
    <t>cita: Nephrol Dial Transplant 2020 (resumen de congreso)</t>
  </si>
  <si>
    <t>EST-189</t>
  </si>
  <si>
    <t>EVALUATION OF THE EFFECTIVENESS OF THE USE OF BACTERIOPHAGES IN THE TREATMENT OF ACUTE INTESTINAL INFECTIONS CAUSED BY OPPORTUNISTIC PATHOGENS IN INFANTS</t>
  </si>
  <si>
    <t>10.24110/0031-403x-2024-103-1-114-123</t>
  </si>
  <si>
    <t>EST-193</t>
  </si>
  <si>
    <t>Medical ozone and bacteriophage preparations as an important component in the combination therapy of chronic nonspecific endometritis</t>
  </si>
  <si>
    <t>10.17116/rosakush201616546-49</t>
  </si>
  <si>
    <t>EST-194</t>
  </si>
  <si>
    <t>Clinical efficacy of bacteriophage and laser therapy in the treatment of chronic endometritis</t>
  </si>
  <si>
    <t>10.17116/repro20192505169</t>
  </si>
  <si>
    <t>EST-195</t>
  </si>
  <si>
    <t>Evaluation of the efficiency and safety of topical application of the bacteriophage-containing gels fagogin and fagoderm for the prevention of wound complications in puerperas; [ОЦ</t>
  </si>
  <si>
    <t>10.18565/aig.2019.6.126-131</t>
  </si>
  <si>
    <t>EST-196</t>
  </si>
  <si>
    <t>PREVENTION OF INFECTIOUS AND INFLAMMATORY COMPLICATIONS AFTER PERCUTANEOUS NEPHROLITHOTOMY</t>
  </si>
  <si>
    <t>10.18565/urology.2020.3.26-33</t>
  </si>
  <si>
    <t>EST-197</t>
  </si>
  <si>
    <t xml:space="preserve">The experience of using a bacteriophages-based complex antibacterial and analgesic drug in gel formulation in women who underwent various instrumental and diagnostic and treatment </t>
  </si>
  <si>
    <t>10.26442/20795696.2020.3.200199</t>
  </si>
  <si>
    <t>EST-198</t>
  </si>
  <si>
    <t>Experience of using bacteriophages in the complex treatment of children with aphthous stomatitis; [Opyt ispol'zovaniya bakteriofagov v kompleksnom lechenii detei s aftoznym stomati</t>
  </si>
  <si>
    <t>10.17116/stomat202210106122</t>
  </si>
  <si>
    <t>EST-199</t>
  </si>
  <si>
    <t>Successful use of a phage endolysin for treatment of chronic pelvic pain syndrome/chronic bacterial prostatitis</t>
  </si>
  <si>
    <t>10.3389/fmed.2023.1238147</t>
  </si>
  <si>
    <t>EST-200</t>
  </si>
  <si>
    <t>Bacteriophages as an Alternative Method for Preventing Infectious Complications of Cesarean Section</t>
  </si>
  <si>
    <t>10.34883/pi.2024.14.2.003</t>
  </si>
  <si>
    <t>EST-205</t>
  </si>
  <si>
    <t>Beneficios obtenidos con el empleo de bacteriófagos en el tratamiento de infecciones crónicas</t>
  </si>
  <si>
    <t>cita: Rev Cubana Angiol Cir Vasc 2017</t>
  </si>
  <si>
    <t>EST-206</t>
  </si>
  <si>
    <t>[Results of the observational (non-interventional) research 'Analysis of therapeutic efficiency of the polyvalent Piobacteriophag (Secstaphag) in the treatment of acute sinusitis']</t>
  </si>
  <si>
    <t>10.17116/otorino20198405155</t>
  </si>
  <si>
    <t>EST-207</t>
  </si>
  <si>
    <t>Successful bacteriophage treatment of infection involving cardiac implantable electronic device and aortic graft: a Trojan horse concept.</t>
  </si>
  <si>
    <t>10.1093/europace/euz319</t>
  </si>
  <si>
    <t>EST-208</t>
  </si>
  <si>
    <t>Treatment of chronic left ventricular assist device infection with local application of bacteriophages.</t>
  </si>
  <si>
    <t>10.1093/ejcts/ezz295</t>
  </si>
  <si>
    <t>EST-212</t>
  </si>
  <si>
    <t>Local Treatment of Driveline Infection with Bacteriophages</t>
  </si>
  <si>
    <t>10.3390/antibiotics11101310</t>
  </si>
  <si>
    <t>EST-219</t>
  </si>
  <si>
    <t>Bacteriophages in complex treatment of septic diseases of the hand; [Использование лекарственных препаратов бактериофагов в комплексном лечении гнойных заболеваний кисти]</t>
  </si>
  <si>
    <t>10.17116/hirurgia202309145</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</si>
</sst>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b/>
      <color rgb="FFFFFFFF"/>
      <name val="Calibri"/>
      <scheme val="minor"/>
    </font>
    <font>
      <sz val="11.0"/>
      <color theme="1"/>
      <name val="Calibri"/>
    </font>
    <font>
      <u/>
      <color rgb="FF0563C1"/>
    </font>
  </fonts>
  <fills count="5">
    <fill>
      <patternFill patternType="none"/>
    </fill>
    <fill>
      <patternFill patternType="lightGray"/>
    </fill>
    <fill>
      <patternFill patternType="solid">
        <fgColor rgb="FF1F4E79"/>
        <bgColor rgb="FF1F4E79"/>
      </patternFill>
    </fill>
    <fill>
      <patternFill patternType="solid">
        <fgColor rgb="FFFFF2CC"/>
        <bgColor rgb="FFFFF2CC"/>
      </patternFill>
    </fill>
    <fill>
      <patternFill patternType="solid">
        <fgColor rgb="FFEDEDED"/>
        <bgColor rgb="FFEDEDED"/>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1" fillId="2" fontId="3" numFmtId="0" xfId="0" applyBorder="1" applyFont="1"/>
    <xf borderId="1" fillId="3" fontId="4" numFmtId="0" xfId="0" applyBorder="1" applyFill="1" applyFont="1"/>
    <xf borderId="1" fillId="4" fontId="4" numFmtId="0" xfId="0" applyBorder="1" applyFill="1" applyFont="1"/>
    <xf borderId="1" fillId="4" fontId="5" numFmtId="0" xfId="0" applyBorder="1" applyFont="1"/>
    <xf borderId="1" fillId="3" fontId="4" numFmtId="0" xfId="0" applyAlignment="1" applyBorder="1" applyFont="1">
      <alignment readingOrder="0"/>
    </xf>
    <xf borderId="0" fillId="0" fontId="4" numFmtId="0" xfId="0" applyAlignment="1" applyFont="1">
      <alignment shrinkToFit="0" vertical="top"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3390/antibiotics12121734" TargetMode="External"/><Relationship Id="rId42" Type="http://schemas.openxmlformats.org/officeDocument/2006/relationships/hyperlink" Target="https://doi.org/10.1038/s41598-024-52192-3" TargetMode="External"/><Relationship Id="rId41" Type="http://schemas.openxmlformats.org/officeDocument/2006/relationships/hyperlink" Target="https://doi.org/10.2147/idr.s413900" TargetMode="External"/><Relationship Id="rId44" Type="http://schemas.openxmlformats.org/officeDocument/2006/relationships/hyperlink" Target="https://doi.org/10.1016/s1473-3099(26)00176-3" TargetMode="External"/><Relationship Id="rId43" Type="http://schemas.openxmlformats.org/officeDocument/2006/relationships/hyperlink" Target="https://doi.org/10.1002/mlf2.70042" TargetMode="External"/><Relationship Id="rId46" Type="http://schemas.openxmlformats.org/officeDocument/2006/relationships/hyperlink" Target="https://doi.org/10.20953/1729-9225-2017-4-49-54" TargetMode="External"/><Relationship Id="rId45" Type="http://schemas.openxmlformats.org/officeDocument/2006/relationships/hyperlink" Target="https://doi.org/10.1016/j.jpeds.2026.115005" TargetMode="External"/><Relationship Id="rId107" Type="http://schemas.openxmlformats.org/officeDocument/2006/relationships/hyperlink" Target="https://doi.org/10.17116/otorino20238806148" TargetMode="External"/><Relationship Id="rId106" Type="http://schemas.openxmlformats.org/officeDocument/2006/relationships/hyperlink" Target="https://doi.org/10.3390/v15051210" TargetMode="External"/><Relationship Id="rId105" Type="http://schemas.openxmlformats.org/officeDocument/2006/relationships/hyperlink" Target="https://doi.org/10.15789/2220-7619-ioi-2081" TargetMode="External"/><Relationship Id="rId104" Type="http://schemas.openxmlformats.org/officeDocument/2006/relationships/hyperlink" Target="https://doi.org/10.1136/bmjopen-2022-065401" TargetMode="External"/><Relationship Id="rId109" Type="http://schemas.openxmlformats.org/officeDocument/2006/relationships/hyperlink" Target="https://doi.org/10.34883/pi.2024.14.3.006" TargetMode="External"/><Relationship Id="rId108" Type="http://schemas.openxmlformats.org/officeDocument/2006/relationships/hyperlink" Target="https://doi.org/10.4103/ijpam.ijpam_1_24" TargetMode="External"/><Relationship Id="rId48" Type="http://schemas.openxmlformats.org/officeDocument/2006/relationships/hyperlink" Target="https://doi.org/10.1128/aac.00924-19" TargetMode="External"/><Relationship Id="rId47" Type="http://schemas.openxmlformats.org/officeDocument/2006/relationships/hyperlink" Target="https://doi.org/10.1186/s13054-017-1709-y" TargetMode="External"/><Relationship Id="rId49" Type="http://schemas.openxmlformats.org/officeDocument/2006/relationships/hyperlink" Target="https://doi.org/10.1093/ofid/ofad051" TargetMode="External"/><Relationship Id="rId103" Type="http://schemas.openxmlformats.org/officeDocument/2006/relationships/hyperlink" Target="https://doi.org/10.3390/antibiotics11101358" TargetMode="External"/><Relationship Id="rId102" Type="http://schemas.openxmlformats.org/officeDocument/2006/relationships/hyperlink" Target="https://doi.org/10.21518/2079-701x-2021-17-86-93" TargetMode="External"/><Relationship Id="rId101" Type="http://schemas.openxmlformats.org/officeDocument/2006/relationships/hyperlink" Target="https://pubmed.ncbi.nlm.nih.gov/32949500/" TargetMode="External"/><Relationship Id="rId100" Type="http://schemas.openxmlformats.org/officeDocument/2006/relationships/hyperlink" Target="https://doi.org/10.1007/s12223-020-00835-z" TargetMode="External"/><Relationship Id="rId31" Type="http://schemas.openxmlformats.org/officeDocument/2006/relationships/hyperlink" Target="https://pubmed.ncbi.nlm.nih.gov/39740667/" TargetMode="External"/><Relationship Id="rId30" Type="http://schemas.openxmlformats.org/officeDocument/2006/relationships/hyperlink" Target="https://doi.org/10.1016/j.jiac.2025.102770" TargetMode="External"/><Relationship Id="rId33" Type="http://schemas.openxmlformats.org/officeDocument/2006/relationships/hyperlink" Target="https://doi.org/10.1016/j.medmic.2026.100178" TargetMode="External"/><Relationship Id="rId32" Type="http://schemas.openxmlformats.org/officeDocument/2006/relationships/hyperlink" Target="https://doi.org/10.1128/asmcr.00108-25" TargetMode="External"/><Relationship Id="rId35" Type="http://schemas.openxmlformats.org/officeDocument/2006/relationships/hyperlink" Target="https://doi.org/10.1164/rccm.201904-0839le" TargetMode="External"/><Relationship Id="rId34" Type="http://schemas.openxmlformats.org/officeDocument/2006/relationships/hyperlink" Target="https://doi.org/10.1093/jpids/pix056" TargetMode="External"/><Relationship Id="rId37" Type="http://schemas.openxmlformats.org/officeDocument/2006/relationships/hyperlink" Target="https://pubmed.ncbi.nlm.nih.gov/36578069/" TargetMode="External"/><Relationship Id="rId36" Type="http://schemas.openxmlformats.org/officeDocument/2006/relationships/hyperlink" Target="https://doi.org/10.1093/ofid/ofaa389" TargetMode="External"/><Relationship Id="rId39" Type="http://schemas.openxmlformats.org/officeDocument/2006/relationships/hyperlink" Target="https://doi.org/10.3390/v13101901" TargetMode="External"/><Relationship Id="rId38" Type="http://schemas.openxmlformats.org/officeDocument/2006/relationships/hyperlink" Target="https://doi.org/10.1177/11795476251411094" TargetMode="External"/><Relationship Id="rId20" Type="http://schemas.openxmlformats.org/officeDocument/2006/relationships/hyperlink" Target="https://doi.org/10.5582/bst.2022.01147" TargetMode="External"/><Relationship Id="rId22" Type="http://schemas.openxmlformats.org/officeDocument/2006/relationships/hyperlink" Target="https://doi.org/10.3389/fmed.2022.851310" TargetMode="External"/><Relationship Id="rId21" Type="http://schemas.openxmlformats.org/officeDocument/2006/relationships/hyperlink" Target="https://doi.org/10.1093/jacamr/dlac046" TargetMode="External"/><Relationship Id="rId24" Type="http://schemas.openxmlformats.org/officeDocument/2006/relationships/hyperlink" Target="https://doi.org/10.1080/1120009x.2025.2547147" TargetMode="External"/><Relationship Id="rId23" Type="http://schemas.openxmlformats.org/officeDocument/2006/relationships/hyperlink" Target="https://doi.org/10.7759/cureus.77681" TargetMode="External"/><Relationship Id="rId129" Type="http://schemas.openxmlformats.org/officeDocument/2006/relationships/hyperlink" Target="https://doi.org/10.3390/antibiotics11050602" TargetMode="External"/><Relationship Id="rId128" Type="http://schemas.openxmlformats.org/officeDocument/2006/relationships/hyperlink" Target="https://pubmed.ncbi.nlm.nih.gov/38233034/" TargetMode="External"/><Relationship Id="rId127" Type="http://schemas.openxmlformats.org/officeDocument/2006/relationships/hyperlink" Target="https://doi.org/10.3390/antibiotics14010087" TargetMode="External"/><Relationship Id="rId126" Type="http://schemas.openxmlformats.org/officeDocument/2006/relationships/hyperlink" Target="https://doi.org/10.18565/urology.2024.1.114-118" TargetMode="External"/><Relationship Id="rId26" Type="http://schemas.openxmlformats.org/officeDocument/2006/relationships/hyperlink" Target="https://doi.org/10.1038/s41467-025-59806-y" TargetMode="External"/><Relationship Id="rId121" Type="http://schemas.openxmlformats.org/officeDocument/2006/relationships/hyperlink" Target="https://trialsearch.who.int/?TrialID=cita:%20Jpn%20J%20Clin%20Ophthalmol%202021" TargetMode="External"/><Relationship Id="rId25" Type="http://schemas.openxmlformats.org/officeDocument/2006/relationships/hyperlink" Target="https://doi.org/10.1016/j.medj.2024.05.017" TargetMode="External"/><Relationship Id="rId120" Type="http://schemas.openxmlformats.org/officeDocument/2006/relationships/hyperlink" Target="https://doi.org/10.1016/j.healun.2019.01.001" TargetMode="External"/><Relationship Id="rId28" Type="http://schemas.openxmlformats.org/officeDocument/2006/relationships/hyperlink" Target="https://pubmed.ncbi.nlm.nih.gov/30292481/" TargetMode="External"/><Relationship Id="rId27" Type="http://schemas.openxmlformats.org/officeDocument/2006/relationships/hyperlink" Target="https://doi.org/10.1177/23247096231188243" TargetMode="External"/><Relationship Id="rId125" Type="http://schemas.openxmlformats.org/officeDocument/2006/relationships/hyperlink" Target="https://doi.org/10.17116/hirurgia2023121123" TargetMode="External"/><Relationship Id="rId29" Type="http://schemas.openxmlformats.org/officeDocument/2006/relationships/hyperlink" Target="https://doi.org/10.1038/s41467-023-39370-z" TargetMode="External"/><Relationship Id="rId124" Type="http://schemas.openxmlformats.org/officeDocument/2006/relationships/hyperlink" Target="https://doi.org/10.1093/cid/ciad335" TargetMode="External"/><Relationship Id="rId123" Type="http://schemas.openxmlformats.org/officeDocument/2006/relationships/hyperlink" Target="https://doi.org/10.18484/2305-0047.2022.4.401" TargetMode="External"/><Relationship Id="rId122" Type="http://schemas.openxmlformats.org/officeDocument/2006/relationships/hyperlink" Target="https://doi.org/10.26442/20795696.2021.6.201286" TargetMode="External"/><Relationship Id="rId95" Type="http://schemas.openxmlformats.org/officeDocument/2006/relationships/hyperlink" Target="https://doi.org/10.1038/s41564-024-01705-x" TargetMode="External"/><Relationship Id="rId94" Type="http://schemas.openxmlformats.org/officeDocument/2006/relationships/hyperlink" Target="https://doi.org/10.1093/emph/eoy005" TargetMode="External"/><Relationship Id="rId97" Type="http://schemas.openxmlformats.org/officeDocument/2006/relationships/hyperlink" Target="https://doi.org/10.1007/978-1-0716-3523-0_15" TargetMode="External"/><Relationship Id="rId96" Type="http://schemas.openxmlformats.org/officeDocument/2006/relationships/hyperlink" Target="https://doi.org/10.17116/anaesthesiology202402139" TargetMode="External"/><Relationship Id="rId11" Type="http://schemas.openxmlformats.org/officeDocument/2006/relationships/hyperlink" Target="https://doi.org/10.1007/s15010-019-01319-0" TargetMode="External"/><Relationship Id="rId99" Type="http://schemas.openxmlformats.org/officeDocument/2006/relationships/hyperlink" Target="https://doi.org/10.3390/v11030265" TargetMode="External"/><Relationship Id="rId10" Type="http://schemas.openxmlformats.org/officeDocument/2006/relationships/hyperlink" Target="https://doi.org/10.1038/s41591-025-03678-8" TargetMode="External"/><Relationship Id="rId98" Type="http://schemas.openxmlformats.org/officeDocument/2006/relationships/hyperlink" Target="https://doi.org/10.2217/fmb-2016-0156" TargetMode="External"/><Relationship Id="rId13" Type="http://schemas.openxmlformats.org/officeDocument/2006/relationships/hyperlink" Target="https://doi.org/10.1016/j.ijid.2026.108756" TargetMode="External"/><Relationship Id="rId12" Type="http://schemas.openxmlformats.org/officeDocument/2006/relationships/hyperlink" Target="https://doi.org/10.3390/v16071080" TargetMode="External"/><Relationship Id="rId91" Type="http://schemas.openxmlformats.org/officeDocument/2006/relationships/hyperlink" Target="https://doi.org/10.3390/biomedicines13092103" TargetMode="External"/><Relationship Id="rId90" Type="http://schemas.openxmlformats.org/officeDocument/2006/relationships/hyperlink" Target="https://doi.org/10.20953/1729-9225-2024-4-76-85" TargetMode="External"/><Relationship Id="rId93" Type="http://schemas.openxmlformats.org/officeDocument/2006/relationships/hyperlink" Target="https://doi.org/10.1093/jac/dky263" TargetMode="External"/><Relationship Id="rId92" Type="http://schemas.openxmlformats.org/officeDocument/2006/relationships/hyperlink" Target="https://pubmed.ncbi.nlm.nih.gov/41885494/" TargetMode="External"/><Relationship Id="rId118" Type="http://schemas.openxmlformats.org/officeDocument/2006/relationships/hyperlink" Target="https://doi.org/10.17116/otorino20259004133" TargetMode="External"/><Relationship Id="rId117" Type="http://schemas.openxmlformats.org/officeDocument/2006/relationships/hyperlink" Target="https://doi.org/10.3389/fmed.2020.00342" TargetMode="External"/><Relationship Id="rId116" Type="http://schemas.openxmlformats.org/officeDocument/2006/relationships/hyperlink" Target="https://pubmed.ncbi.nlm.nih.gov/30131795/" TargetMode="External"/><Relationship Id="rId115" Type="http://schemas.openxmlformats.org/officeDocument/2006/relationships/hyperlink" Target="https://trialsearch.who.int/?TrialID=cita:%20Eur%20Urol%20Suppl%202016%20(informe%20previo%20del%20grupo%20de%20Leitner)" TargetMode="External"/><Relationship Id="rId119" Type="http://schemas.openxmlformats.org/officeDocument/2006/relationships/hyperlink" Target="https://doi.org/10.17116/rosakush201818475" TargetMode="External"/><Relationship Id="rId15" Type="http://schemas.openxmlformats.org/officeDocument/2006/relationships/hyperlink" Target="https://doi.org/10.1038/s41467-022-31837-9" TargetMode="External"/><Relationship Id="rId110" Type="http://schemas.openxmlformats.org/officeDocument/2006/relationships/hyperlink" Target="https://doi.org/10.61409/v09230617" TargetMode="External"/><Relationship Id="rId14" Type="http://schemas.openxmlformats.org/officeDocument/2006/relationships/hyperlink" Target="https://doi.org/10.3389/fphar.2021.692614" TargetMode="External"/><Relationship Id="rId17" Type="http://schemas.openxmlformats.org/officeDocument/2006/relationships/hyperlink" Target="https://doi.org/10.1038/s41598-025-17510-3" TargetMode="External"/><Relationship Id="rId16" Type="http://schemas.openxmlformats.org/officeDocument/2006/relationships/hyperlink" Target="https://pubmed.ncbi.nlm.nih.gov/40593506/" TargetMode="External"/><Relationship Id="rId19" Type="http://schemas.openxmlformats.org/officeDocument/2006/relationships/hyperlink" Target="https://doi.org/10.1016/j.hlife.2025.03.004" TargetMode="External"/><Relationship Id="rId114" Type="http://schemas.openxmlformats.org/officeDocument/2006/relationships/hyperlink" Target="https://doi.org/10.5005/jp-journals-10071-25143" TargetMode="External"/><Relationship Id="rId18" Type="http://schemas.openxmlformats.org/officeDocument/2006/relationships/hyperlink" Target="https://doi.org/10.1038/s41467-026-74326-z" TargetMode="External"/><Relationship Id="rId113" Type="http://schemas.openxmlformats.org/officeDocument/2006/relationships/hyperlink" Target="https://doi.org/10.1016/j.ijantimicag.2025.107613" TargetMode="External"/><Relationship Id="rId112" Type="http://schemas.openxmlformats.org/officeDocument/2006/relationships/hyperlink" Target="https://doi.org/10.1038/s41467-025-65939-x" TargetMode="External"/><Relationship Id="rId111" Type="http://schemas.openxmlformats.org/officeDocument/2006/relationships/hyperlink" Target="https://doi.org/10.3390/antibiotics14020114" TargetMode="External"/><Relationship Id="rId84" Type="http://schemas.openxmlformats.org/officeDocument/2006/relationships/hyperlink" Target="https://pubmed.ncbi.nlm.nih.gov/40103254/" TargetMode="External"/><Relationship Id="rId83" Type="http://schemas.openxmlformats.org/officeDocument/2006/relationships/hyperlink" Target="https://doi.org/10.3390/ijms27010172" TargetMode="External"/><Relationship Id="rId86" Type="http://schemas.openxmlformats.org/officeDocument/2006/relationships/hyperlink" Target="https://doi.org/10.1038/s41467-025-68136-y" TargetMode="External"/><Relationship Id="rId85" Type="http://schemas.openxmlformats.org/officeDocument/2006/relationships/hyperlink" Target="https://doi.org/10.1093/jacamr/dlaf257" TargetMode="External"/><Relationship Id="rId88" Type="http://schemas.openxmlformats.org/officeDocument/2006/relationships/hyperlink" Target="https://doi.org/10.3390/antibiotics10060627" TargetMode="External"/><Relationship Id="rId150" Type="http://schemas.openxmlformats.org/officeDocument/2006/relationships/hyperlink" Target="https://trialsearch.who.int/?TrialID=cita:%20Nephrol%20Dial%20Transplant%202020%20(resumen%20de%20congreso)" TargetMode="External"/><Relationship Id="rId87" Type="http://schemas.openxmlformats.org/officeDocument/2006/relationships/hyperlink" Target="https://doi.org/10.15252/emmm.202113936" TargetMode="External"/><Relationship Id="rId89" Type="http://schemas.openxmlformats.org/officeDocument/2006/relationships/hyperlink" Target="https://doi.org/10.1016/j.healun.2022.01.018" TargetMode="External"/><Relationship Id="rId80" Type="http://schemas.openxmlformats.org/officeDocument/2006/relationships/hyperlink" Target="https://doi.org/10.3389/fcimb.2024.1354681" TargetMode="External"/><Relationship Id="rId82" Type="http://schemas.openxmlformats.org/officeDocument/2006/relationships/hyperlink" Target="https://trialsearch.who.int/?TrialID=cita:%20Pharmaceutisch%20Weekblad%202025" TargetMode="External"/><Relationship Id="rId81" Type="http://schemas.openxmlformats.org/officeDocument/2006/relationships/hyperlink" Target="https://doi.org/10.20953/1817-7646-2024-2-123-127" TargetMode="External"/><Relationship Id="rId1" Type="http://schemas.openxmlformats.org/officeDocument/2006/relationships/comments" Target="../comments1.xml"/><Relationship Id="rId2" Type="http://schemas.openxmlformats.org/officeDocument/2006/relationships/hyperlink" Target="https://doi.org/10.3389/fmed.2021.569159" TargetMode="External"/><Relationship Id="rId3" Type="http://schemas.openxmlformats.org/officeDocument/2006/relationships/hyperlink" Target="https://doi.org/10.3389/fmed.2023.1199657" TargetMode="External"/><Relationship Id="rId149" Type="http://schemas.openxmlformats.org/officeDocument/2006/relationships/hyperlink" Target="https://doi.org/10.1016/j.bjps.2026.06.028" TargetMode="External"/><Relationship Id="rId4" Type="http://schemas.openxmlformats.org/officeDocument/2006/relationships/hyperlink" Target="https://doi.org/10.1016/j.medj.2023.07.002" TargetMode="External"/><Relationship Id="rId148" Type="http://schemas.openxmlformats.org/officeDocument/2006/relationships/hyperlink" Target="https://doi.org/10.1016/j.jdcr.2026.06.010" TargetMode="External"/><Relationship Id="rId9" Type="http://schemas.openxmlformats.org/officeDocument/2006/relationships/hyperlink" Target="https://doi.org/10.1038/s41591-025-03678-8" TargetMode="External"/><Relationship Id="rId143" Type="http://schemas.openxmlformats.org/officeDocument/2006/relationships/hyperlink" Target="https://doi.org/10.36740/wlek202106129" TargetMode="External"/><Relationship Id="rId142" Type="http://schemas.openxmlformats.org/officeDocument/2006/relationships/hyperlink" Target="https://pubmed.ncbi.nlm.nih.gov/35175218/" TargetMode="External"/><Relationship Id="rId141" Type="http://schemas.openxmlformats.org/officeDocument/2006/relationships/hyperlink" Target="https://doi.org/10.17749/2313-7347/ob.gyn.rep.2020.157" TargetMode="External"/><Relationship Id="rId140" Type="http://schemas.openxmlformats.org/officeDocument/2006/relationships/hyperlink" Target="https://doi.org/10.17116/otorino20198402146" TargetMode="External"/><Relationship Id="rId5" Type="http://schemas.openxmlformats.org/officeDocument/2006/relationships/hyperlink" Target="https://doi.org/10.1016/j.medj.2023.07.002" TargetMode="External"/><Relationship Id="rId147" Type="http://schemas.openxmlformats.org/officeDocument/2006/relationships/hyperlink" Target="https://doi.org/10.32364/2587-6821-2025-9-12-5" TargetMode="External"/><Relationship Id="rId6" Type="http://schemas.openxmlformats.org/officeDocument/2006/relationships/hyperlink" Target="https://doi.org/10.1016/j.medj.2023.07.002" TargetMode="External"/><Relationship Id="rId146" Type="http://schemas.openxmlformats.org/officeDocument/2006/relationships/hyperlink" Target="https://pubmed.ncbi.nlm.nih.gov/36851713/" TargetMode="External"/><Relationship Id="rId7" Type="http://schemas.openxmlformats.org/officeDocument/2006/relationships/hyperlink" Target="https://doi.org/10.1016/j.medj.2023.07.002" TargetMode="External"/><Relationship Id="rId145" Type="http://schemas.openxmlformats.org/officeDocument/2006/relationships/hyperlink" Target="https://doi.org/10.21320/1818-474x-2023-3-66-81" TargetMode="External"/><Relationship Id="rId8" Type="http://schemas.openxmlformats.org/officeDocument/2006/relationships/hyperlink" Target="https://doi.org/10.1016/j.medj.2023.07.002" TargetMode="External"/><Relationship Id="rId144" Type="http://schemas.openxmlformats.org/officeDocument/2006/relationships/hyperlink" Target="https://doi.org/10.18565/urology.2022.3.115-118" TargetMode="External"/><Relationship Id="rId73" Type="http://schemas.openxmlformats.org/officeDocument/2006/relationships/hyperlink" Target="https://trialsearch.who.int/?TrialID=cita:%20Int%20J%20Diabetes%20Dev%20Ctries%202025" TargetMode="External"/><Relationship Id="rId72" Type="http://schemas.openxmlformats.org/officeDocument/2006/relationships/hyperlink" Target="https://doi.org/10.1128/aac.01728-23" TargetMode="External"/><Relationship Id="rId75" Type="http://schemas.openxmlformats.org/officeDocument/2006/relationships/hyperlink" Target="https://doi.org/10.1089/phage.2020.0010" TargetMode="External"/><Relationship Id="rId74" Type="http://schemas.openxmlformats.org/officeDocument/2006/relationships/hyperlink" Target="https://doi.org/10.21518/ms2025-451" TargetMode="External"/><Relationship Id="rId77" Type="http://schemas.openxmlformats.org/officeDocument/2006/relationships/hyperlink" Target="https://doi.org/10.3390/v13081543" TargetMode="External"/><Relationship Id="rId76" Type="http://schemas.openxmlformats.org/officeDocument/2006/relationships/hyperlink" Target="https://doi.org/10.1097/qco.0000000000000658" TargetMode="External"/><Relationship Id="rId79" Type="http://schemas.openxmlformats.org/officeDocument/2006/relationships/hyperlink" Target="https://doi.org/10.1016/j.jddst.2023.104486" TargetMode="External"/><Relationship Id="rId78" Type="http://schemas.openxmlformats.org/officeDocument/2006/relationships/hyperlink" Target="https://doi.org/10.1111/1751-7915.14217" TargetMode="External"/><Relationship Id="rId71" Type="http://schemas.openxmlformats.org/officeDocument/2006/relationships/hyperlink" Target="https://doi.org/10.1093/cid/ciac694" TargetMode="External"/><Relationship Id="rId70" Type="http://schemas.openxmlformats.org/officeDocument/2006/relationships/hyperlink" Target="https://doi.org/10.15789/1563-0625-pti-2012" TargetMode="External"/><Relationship Id="rId139" Type="http://schemas.openxmlformats.org/officeDocument/2006/relationships/hyperlink" Target="https://pubmed.ncbi.nlm.nih.gov/27244910/" TargetMode="External"/><Relationship Id="rId138" Type="http://schemas.openxmlformats.org/officeDocument/2006/relationships/hyperlink" Target="https://trialsearch.who.int/?TrialID=cita:%20Surgical%20Chronicles%202016" TargetMode="External"/><Relationship Id="rId137" Type="http://schemas.openxmlformats.org/officeDocument/2006/relationships/hyperlink" Target="https://doi.org/10.1016/j.avsurg.2024.100302" TargetMode="External"/><Relationship Id="rId132" Type="http://schemas.openxmlformats.org/officeDocument/2006/relationships/hyperlink" Target="https://doi.org/10.1177/1534734619881076" TargetMode="External"/><Relationship Id="rId131" Type="http://schemas.openxmlformats.org/officeDocument/2006/relationships/hyperlink" Target="https://doi.org/10.3390/v11100891" TargetMode="External"/><Relationship Id="rId130" Type="http://schemas.openxmlformats.org/officeDocument/2006/relationships/hyperlink" Target="https://doi.org/10.20953/1817-7646-2018-2-49-53" TargetMode="External"/><Relationship Id="rId136" Type="http://schemas.openxmlformats.org/officeDocument/2006/relationships/hyperlink" Target="https://doi.org/10.1016/j.virusres.2024.199442" TargetMode="External"/><Relationship Id="rId135" Type="http://schemas.openxmlformats.org/officeDocument/2006/relationships/hyperlink" Target="https://doi.org/10.34883/pi.2024.14.2.005" TargetMode="External"/><Relationship Id="rId134" Type="http://schemas.openxmlformats.org/officeDocument/2006/relationships/hyperlink" Target="https://doi.org/10.1177/15347346211072779" TargetMode="External"/><Relationship Id="rId133" Type="http://schemas.openxmlformats.org/officeDocument/2006/relationships/hyperlink" Target="https://doi.org/10.18565/aig.2022.4.164-175" TargetMode="External"/><Relationship Id="rId62" Type="http://schemas.openxmlformats.org/officeDocument/2006/relationships/hyperlink" Target="https://doi.org/10.1136/bmjresp-2022-001360" TargetMode="External"/><Relationship Id="rId61" Type="http://schemas.openxmlformats.org/officeDocument/2006/relationships/hyperlink" Target="https://doi.org/10.1038/s41467-022-33294-w" TargetMode="External"/><Relationship Id="rId64" Type="http://schemas.openxmlformats.org/officeDocument/2006/relationships/hyperlink" Target="https://doi.org/10.1016/j.eimc.2025.05.008" TargetMode="External"/><Relationship Id="rId63" Type="http://schemas.openxmlformats.org/officeDocument/2006/relationships/hyperlink" Target="https://doi.org/10.1016/j.ijantimicag.2025.107629" TargetMode="External"/><Relationship Id="rId66" Type="http://schemas.openxmlformats.org/officeDocument/2006/relationships/hyperlink" Target="https://clinicaltrials.gov/study/NCT04684641" TargetMode="External"/><Relationship Id="rId65" Type="http://schemas.openxmlformats.org/officeDocument/2006/relationships/hyperlink" Target="https://doi.org/10.15360/1813-9779-2021-6-4-14" TargetMode="External"/><Relationship Id="rId68" Type="http://schemas.openxmlformats.org/officeDocument/2006/relationships/hyperlink" Target="https://doi.org/10.1177/1534734619835115" TargetMode="External"/><Relationship Id="rId67" Type="http://schemas.openxmlformats.org/officeDocument/2006/relationships/hyperlink" Target="https://doi.org/10.1093/ofid/ofad221" TargetMode="External"/><Relationship Id="rId60" Type="http://schemas.openxmlformats.org/officeDocument/2006/relationships/hyperlink" Target="https://doi.org/10.1111/ajt.15503" TargetMode="External"/><Relationship Id="rId165" Type="http://schemas.openxmlformats.org/officeDocument/2006/relationships/hyperlink" Target="https://doi.org/10.17116/hirurgia202309145" TargetMode="External"/><Relationship Id="rId69" Type="http://schemas.openxmlformats.org/officeDocument/2006/relationships/hyperlink" Target="https://doi.org/10.3390/antibiotics9050232" TargetMode="External"/><Relationship Id="rId164" Type="http://schemas.openxmlformats.org/officeDocument/2006/relationships/hyperlink" Target="https://doi.org/10.3390/antibiotics11101310" TargetMode="External"/><Relationship Id="rId163" Type="http://schemas.openxmlformats.org/officeDocument/2006/relationships/hyperlink" Target="https://doi.org/10.1093/ejcts/ezz295" TargetMode="External"/><Relationship Id="rId162" Type="http://schemas.openxmlformats.org/officeDocument/2006/relationships/hyperlink" Target="https://doi.org/10.1093/europace/euz319" TargetMode="External"/><Relationship Id="rId167" Type="http://schemas.openxmlformats.org/officeDocument/2006/relationships/vmlDrawing" Target="../drawings/vmlDrawing1.vml"/><Relationship Id="rId166" Type="http://schemas.openxmlformats.org/officeDocument/2006/relationships/drawing" Target="../drawings/drawing2.xml"/><Relationship Id="rId51" Type="http://schemas.openxmlformats.org/officeDocument/2006/relationships/hyperlink" Target="https://doi.org/10.1016/j.ijantimicag.2024.107372" TargetMode="External"/><Relationship Id="rId50" Type="http://schemas.openxmlformats.org/officeDocument/2006/relationships/hyperlink" Target="https://doi.org/10.1093/infdis/jiac368" TargetMode="External"/><Relationship Id="rId53" Type="http://schemas.openxmlformats.org/officeDocument/2006/relationships/hyperlink" Target="https://doi.org/10.3390/antibiotics13100916" TargetMode="External"/><Relationship Id="rId52" Type="http://schemas.openxmlformats.org/officeDocument/2006/relationships/hyperlink" Target="https://doi.org/10.3389/fmed.2024.1428432" TargetMode="External"/><Relationship Id="rId55" Type="http://schemas.openxmlformats.org/officeDocument/2006/relationships/hyperlink" Target="https://doi.org/10.1097/cu9.0000000000000268" TargetMode="External"/><Relationship Id="rId161" Type="http://schemas.openxmlformats.org/officeDocument/2006/relationships/hyperlink" Target="https://doi.org/10.17116/otorino20198405155" TargetMode="External"/><Relationship Id="rId54" Type="http://schemas.openxmlformats.org/officeDocument/2006/relationships/hyperlink" Target="https://doi.org/10.1097/mao.0000000000004417" TargetMode="External"/><Relationship Id="rId160" Type="http://schemas.openxmlformats.org/officeDocument/2006/relationships/hyperlink" Target="https://trialsearch.who.int/?TrialID=cita:%20Rev%20Cubana%20Angiol%20Cir%20Vasc%202017" TargetMode="External"/><Relationship Id="rId57" Type="http://schemas.openxmlformats.org/officeDocument/2006/relationships/hyperlink" Target="https://doi.org/10.1128/asmcr.00058-24" TargetMode="External"/><Relationship Id="rId56" Type="http://schemas.openxmlformats.org/officeDocument/2006/relationships/hyperlink" Target="https://doi.org/10.3390/v17010123" TargetMode="External"/><Relationship Id="rId159" Type="http://schemas.openxmlformats.org/officeDocument/2006/relationships/hyperlink" Target="https://doi.org/10.34883/pi.2024.14.2.003" TargetMode="External"/><Relationship Id="rId59" Type="http://schemas.openxmlformats.org/officeDocument/2006/relationships/hyperlink" Target="https://doi.org/10.3390/v11010018" TargetMode="External"/><Relationship Id="rId154" Type="http://schemas.openxmlformats.org/officeDocument/2006/relationships/hyperlink" Target="https://doi.org/10.18565/aig.2019.6.126-131" TargetMode="External"/><Relationship Id="rId58" Type="http://schemas.openxmlformats.org/officeDocument/2006/relationships/hyperlink" Target="https://doi.org/10.20953/1729-9225-2017-1-35-40" TargetMode="External"/><Relationship Id="rId153" Type="http://schemas.openxmlformats.org/officeDocument/2006/relationships/hyperlink" Target="https://doi.org/10.17116/repro20192505169" TargetMode="External"/><Relationship Id="rId152" Type="http://schemas.openxmlformats.org/officeDocument/2006/relationships/hyperlink" Target="https://doi.org/10.17116/rosakush201616546-49" TargetMode="External"/><Relationship Id="rId151" Type="http://schemas.openxmlformats.org/officeDocument/2006/relationships/hyperlink" Target="https://doi.org/10.24110/0031-403x-2024-103-1-114-123" TargetMode="External"/><Relationship Id="rId158" Type="http://schemas.openxmlformats.org/officeDocument/2006/relationships/hyperlink" Target="https://doi.org/10.3389/fmed.2023.1238147" TargetMode="External"/><Relationship Id="rId157" Type="http://schemas.openxmlformats.org/officeDocument/2006/relationships/hyperlink" Target="https://doi.org/10.17116/stomat202210106122" TargetMode="External"/><Relationship Id="rId156" Type="http://schemas.openxmlformats.org/officeDocument/2006/relationships/hyperlink" Target="https://doi.org/10.26442/20795696.2020.3.200199" TargetMode="External"/><Relationship Id="rId155" Type="http://schemas.openxmlformats.org/officeDocument/2006/relationships/hyperlink" Target="https://doi.org/10.18565/urology.2020.3.26-33"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2</v>
      </c>
    </row>
    <row r="2">
      <c r="A2" s="2" t="s">
        <v>5</v>
      </c>
    </row>
    <row r="4">
      <c r="A4" s="1" t="s">
        <v>7</v>
      </c>
    </row>
    <row r="6">
      <c r="A6" s="1" t="s">
        <v>8</v>
      </c>
    </row>
    <row r="7">
      <c r="A7" s="2" t="s">
        <v>10</v>
      </c>
    </row>
    <row r="8">
      <c r="A8" s="2" t="s">
        <v>12</v>
      </c>
    </row>
    <row r="9">
      <c r="A9" s="2" t="s">
        <v>13</v>
      </c>
    </row>
    <row r="11">
      <c r="A11" s="1" t="s">
        <v>15</v>
      </c>
    </row>
    <row r="12">
      <c r="A12" s="2" t="s">
        <v>17</v>
      </c>
    </row>
    <row r="13">
      <c r="A13" s="2" t="s">
        <v>20</v>
      </c>
    </row>
    <row r="14">
      <c r="A14" s="2" t="s">
        <v>23</v>
      </c>
    </row>
    <row r="15">
      <c r="A15" s="2" t="s">
        <v>24</v>
      </c>
    </row>
    <row r="17">
      <c r="A17" s="1" t="s">
        <v>27</v>
      </c>
    </row>
    <row r="18">
      <c r="A18" s="2" t="s">
        <v>28</v>
      </c>
    </row>
    <row r="19">
      <c r="A19" s="2" t="s">
        <v>31</v>
      </c>
    </row>
    <row r="20">
      <c r="A20" s="2" t="s">
        <v>32</v>
      </c>
    </row>
    <row r="21" ht="15.75" customHeight="1">
      <c r="A21" s="2" t="s">
        <v>34</v>
      </c>
    </row>
    <row r="22" ht="15.75" customHeight="1"/>
    <row r="23" ht="15.75" customHeight="1">
      <c r="A23" s="1" t="s">
        <v>37</v>
      </c>
    </row>
    <row r="24" ht="15.75" customHeight="1">
      <c r="A24" s="2" t="s">
        <v>40</v>
      </c>
    </row>
    <row r="25" ht="15.75" customHeight="1">
      <c r="A25" s="2" t="s">
        <v>41</v>
      </c>
    </row>
    <row r="26" ht="15.75" customHeight="1"/>
    <row r="27" ht="15.75" customHeight="1">
      <c r="A27" s="1" t="s">
        <v>43</v>
      </c>
    </row>
    <row r="28" ht="15.75" customHeight="1">
      <c r="A28" s="2" t="s">
        <v>44</v>
      </c>
    </row>
    <row r="29" ht="15.75" customHeight="1">
      <c r="A29" s="2" t="s">
        <v>46</v>
      </c>
    </row>
    <row r="30" ht="15.75" customHeight="1"/>
    <row r="31" ht="15.75" customHeight="1">
      <c r="A31" s="1" t="s">
        <v>47</v>
      </c>
    </row>
    <row r="32" ht="15.75" customHeight="1">
      <c r="A32" s="2" t="s">
        <v>50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7.0"/>
    <col customWidth="1" min="3" max="3" width="58.0"/>
    <col customWidth="1" min="4" max="4" width="24.0"/>
    <col customWidth="1" min="5" max="5" width="6.0"/>
    <col customWidth="1" min="6" max="6" width="17.0"/>
    <col customWidth="1" min="7" max="7" width="24.0"/>
    <col customWidth="1" min="8" max="8" width="16.0"/>
    <col customWidth="1" min="9" max="9" width="22.0"/>
    <col customWidth="1" min="10" max="10" width="8.0"/>
    <col customWidth="1" min="11" max="26" width="18.0"/>
    <col customWidth="1" min="27" max="27" width="42.0"/>
    <col customWidth="1" min="28" max="28" width="26.0"/>
    <col customWidth="1" min="29" max="29" width="20.0"/>
    <col customWidth="1" min="30" max="30" width="32.0"/>
    <col customWidth="1" min="31" max="31" width="30.0"/>
  </cols>
  <sheetData>
    <row r="1" ht="45.75" customHeight="1">
      <c r="A1" s="3" t="s">
        <v>1</v>
      </c>
      <c r="B1" s="3" t="s">
        <v>18</v>
      </c>
      <c r="C1" s="3" t="s">
        <v>22</v>
      </c>
      <c r="D1" s="3" t="s">
        <v>26</v>
      </c>
      <c r="E1" s="3" t="s">
        <v>30</v>
      </c>
      <c r="F1" s="3" t="s">
        <v>35</v>
      </c>
      <c r="G1" s="3" t="s">
        <v>39</v>
      </c>
      <c r="H1" s="3" t="s">
        <v>42</v>
      </c>
      <c r="I1" s="3" t="s">
        <v>45</v>
      </c>
      <c r="J1" s="3" t="s">
        <v>48</v>
      </c>
      <c r="K1" s="3" t="s">
        <v>51</v>
      </c>
      <c r="L1" s="3" t="s">
        <v>54</v>
      </c>
      <c r="M1" s="3" t="s">
        <v>57</v>
      </c>
      <c r="N1" s="3" t="s">
        <v>62</v>
      </c>
      <c r="O1" s="3" t="s">
        <v>67</v>
      </c>
      <c r="P1" s="3" t="s">
        <v>74</v>
      </c>
      <c r="Q1" s="3" t="s">
        <v>80</v>
      </c>
      <c r="R1" s="3" t="s">
        <v>84</v>
      </c>
      <c r="S1" s="3" t="s">
        <v>87</v>
      </c>
      <c r="T1" s="3" t="s">
        <v>91</v>
      </c>
      <c r="U1" s="3" t="s">
        <v>95</v>
      </c>
      <c r="V1" s="3" t="s">
        <v>97</v>
      </c>
      <c r="W1" s="3" t="s">
        <v>100</v>
      </c>
      <c r="X1" s="3" t="s">
        <v>104</v>
      </c>
      <c r="Y1" s="3" t="s">
        <v>107</v>
      </c>
      <c r="Z1" s="3" t="s">
        <v>111</v>
      </c>
      <c r="AA1" s="3" t="s">
        <v>113</v>
      </c>
      <c r="AB1" s="3" t="s">
        <v>117</v>
      </c>
      <c r="AC1" s="3" t="s">
        <v>120</v>
      </c>
      <c r="AD1" s="3" t="s">
        <v>121</v>
      </c>
      <c r="AE1" s="3" t="s">
        <v>123</v>
      </c>
    </row>
    <row r="2">
      <c r="A2" s="6" t="s">
        <v>125</v>
      </c>
      <c r="B2" s="6">
        <v>1.0</v>
      </c>
      <c r="C2" s="6" t="s">
        <v>128</v>
      </c>
      <c r="D2" s="6" t="s">
        <v>109</v>
      </c>
      <c r="E2" s="6" t="s">
        <v>129</v>
      </c>
      <c r="F2" s="6" t="s">
        <v>131</v>
      </c>
      <c r="G2" s="6" t="s">
        <v>132</v>
      </c>
      <c r="H2" s="7" t="s">
        <v>133</v>
      </c>
      <c r="I2" s="8" t="s">
        <v>135</v>
      </c>
      <c r="J2" s="5" t="s">
        <v>136</v>
      </c>
      <c r="K2" s="8" t="s">
        <v>137</v>
      </c>
      <c r="L2" s="8" t="s">
        <v>138</v>
      </c>
      <c r="M2" s="8" t="s">
        <v>139</v>
      </c>
      <c r="N2" s="8" t="s">
        <v>140</v>
      </c>
      <c r="O2" s="8" t="s">
        <v>141</v>
      </c>
      <c r="P2" s="8" t="s">
        <v>142</v>
      </c>
      <c r="Q2" s="8" t="s">
        <v>143</v>
      </c>
      <c r="R2" s="8" t="s">
        <v>144</v>
      </c>
      <c r="S2" s="8">
        <v>1.0</v>
      </c>
      <c r="T2" s="8">
        <v>1.0</v>
      </c>
      <c r="U2" s="8">
        <v>0.0</v>
      </c>
      <c r="V2" s="8">
        <v>1.0</v>
      </c>
      <c r="W2" s="8">
        <v>0.0</v>
      </c>
      <c r="X2" s="8" t="s">
        <v>145</v>
      </c>
      <c r="Y2" s="8" t="s">
        <v>145</v>
      </c>
      <c r="Z2" s="8">
        <v>2021.0</v>
      </c>
      <c r="AA2" s="8" t="s">
        <v>146</v>
      </c>
      <c r="AB2" s="5" t="str">
        <f>IFERROR(IF(VLOOKUP(D2,Revistas!$A$21:$C$400,3,FALSE)=0,"",VLOOKUP(D2,Revistas!$A$21:$C$400,3,FALSE)),"")</f>
        <v>medio</v>
      </c>
      <c r="AC2" s="8" t="s">
        <v>88</v>
      </c>
      <c r="AD2" s="8" t="s">
        <v>147</v>
      </c>
      <c r="AE2" s="8" t="s">
        <v>148</v>
      </c>
    </row>
    <row r="3">
      <c r="A3" s="6" t="s">
        <v>149</v>
      </c>
      <c r="B3" s="6">
        <v>2.0</v>
      </c>
      <c r="C3" s="6" t="s">
        <v>150</v>
      </c>
      <c r="D3" s="6" t="s">
        <v>109</v>
      </c>
      <c r="E3" s="6" t="s">
        <v>151</v>
      </c>
      <c r="F3" s="6" t="s">
        <v>131</v>
      </c>
      <c r="G3" s="6" t="s">
        <v>153</v>
      </c>
      <c r="H3" s="7" t="s">
        <v>133</v>
      </c>
      <c r="I3" s="8" t="s">
        <v>156</v>
      </c>
      <c r="J3" s="5" t="s">
        <v>136</v>
      </c>
      <c r="K3" s="8" t="s">
        <v>137</v>
      </c>
      <c r="L3" s="8" t="s">
        <v>158</v>
      </c>
      <c r="M3" s="8" t="s">
        <v>139</v>
      </c>
      <c r="N3" s="8" t="s">
        <v>140</v>
      </c>
      <c r="O3" s="8" t="s">
        <v>161</v>
      </c>
      <c r="P3" s="8" t="s">
        <v>142</v>
      </c>
      <c r="Q3" s="8" t="s">
        <v>143</v>
      </c>
      <c r="R3" s="8" t="s">
        <v>165</v>
      </c>
      <c r="S3" s="8">
        <v>1.0</v>
      </c>
      <c r="T3" s="8">
        <v>0.0</v>
      </c>
      <c r="U3" s="8">
        <v>0.0</v>
      </c>
      <c r="V3" s="8">
        <v>0.0</v>
      </c>
      <c r="W3" s="8">
        <v>0.0</v>
      </c>
      <c r="X3" s="8" t="s">
        <v>145</v>
      </c>
      <c r="Y3" s="8" t="s">
        <v>145</v>
      </c>
      <c r="Z3" s="8">
        <v>2023.0</v>
      </c>
      <c r="AA3" s="8" t="s">
        <v>174</v>
      </c>
      <c r="AB3" s="5" t="str">
        <f>IFERROR(IF(VLOOKUP(D3,Revistas!$A$21:$C$400,3,FALSE)=0,"",VLOOKUP(D3,Revistas!$A$21:$C$400,3,FALSE)),"")</f>
        <v>medio</v>
      </c>
      <c r="AC3" s="8" t="s">
        <v>85</v>
      </c>
      <c r="AD3" s="8" t="s">
        <v>147</v>
      </c>
      <c r="AE3" s="8" t="s">
        <v>145</v>
      </c>
    </row>
    <row r="4">
      <c r="A4" s="6" t="s">
        <v>184</v>
      </c>
      <c r="B4" s="6">
        <v>3.0</v>
      </c>
      <c r="C4" s="6" t="s">
        <v>186</v>
      </c>
      <c r="D4" s="6" t="s">
        <v>187</v>
      </c>
      <c r="E4" s="6" t="s">
        <v>151</v>
      </c>
      <c r="F4" s="6" t="s">
        <v>131</v>
      </c>
      <c r="G4" s="6" t="s">
        <v>189</v>
      </c>
      <c r="H4" s="7" t="s">
        <v>133</v>
      </c>
      <c r="I4" s="8" t="s">
        <v>196</v>
      </c>
      <c r="J4" s="5" t="s">
        <v>136</v>
      </c>
      <c r="K4" s="8" t="s">
        <v>137</v>
      </c>
      <c r="L4" s="8" t="s">
        <v>209</v>
      </c>
      <c r="M4" s="8" t="s">
        <v>139</v>
      </c>
      <c r="N4" s="8" t="s">
        <v>140</v>
      </c>
      <c r="O4" s="8" t="s">
        <v>61</v>
      </c>
      <c r="P4" s="8" t="s">
        <v>61</v>
      </c>
      <c r="Q4" s="8" t="s">
        <v>217</v>
      </c>
      <c r="R4" s="8" t="s">
        <v>165</v>
      </c>
      <c r="S4" s="8">
        <v>1.0</v>
      </c>
      <c r="T4" s="8" t="s">
        <v>145</v>
      </c>
      <c r="U4" s="8" t="s">
        <v>145</v>
      </c>
      <c r="V4" s="8" t="s">
        <v>145</v>
      </c>
      <c r="W4" s="8" t="s">
        <v>145</v>
      </c>
      <c r="X4" s="8" t="s">
        <v>145</v>
      </c>
      <c r="Y4" s="8" t="s">
        <v>145</v>
      </c>
      <c r="Z4" s="8">
        <v>2023.0</v>
      </c>
      <c r="AA4" s="8" t="s">
        <v>224</v>
      </c>
      <c r="AB4" s="5" t="str">
        <f>IFERROR(IF(VLOOKUP(D4,Revistas!$A$21:$C$400,3,FALSE)=0,"",VLOOKUP(D4,Revistas!$A$21:$C$400,3,FALSE)),"")</f>
        <v>alto</v>
      </c>
      <c r="AC4" s="8" t="s">
        <v>96</v>
      </c>
      <c r="AD4" s="8" t="s">
        <v>241</v>
      </c>
      <c r="AE4" s="8" t="s">
        <v>145</v>
      </c>
    </row>
    <row r="5">
      <c r="A5" s="6" t="s">
        <v>184</v>
      </c>
      <c r="B5" s="6">
        <v>3.0</v>
      </c>
      <c r="C5" s="6" t="s">
        <v>186</v>
      </c>
      <c r="D5" s="6" t="s">
        <v>187</v>
      </c>
      <c r="E5" s="6" t="s">
        <v>151</v>
      </c>
      <c r="F5" s="6" t="s">
        <v>131</v>
      </c>
      <c r="G5" s="6" t="s">
        <v>189</v>
      </c>
      <c r="H5" s="7" t="s">
        <v>133</v>
      </c>
      <c r="I5" s="8" t="s">
        <v>196</v>
      </c>
      <c r="J5" s="8" t="s">
        <v>240</v>
      </c>
      <c r="K5" s="8" t="s">
        <v>137</v>
      </c>
      <c r="L5" s="8" t="s">
        <v>138</v>
      </c>
      <c r="M5" s="8" t="s">
        <v>139</v>
      </c>
      <c r="N5" s="8" t="s">
        <v>140</v>
      </c>
      <c r="O5" s="8" t="s">
        <v>247</v>
      </c>
      <c r="P5" s="8" t="s">
        <v>142</v>
      </c>
      <c r="Q5" s="8" t="s">
        <v>217</v>
      </c>
      <c r="R5" s="8" t="s">
        <v>165</v>
      </c>
      <c r="S5" s="8">
        <v>5.0</v>
      </c>
      <c r="T5" s="8">
        <v>5.0</v>
      </c>
      <c r="U5" s="8">
        <v>0.0</v>
      </c>
      <c r="V5" s="8">
        <v>5.0</v>
      </c>
      <c r="W5" s="8">
        <v>0.0</v>
      </c>
      <c r="X5" s="8" t="s">
        <v>145</v>
      </c>
      <c r="Y5" s="8" t="s">
        <v>145</v>
      </c>
      <c r="Z5" s="8">
        <v>2023.0</v>
      </c>
      <c r="AA5" s="8" t="s">
        <v>224</v>
      </c>
      <c r="AB5" s="5" t="str">
        <f>IFERROR(IF(VLOOKUP(D5,Revistas!$A$21:$C$400,3,FALSE)=0,"",VLOOKUP(D5,Revistas!$A$21:$C$400,3,FALSE)),"")</f>
        <v>alto</v>
      </c>
      <c r="AC5" s="8" t="s">
        <v>96</v>
      </c>
      <c r="AD5" s="8" t="s">
        <v>241</v>
      </c>
      <c r="AE5" s="8" t="s">
        <v>145</v>
      </c>
    </row>
    <row r="6">
      <c r="A6" s="6" t="s">
        <v>184</v>
      </c>
      <c r="B6" s="6">
        <v>3.0</v>
      </c>
      <c r="C6" s="6" t="s">
        <v>186</v>
      </c>
      <c r="D6" s="6" t="s">
        <v>187</v>
      </c>
      <c r="E6" s="6" t="s">
        <v>151</v>
      </c>
      <c r="F6" s="6" t="s">
        <v>131</v>
      </c>
      <c r="G6" s="6" t="s">
        <v>189</v>
      </c>
      <c r="H6" s="7" t="s">
        <v>133</v>
      </c>
      <c r="I6" s="8" t="s">
        <v>196</v>
      </c>
      <c r="J6" s="8" t="s">
        <v>242</v>
      </c>
      <c r="K6" s="8" t="s">
        <v>137</v>
      </c>
      <c r="L6" s="8" t="s">
        <v>158</v>
      </c>
      <c r="M6" s="8" t="s">
        <v>139</v>
      </c>
      <c r="N6" s="8" t="s">
        <v>140</v>
      </c>
      <c r="O6" s="8" t="s">
        <v>247</v>
      </c>
      <c r="P6" s="8" t="s">
        <v>142</v>
      </c>
      <c r="Q6" s="8" t="s">
        <v>217</v>
      </c>
      <c r="R6" s="8" t="s">
        <v>165</v>
      </c>
      <c r="S6" s="8">
        <v>5.0</v>
      </c>
      <c r="T6" s="8">
        <v>4.0</v>
      </c>
      <c r="U6" s="8">
        <v>2.0</v>
      </c>
      <c r="V6" s="8">
        <v>4.0</v>
      </c>
      <c r="W6" s="8">
        <v>1.0</v>
      </c>
      <c r="X6" s="8" t="s">
        <v>145</v>
      </c>
      <c r="Y6" s="8" t="s">
        <v>145</v>
      </c>
      <c r="Z6" s="8">
        <v>2023.0</v>
      </c>
      <c r="AA6" s="8" t="s">
        <v>224</v>
      </c>
      <c r="AB6" s="5" t="str">
        <f>IFERROR(IF(VLOOKUP(D6,Revistas!$A$21:$C$400,3,FALSE)=0,"",VLOOKUP(D6,Revistas!$A$21:$C$400,3,FALSE)),"")</f>
        <v>alto</v>
      </c>
      <c r="AC6" s="8" t="s">
        <v>96</v>
      </c>
      <c r="AD6" s="8" t="s">
        <v>241</v>
      </c>
      <c r="AE6" s="8" t="s">
        <v>145</v>
      </c>
    </row>
    <row r="7">
      <c r="A7" s="6" t="s">
        <v>184</v>
      </c>
      <c r="B7" s="6">
        <v>3.0</v>
      </c>
      <c r="C7" s="6" t="s">
        <v>186</v>
      </c>
      <c r="D7" s="6" t="s">
        <v>187</v>
      </c>
      <c r="E7" s="6" t="s">
        <v>151</v>
      </c>
      <c r="F7" s="6" t="s">
        <v>131</v>
      </c>
      <c r="G7" s="6" t="s">
        <v>189</v>
      </c>
      <c r="H7" s="7" t="s">
        <v>133</v>
      </c>
      <c r="I7" s="8" t="s">
        <v>196</v>
      </c>
      <c r="J7" s="8" t="s">
        <v>248</v>
      </c>
      <c r="K7" s="8" t="s">
        <v>137</v>
      </c>
      <c r="L7" s="8" t="s">
        <v>210</v>
      </c>
      <c r="M7" s="8" t="s">
        <v>139</v>
      </c>
      <c r="N7" s="8" t="s">
        <v>140</v>
      </c>
      <c r="O7" s="8" t="s">
        <v>247</v>
      </c>
      <c r="P7" s="8" t="s">
        <v>142</v>
      </c>
      <c r="Q7" s="8" t="s">
        <v>217</v>
      </c>
      <c r="R7" s="8" t="s">
        <v>165</v>
      </c>
      <c r="S7" s="8">
        <v>4.0</v>
      </c>
      <c r="T7" s="8">
        <v>3.0</v>
      </c>
      <c r="U7" s="8">
        <v>2.0</v>
      </c>
      <c r="V7" s="8">
        <v>3.0</v>
      </c>
      <c r="W7" s="8">
        <v>1.0</v>
      </c>
      <c r="X7" s="8" t="s">
        <v>145</v>
      </c>
      <c r="Y7" s="8" t="s">
        <v>145</v>
      </c>
      <c r="Z7" s="8">
        <v>2023.0</v>
      </c>
      <c r="AA7" s="8" t="s">
        <v>224</v>
      </c>
      <c r="AB7" s="5" t="str">
        <f>IFERROR(IF(VLOOKUP(D7,Revistas!$A$21:$C$400,3,FALSE)=0,"",VLOOKUP(D7,Revistas!$A$21:$C$400,3,FALSE)),"")</f>
        <v>alto</v>
      </c>
      <c r="AC7" s="8" t="s">
        <v>96</v>
      </c>
      <c r="AD7" s="8" t="s">
        <v>241</v>
      </c>
      <c r="AE7" s="8" t="s">
        <v>145</v>
      </c>
    </row>
    <row r="8">
      <c r="A8" s="6" t="s">
        <v>184</v>
      </c>
      <c r="B8" s="6">
        <v>3.0</v>
      </c>
      <c r="C8" s="6" t="s">
        <v>186</v>
      </c>
      <c r="D8" s="6" t="s">
        <v>187</v>
      </c>
      <c r="E8" s="6" t="s">
        <v>151</v>
      </c>
      <c r="F8" s="6" t="s">
        <v>131</v>
      </c>
      <c r="G8" s="6" t="s">
        <v>189</v>
      </c>
      <c r="H8" s="7" t="s">
        <v>133</v>
      </c>
      <c r="I8" s="8" t="s">
        <v>196</v>
      </c>
      <c r="J8" s="8" t="s">
        <v>260</v>
      </c>
      <c r="K8" s="8" t="s">
        <v>137</v>
      </c>
      <c r="L8" s="8" t="s">
        <v>243</v>
      </c>
      <c r="M8" s="8" t="s">
        <v>139</v>
      </c>
      <c r="N8" s="8" t="s">
        <v>140</v>
      </c>
      <c r="O8" s="8" t="s">
        <v>247</v>
      </c>
      <c r="P8" s="8" t="s">
        <v>142</v>
      </c>
      <c r="Q8" s="8" t="s">
        <v>217</v>
      </c>
      <c r="R8" s="8" t="s">
        <v>165</v>
      </c>
      <c r="S8" s="8">
        <v>1.0</v>
      </c>
      <c r="T8" s="8">
        <v>1.0</v>
      </c>
      <c r="U8" s="8">
        <v>0.0</v>
      </c>
      <c r="V8" s="8">
        <v>1.0</v>
      </c>
      <c r="W8" s="8">
        <v>0.0</v>
      </c>
      <c r="X8" s="8" t="s">
        <v>145</v>
      </c>
      <c r="Y8" s="8" t="s">
        <v>145</v>
      </c>
      <c r="Z8" s="8">
        <v>2023.0</v>
      </c>
      <c r="AA8" s="8" t="s">
        <v>224</v>
      </c>
      <c r="AB8" s="5" t="str">
        <f>IFERROR(IF(VLOOKUP(D8,Revistas!$A$21:$C$400,3,FALSE)=0,"",VLOOKUP(D8,Revistas!$A$21:$C$400,3,FALSE)),"")</f>
        <v>alto</v>
      </c>
      <c r="AC8" s="8" t="s">
        <v>96</v>
      </c>
      <c r="AD8" s="8" t="s">
        <v>241</v>
      </c>
      <c r="AE8" s="8" t="s">
        <v>145</v>
      </c>
    </row>
    <row r="9" ht="13.5" customHeight="1">
      <c r="A9" s="6" t="s">
        <v>270</v>
      </c>
      <c r="B9" s="6">
        <v>4.0</v>
      </c>
      <c r="C9" s="6" t="s">
        <v>271</v>
      </c>
      <c r="D9" s="6" t="s">
        <v>272</v>
      </c>
      <c r="E9" s="6" t="s">
        <v>273</v>
      </c>
      <c r="F9" s="6" t="s">
        <v>131</v>
      </c>
      <c r="G9" s="6" t="s">
        <v>275</v>
      </c>
      <c r="H9" s="7" t="s">
        <v>133</v>
      </c>
      <c r="I9" s="8" t="s">
        <v>280</v>
      </c>
      <c r="J9" s="5" t="s">
        <v>136</v>
      </c>
      <c r="K9" s="8" t="s">
        <v>137</v>
      </c>
      <c r="L9" s="8" t="s">
        <v>158</v>
      </c>
      <c r="M9" s="8" t="s">
        <v>139</v>
      </c>
      <c r="N9" s="8" t="s">
        <v>282</v>
      </c>
      <c r="O9" s="8" t="s">
        <v>284</v>
      </c>
      <c r="P9" s="8" t="s">
        <v>142</v>
      </c>
      <c r="Q9" s="8" t="s">
        <v>285</v>
      </c>
      <c r="R9" s="8" t="s">
        <v>165</v>
      </c>
      <c r="S9" s="8">
        <v>7.0</v>
      </c>
      <c r="T9" s="8">
        <v>7.0</v>
      </c>
      <c r="U9" s="8">
        <v>0.0</v>
      </c>
      <c r="V9" s="8">
        <v>7.0</v>
      </c>
      <c r="W9" s="8">
        <v>0.0</v>
      </c>
      <c r="X9" s="8" t="s">
        <v>145</v>
      </c>
      <c r="Y9" s="8" t="s">
        <v>145</v>
      </c>
      <c r="Z9" s="8">
        <v>2025.0</v>
      </c>
      <c r="AA9" s="8" t="s">
        <v>289</v>
      </c>
      <c r="AB9" s="5" t="str">
        <f>IFERROR(IF(VLOOKUP(D9,Revistas!$A$21:$C$400,3,FALSE)=0,"",VLOOKUP(D9,Revistas!$A$21:$C$400,3,FALSE)),"")</f>
        <v>alto</v>
      </c>
      <c r="AC9" s="8" t="s">
        <v>291</v>
      </c>
      <c r="AD9" s="8" t="s">
        <v>292</v>
      </c>
      <c r="AE9" s="8" t="s">
        <v>145</v>
      </c>
    </row>
    <row r="10" ht="13.5" customHeight="1">
      <c r="A10" s="6" t="s">
        <v>270</v>
      </c>
      <c r="B10" s="6">
        <v>4.0</v>
      </c>
      <c r="C10" s="6" t="s">
        <v>271</v>
      </c>
      <c r="D10" s="6" t="s">
        <v>272</v>
      </c>
      <c r="E10" s="6" t="s">
        <v>273</v>
      </c>
      <c r="F10" s="6" t="s">
        <v>131</v>
      </c>
      <c r="G10" s="6" t="s">
        <v>275</v>
      </c>
      <c r="H10" s="7" t="s">
        <v>133</v>
      </c>
      <c r="I10" s="8" t="s">
        <v>280</v>
      </c>
      <c r="J10" s="8" t="s">
        <v>240</v>
      </c>
      <c r="K10" s="8" t="s">
        <v>137</v>
      </c>
      <c r="L10" s="8" t="s">
        <v>243</v>
      </c>
      <c r="M10" s="8" t="s">
        <v>139</v>
      </c>
      <c r="N10" s="8" t="s">
        <v>282</v>
      </c>
      <c r="O10" s="8" t="s">
        <v>284</v>
      </c>
      <c r="P10" s="8" t="s">
        <v>142</v>
      </c>
      <c r="Q10" s="8" t="s">
        <v>285</v>
      </c>
      <c r="R10" s="8" t="s">
        <v>165</v>
      </c>
      <c r="S10" s="8">
        <v>2.0</v>
      </c>
      <c r="T10" s="8">
        <v>2.0</v>
      </c>
      <c r="U10" s="8">
        <v>0.0</v>
      </c>
      <c r="V10" s="8">
        <v>2.0</v>
      </c>
      <c r="W10" s="8">
        <v>0.0</v>
      </c>
      <c r="X10" s="8" t="s">
        <v>145</v>
      </c>
      <c r="Y10" s="8" t="s">
        <v>145</v>
      </c>
      <c r="Z10" s="8">
        <v>2025.0</v>
      </c>
      <c r="AA10" s="8" t="s">
        <v>289</v>
      </c>
      <c r="AB10" s="5" t="str">
        <f>IFERROR(IF(VLOOKUP(D10,Revistas!$A$21:$C$400,3,FALSE)=0,"",VLOOKUP(D10,Revistas!$A$21:$C$400,3,FALSE)),"")</f>
        <v>alto</v>
      </c>
      <c r="AC10" s="8" t="s">
        <v>291</v>
      </c>
      <c r="AD10" s="8" t="s">
        <v>292</v>
      </c>
      <c r="AE10" s="8" t="s">
        <v>145</v>
      </c>
    </row>
    <row r="11">
      <c r="A11" s="6" t="s">
        <v>304</v>
      </c>
      <c r="B11" s="6">
        <v>5.0</v>
      </c>
      <c r="C11" s="6" t="s">
        <v>306</v>
      </c>
      <c r="D11" s="6" t="s">
        <v>305</v>
      </c>
      <c r="E11" s="6" t="s">
        <v>307</v>
      </c>
      <c r="F11" s="6" t="s">
        <v>131</v>
      </c>
      <c r="G11" s="6" t="s">
        <v>309</v>
      </c>
      <c r="H11" s="7" t="s">
        <v>133</v>
      </c>
      <c r="I11" s="8" t="s">
        <v>312</v>
      </c>
      <c r="J11" s="5" t="s">
        <v>136</v>
      </c>
      <c r="K11" s="8" t="s">
        <v>137</v>
      </c>
      <c r="L11" s="8" t="s">
        <v>158</v>
      </c>
      <c r="M11" s="8" t="s">
        <v>139</v>
      </c>
      <c r="N11" s="8" t="s">
        <v>140</v>
      </c>
      <c r="O11" s="8" t="s">
        <v>284</v>
      </c>
      <c r="P11" s="8" t="s">
        <v>142</v>
      </c>
      <c r="Q11" s="8" t="s">
        <v>143</v>
      </c>
      <c r="R11" s="8" t="s">
        <v>165</v>
      </c>
      <c r="S11" s="8">
        <v>1.0</v>
      </c>
      <c r="T11" s="8">
        <v>1.0</v>
      </c>
      <c r="U11" s="8">
        <v>0.0</v>
      </c>
      <c r="V11" s="8">
        <v>1.0</v>
      </c>
      <c r="W11" s="8">
        <v>0.0</v>
      </c>
      <c r="X11" s="8" t="s">
        <v>145</v>
      </c>
      <c r="Y11" s="8" t="s">
        <v>145</v>
      </c>
      <c r="Z11" s="8">
        <v>2019.0</v>
      </c>
      <c r="AA11" s="8" t="s">
        <v>331</v>
      </c>
      <c r="AB11" s="5" t="str">
        <f>IFERROR(IF(VLOOKUP(D11,Revistas!$A$21:$C$400,3,FALSE)=0,"",VLOOKUP(D11,Revistas!$A$21:$C$400,3,FALSE)),"")</f>
        <v>medio</v>
      </c>
      <c r="AC11" s="8" t="s">
        <v>291</v>
      </c>
      <c r="AD11" s="8" t="s">
        <v>332</v>
      </c>
      <c r="AE11" s="8" t="s">
        <v>333</v>
      </c>
    </row>
    <row r="12">
      <c r="A12" s="6" t="s">
        <v>334</v>
      </c>
      <c r="B12" s="6">
        <v>6.0</v>
      </c>
      <c r="C12" s="6" t="s">
        <v>335</v>
      </c>
      <c r="D12" s="6" t="s">
        <v>93</v>
      </c>
      <c r="E12" s="6" t="s">
        <v>336</v>
      </c>
      <c r="F12" s="6" t="s">
        <v>131</v>
      </c>
      <c r="G12" s="6" t="s">
        <v>337</v>
      </c>
      <c r="H12" s="7" t="s">
        <v>133</v>
      </c>
      <c r="I12" s="8" t="s">
        <v>338</v>
      </c>
      <c r="J12" s="5" t="s">
        <v>136</v>
      </c>
      <c r="K12" s="8" t="s">
        <v>137</v>
      </c>
      <c r="L12" s="8" t="s">
        <v>210</v>
      </c>
      <c r="M12" s="8" t="s">
        <v>139</v>
      </c>
      <c r="N12" s="8" t="s">
        <v>282</v>
      </c>
      <c r="O12" s="8" t="s">
        <v>247</v>
      </c>
      <c r="P12" s="8" t="s">
        <v>142</v>
      </c>
      <c r="Q12" s="8" t="s">
        <v>143</v>
      </c>
      <c r="R12" s="8" t="s">
        <v>165</v>
      </c>
      <c r="S12" s="8">
        <v>1.0</v>
      </c>
      <c r="T12" s="8">
        <v>1.0</v>
      </c>
      <c r="U12" s="8">
        <v>0.0</v>
      </c>
      <c r="V12" s="8">
        <v>1.0</v>
      </c>
      <c r="W12" s="8">
        <v>0.0</v>
      </c>
      <c r="X12" s="8" t="s">
        <v>339</v>
      </c>
      <c r="Y12" s="8" t="s">
        <v>145</v>
      </c>
      <c r="Z12" s="8">
        <v>2024.0</v>
      </c>
      <c r="AA12" s="8" t="s">
        <v>340</v>
      </c>
      <c r="AB12" s="5" t="str">
        <f>IFERROR(IF(VLOOKUP(D12,Revistas!$A$21:$C$400,3,FALSE)=0,"",VLOOKUP(D12,Revistas!$A$21:$C$400,3,FALSE)),"")</f>
        <v>medio</v>
      </c>
      <c r="AC12" s="8" t="s">
        <v>341</v>
      </c>
      <c r="AD12" s="8" t="s">
        <v>342</v>
      </c>
      <c r="AE12" s="8" t="s">
        <v>145</v>
      </c>
    </row>
    <row r="13">
      <c r="A13" s="6" t="s">
        <v>343</v>
      </c>
      <c r="B13" s="6">
        <v>7.0</v>
      </c>
      <c r="C13" s="6" t="s">
        <v>344</v>
      </c>
      <c r="D13" s="6" t="s">
        <v>258</v>
      </c>
      <c r="E13" s="6" t="s">
        <v>345</v>
      </c>
      <c r="F13" s="6" t="s">
        <v>131</v>
      </c>
      <c r="G13" s="6" t="s">
        <v>346</v>
      </c>
      <c r="H13" s="7" t="s">
        <v>133</v>
      </c>
      <c r="I13" s="8" t="s">
        <v>347</v>
      </c>
      <c r="J13" s="5" t="s">
        <v>136</v>
      </c>
      <c r="K13" s="8" t="s">
        <v>137</v>
      </c>
      <c r="L13" s="8" t="s">
        <v>158</v>
      </c>
      <c r="M13" s="8" t="s">
        <v>139</v>
      </c>
      <c r="N13" s="8" t="s">
        <v>140</v>
      </c>
      <c r="O13" s="8" t="s">
        <v>247</v>
      </c>
      <c r="P13" s="8" t="s">
        <v>142</v>
      </c>
      <c r="Q13" s="8" t="s">
        <v>143</v>
      </c>
      <c r="R13" s="8" t="s">
        <v>165</v>
      </c>
      <c r="S13" s="8">
        <v>1.0</v>
      </c>
      <c r="T13" s="8">
        <v>1.0</v>
      </c>
      <c r="U13" s="8">
        <v>0.0</v>
      </c>
      <c r="V13" s="8">
        <v>1.0</v>
      </c>
      <c r="W13" s="8">
        <v>0.0</v>
      </c>
      <c r="X13" s="8" t="s">
        <v>145</v>
      </c>
      <c r="Y13" s="8" t="s">
        <v>145</v>
      </c>
      <c r="Z13" s="8">
        <v>2026.0</v>
      </c>
      <c r="AA13" s="8" t="s">
        <v>348</v>
      </c>
      <c r="AB13" s="5" t="str">
        <f>IFERROR(IF(VLOOKUP(D13,Revistas!$A$21:$C$400,3,FALSE)=0,"",VLOOKUP(D13,Revistas!$A$21:$C$400,3,FALSE)),"")</f>
        <v>medio</v>
      </c>
      <c r="AC13" s="8" t="s">
        <v>341</v>
      </c>
      <c r="AD13" s="8" t="s">
        <v>349</v>
      </c>
      <c r="AE13" s="8" t="s">
        <v>333</v>
      </c>
    </row>
    <row r="14">
      <c r="A14" s="6" t="s">
        <v>350</v>
      </c>
      <c r="B14" s="6">
        <v>9.0</v>
      </c>
      <c r="C14" s="6" t="s">
        <v>351</v>
      </c>
      <c r="D14" s="6" t="s">
        <v>300</v>
      </c>
      <c r="E14" s="6" t="s">
        <v>129</v>
      </c>
      <c r="F14" s="6" t="s">
        <v>131</v>
      </c>
      <c r="G14" s="6" t="s">
        <v>352</v>
      </c>
      <c r="H14" s="7" t="s">
        <v>133</v>
      </c>
      <c r="I14" s="8" t="s">
        <v>353</v>
      </c>
      <c r="J14" s="5" t="s">
        <v>136</v>
      </c>
      <c r="K14" s="5"/>
      <c r="L14" s="8" t="s">
        <v>209</v>
      </c>
      <c r="M14" s="8" t="s">
        <v>209</v>
      </c>
      <c r="N14" s="8" t="s">
        <v>214</v>
      </c>
      <c r="O14" s="8" t="s">
        <v>61</v>
      </c>
      <c r="P14" s="8" t="s">
        <v>61</v>
      </c>
      <c r="Q14" s="8" t="s">
        <v>143</v>
      </c>
      <c r="R14" s="8" t="s">
        <v>165</v>
      </c>
      <c r="S14" s="8">
        <v>1.0</v>
      </c>
      <c r="T14" s="8">
        <v>1.0</v>
      </c>
      <c r="U14" s="8">
        <v>0.0</v>
      </c>
      <c r="V14" s="8">
        <v>1.0</v>
      </c>
      <c r="W14" s="8">
        <v>0.0</v>
      </c>
      <c r="X14" s="8" t="s">
        <v>145</v>
      </c>
      <c r="Y14" s="8" t="s">
        <v>145</v>
      </c>
      <c r="Z14" s="8">
        <v>2021.0</v>
      </c>
      <c r="AA14" s="8" t="s">
        <v>355</v>
      </c>
      <c r="AB14" s="5" t="str">
        <f>IFERROR(IF(VLOOKUP(D14,Revistas!$A$21:$C$400,3,FALSE)=0,"",VLOOKUP(D14,Revistas!$A$21:$C$400,3,FALSE)),"")</f>
        <v/>
      </c>
      <c r="AC14" s="8" t="s">
        <v>291</v>
      </c>
      <c r="AD14" s="8" t="s">
        <v>360</v>
      </c>
      <c r="AE14" s="8" t="s">
        <v>361</v>
      </c>
    </row>
    <row r="15">
      <c r="A15" s="6" t="s">
        <v>363</v>
      </c>
      <c r="B15" s="6">
        <v>10.0</v>
      </c>
      <c r="C15" s="6" t="s">
        <v>365</v>
      </c>
      <c r="D15" s="6" t="s">
        <v>366</v>
      </c>
      <c r="E15" s="6" t="s">
        <v>367</v>
      </c>
      <c r="F15" s="6" t="s">
        <v>131</v>
      </c>
      <c r="G15" s="6" t="s">
        <v>369</v>
      </c>
      <c r="H15" s="7" t="s">
        <v>133</v>
      </c>
      <c r="I15" s="8" t="s">
        <v>371</v>
      </c>
      <c r="J15" s="5" t="s">
        <v>136</v>
      </c>
      <c r="K15" s="8" t="s">
        <v>137</v>
      </c>
      <c r="L15" s="8" t="s">
        <v>243</v>
      </c>
      <c r="M15" s="8" t="s">
        <v>139</v>
      </c>
      <c r="N15" s="8" t="s">
        <v>140</v>
      </c>
      <c r="O15" s="8" t="s">
        <v>141</v>
      </c>
      <c r="P15" s="8" t="s">
        <v>142</v>
      </c>
      <c r="Q15" s="8" t="s">
        <v>143</v>
      </c>
      <c r="R15" s="8" t="s">
        <v>165</v>
      </c>
      <c r="S15" s="8">
        <v>1.0</v>
      </c>
      <c r="T15" s="8">
        <v>1.0</v>
      </c>
      <c r="U15" s="8">
        <v>0.0</v>
      </c>
      <c r="V15" s="8">
        <v>1.0</v>
      </c>
      <c r="W15" s="8">
        <v>0.0</v>
      </c>
      <c r="X15" s="8" t="s">
        <v>145</v>
      </c>
      <c r="Y15" s="8" t="s">
        <v>145</v>
      </c>
      <c r="Z15" s="8">
        <v>2022.0</v>
      </c>
      <c r="AA15" s="8" t="s">
        <v>378</v>
      </c>
      <c r="AB15" s="5" t="str">
        <f>IFERROR(IF(VLOOKUP(D15,Revistas!$A$21:$C$400,3,FALSE)=0,"",VLOOKUP(D15,Revistas!$A$21:$C$400,3,FALSE)),"")</f>
        <v/>
      </c>
      <c r="AC15" s="8" t="s">
        <v>88</v>
      </c>
      <c r="AD15" s="8" t="s">
        <v>379</v>
      </c>
      <c r="AE15" s="8" t="s">
        <v>145</v>
      </c>
    </row>
    <row r="16">
      <c r="A16" s="6" t="s">
        <v>380</v>
      </c>
      <c r="B16" s="6">
        <v>12.0</v>
      </c>
      <c r="C16" s="6" t="s">
        <v>381</v>
      </c>
      <c r="D16" s="6" t="s">
        <v>366</v>
      </c>
      <c r="E16" s="6" t="s">
        <v>273</v>
      </c>
      <c r="F16" s="6" t="s">
        <v>131</v>
      </c>
      <c r="G16" s="6" t="s">
        <v>382</v>
      </c>
      <c r="H16" s="7" t="s">
        <v>133</v>
      </c>
      <c r="I16" s="8" t="s">
        <v>383</v>
      </c>
      <c r="J16" s="5" t="s">
        <v>136</v>
      </c>
      <c r="K16" s="8" t="s">
        <v>137</v>
      </c>
      <c r="L16" s="8" t="s">
        <v>209</v>
      </c>
      <c r="M16" s="8" t="s">
        <v>212</v>
      </c>
      <c r="N16" s="8" t="s">
        <v>214</v>
      </c>
      <c r="O16" s="8" t="s">
        <v>284</v>
      </c>
      <c r="P16" s="8" t="s">
        <v>384</v>
      </c>
      <c r="Q16" s="8" t="s">
        <v>385</v>
      </c>
      <c r="R16" s="8" t="s">
        <v>165</v>
      </c>
      <c r="S16" s="8">
        <v>9.0</v>
      </c>
      <c r="T16" s="8">
        <v>9.0</v>
      </c>
      <c r="U16" s="8">
        <v>0.0</v>
      </c>
      <c r="V16" s="8">
        <v>9.0</v>
      </c>
      <c r="W16" s="8">
        <v>0.0</v>
      </c>
      <c r="X16" s="8" t="s">
        <v>145</v>
      </c>
      <c r="Y16" s="8" t="s">
        <v>145</v>
      </c>
      <c r="Z16" s="8">
        <v>2025.0</v>
      </c>
      <c r="AA16" s="5"/>
      <c r="AB16" s="5" t="str">
        <f>IFERROR(IF(VLOOKUP(D16,Revistas!$A$21:$C$400,3,FALSE)=0,"",VLOOKUP(D16,Revistas!$A$21:$C$400,3,FALSE)),"")</f>
        <v/>
      </c>
      <c r="AC16" s="8" t="s">
        <v>291</v>
      </c>
      <c r="AD16" s="8" t="s">
        <v>379</v>
      </c>
      <c r="AE16" s="8" t="s">
        <v>145</v>
      </c>
    </row>
    <row r="17">
      <c r="A17" s="6" t="s">
        <v>386</v>
      </c>
      <c r="B17" s="6">
        <v>14.0</v>
      </c>
      <c r="C17" s="6" t="s">
        <v>387</v>
      </c>
      <c r="D17" s="6" t="s">
        <v>263</v>
      </c>
      <c r="E17" s="6" t="s">
        <v>273</v>
      </c>
      <c r="F17" s="6" t="s">
        <v>131</v>
      </c>
      <c r="G17" s="6" t="s">
        <v>388</v>
      </c>
      <c r="H17" s="7" t="s">
        <v>133</v>
      </c>
      <c r="I17" s="8" t="s">
        <v>389</v>
      </c>
      <c r="J17" s="5" t="s">
        <v>136</v>
      </c>
      <c r="K17" s="8" t="s">
        <v>137</v>
      </c>
      <c r="L17" s="8" t="s">
        <v>158</v>
      </c>
      <c r="M17" s="8" t="s">
        <v>139</v>
      </c>
      <c r="N17" s="8" t="s">
        <v>140</v>
      </c>
      <c r="O17" s="8" t="s">
        <v>284</v>
      </c>
      <c r="P17" s="8" t="s">
        <v>142</v>
      </c>
      <c r="Q17" s="8" t="s">
        <v>143</v>
      </c>
      <c r="R17" s="8" t="s">
        <v>165</v>
      </c>
      <c r="S17" s="8">
        <v>1.0</v>
      </c>
      <c r="T17" s="8">
        <v>1.0</v>
      </c>
      <c r="U17" s="8">
        <v>0.0</v>
      </c>
      <c r="V17" s="8">
        <v>1.0</v>
      </c>
      <c r="W17" s="8">
        <v>0.0</v>
      </c>
      <c r="X17" s="8" t="s">
        <v>145</v>
      </c>
      <c r="Y17" s="8" t="s">
        <v>145</v>
      </c>
      <c r="Z17" s="8">
        <v>2025.0</v>
      </c>
      <c r="AA17" s="8" t="s">
        <v>390</v>
      </c>
      <c r="AB17" s="5" t="str">
        <f>IFERROR(IF(VLOOKUP(D17,Revistas!$A$21:$C$400,3,FALSE)=0,"",VLOOKUP(D17,Revistas!$A$21:$C$400,3,FALSE)),"")</f>
        <v>alto</v>
      </c>
      <c r="AC17" s="8" t="s">
        <v>75</v>
      </c>
      <c r="AD17" s="8" t="s">
        <v>379</v>
      </c>
      <c r="AE17" s="8" t="s">
        <v>145</v>
      </c>
    </row>
    <row r="18">
      <c r="A18" s="6" t="s">
        <v>398</v>
      </c>
      <c r="B18" s="6">
        <v>15.0</v>
      </c>
      <c r="C18" s="6" t="s">
        <v>399</v>
      </c>
      <c r="D18" s="6" t="s">
        <v>400</v>
      </c>
      <c r="E18" s="6" t="s">
        <v>345</v>
      </c>
      <c r="F18" s="6" t="s">
        <v>131</v>
      </c>
      <c r="G18" s="6" t="s">
        <v>401</v>
      </c>
      <c r="H18" s="7" t="s">
        <v>133</v>
      </c>
      <c r="I18" s="8" t="s">
        <v>402</v>
      </c>
      <c r="J18" s="5" t="s">
        <v>136</v>
      </c>
      <c r="K18" s="8" t="s">
        <v>137</v>
      </c>
      <c r="L18" s="8" t="s">
        <v>158</v>
      </c>
      <c r="M18" s="8" t="s">
        <v>139</v>
      </c>
      <c r="N18" s="8" t="s">
        <v>140</v>
      </c>
      <c r="O18" s="8" t="s">
        <v>61</v>
      </c>
      <c r="P18" s="8" t="s">
        <v>384</v>
      </c>
      <c r="Q18" s="8" t="s">
        <v>143</v>
      </c>
      <c r="R18" s="8" t="s">
        <v>144</v>
      </c>
      <c r="S18" s="8">
        <v>1.0</v>
      </c>
      <c r="T18" s="8">
        <v>1.0</v>
      </c>
      <c r="U18" s="8">
        <v>0.0</v>
      </c>
      <c r="V18" s="8">
        <v>0.0</v>
      </c>
      <c r="W18" s="8">
        <v>0.0</v>
      </c>
      <c r="X18" s="8" t="s">
        <v>145</v>
      </c>
      <c r="Y18" s="8" t="s">
        <v>145</v>
      </c>
      <c r="Z18" s="8">
        <v>2026.0</v>
      </c>
      <c r="AA18" s="8" t="s">
        <v>403</v>
      </c>
      <c r="AB18" s="5" t="str">
        <f>IFERROR(IF(VLOOKUP(D18,Revistas!$A$21:$C$400,3,FALSE)=0,"",VLOOKUP(D18,Revistas!$A$21:$C$400,3,FALSE)),"")</f>
        <v>alto</v>
      </c>
      <c r="AC18" s="8" t="s">
        <v>86</v>
      </c>
      <c r="AD18" s="8" t="s">
        <v>404</v>
      </c>
      <c r="AE18" s="8" t="s">
        <v>405</v>
      </c>
    </row>
    <row r="19">
      <c r="A19" s="6" t="s">
        <v>406</v>
      </c>
      <c r="B19" s="6">
        <v>22.0</v>
      </c>
      <c r="C19" s="6" t="s">
        <v>407</v>
      </c>
      <c r="D19" s="6" t="s">
        <v>302</v>
      </c>
      <c r="E19" s="6" t="s">
        <v>273</v>
      </c>
      <c r="F19" s="6" t="s">
        <v>131</v>
      </c>
      <c r="G19" s="6" t="s">
        <v>408</v>
      </c>
      <c r="H19" s="7" t="s">
        <v>133</v>
      </c>
      <c r="I19" s="8" t="s">
        <v>409</v>
      </c>
      <c r="J19" s="5" t="s">
        <v>136</v>
      </c>
      <c r="K19" s="8" t="s">
        <v>137</v>
      </c>
      <c r="L19" s="8" t="s">
        <v>158</v>
      </c>
      <c r="M19" s="8" t="s">
        <v>139</v>
      </c>
      <c r="N19" s="8" t="s">
        <v>140</v>
      </c>
      <c r="O19" s="8" t="s">
        <v>410</v>
      </c>
      <c r="P19" s="8" t="s">
        <v>384</v>
      </c>
      <c r="Q19" s="8" t="s">
        <v>143</v>
      </c>
      <c r="R19" s="8" t="s">
        <v>165</v>
      </c>
      <c r="S19" s="8">
        <v>1.0</v>
      </c>
      <c r="T19" s="8">
        <v>0.0</v>
      </c>
      <c r="U19" s="8">
        <v>0.0</v>
      </c>
      <c r="V19" s="8">
        <v>0.0</v>
      </c>
      <c r="W19" s="8">
        <v>0.0</v>
      </c>
      <c r="X19" s="8" t="s">
        <v>145</v>
      </c>
      <c r="Y19" s="8">
        <v>1.0</v>
      </c>
      <c r="Z19" s="8">
        <v>2025.0</v>
      </c>
      <c r="AA19" s="8" t="s">
        <v>411</v>
      </c>
      <c r="AB19" s="5" t="str">
        <f>IFERROR(IF(VLOOKUP(D19,Revistas!$A$21:$C$400,3,FALSE)=0,"",VLOOKUP(D19,Revistas!$A$21:$C$400,3,FALSE)),"")</f>
        <v>medio</v>
      </c>
      <c r="AC19" s="8" t="s">
        <v>75</v>
      </c>
      <c r="AD19" s="8" t="s">
        <v>379</v>
      </c>
      <c r="AE19" s="8" t="s">
        <v>145</v>
      </c>
    </row>
    <row r="20">
      <c r="A20" s="6" t="s">
        <v>412</v>
      </c>
      <c r="B20" s="6">
        <v>23.0</v>
      </c>
      <c r="C20" s="6" t="s">
        <v>413</v>
      </c>
      <c r="D20" s="6" t="s">
        <v>276</v>
      </c>
      <c r="E20" s="6" t="s">
        <v>367</v>
      </c>
      <c r="F20" s="6" t="s">
        <v>131</v>
      </c>
      <c r="G20" s="6" t="s">
        <v>414</v>
      </c>
      <c r="H20" s="7" t="s">
        <v>133</v>
      </c>
      <c r="I20" s="8" t="s">
        <v>415</v>
      </c>
      <c r="J20" s="5" t="s">
        <v>136</v>
      </c>
      <c r="K20" s="8" t="s">
        <v>137</v>
      </c>
      <c r="L20" s="8" t="s">
        <v>158</v>
      </c>
      <c r="M20" s="8" t="s">
        <v>139</v>
      </c>
      <c r="N20" s="8" t="s">
        <v>140</v>
      </c>
      <c r="O20" s="8" t="s">
        <v>284</v>
      </c>
      <c r="P20" s="5"/>
      <c r="Q20" s="5"/>
      <c r="R20" s="5"/>
      <c r="S20" s="5"/>
      <c r="T20" s="5"/>
      <c r="U20" s="5"/>
      <c r="V20" s="5"/>
      <c r="W20" s="5"/>
      <c r="X20" s="5"/>
      <c r="Y20" s="5"/>
      <c r="Z20" s="5"/>
      <c r="AA20" s="5"/>
      <c r="AB20" s="5" t="str">
        <f>IFERROR(IF(VLOOKUP(D20,Revistas!$A$21:$C$400,3,FALSE)=0,"",VLOOKUP(D20,Revistas!$A$21:$C$400,3,FALSE)),"")</f>
        <v>medio</v>
      </c>
      <c r="AC20" s="5"/>
      <c r="AD20" s="5"/>
      <c r="AE20" s="5"/>
    </row>
    <row r="21">
      <c r="A21" s="6" t="s">
        <v>416</v>
      </c>
      <c r="B21" s="6">
        <v>24.0</v>
      </c>
      <c r="C21" s="6" t="s">
        <v>417</v>
      </c>
      <c r="D21" s="6" t="s">
        <v>259</v>
      </c>
      <c r="E21" s="6" t="s">
        <v>367</v>
      </c>
      <c r="F21" s="6" t="s">
        <v>131</v>
      </c>
      <c r="G21" s="6" t="s">
        <v>418</v>
      </c>
      <c r="H21" s="7" t="s">
        <v>133</v>
      </c>
      <c r="I21" s="5"/>
      <c r="J21" s="5" t="s">
        <v>136</v>
      </c>
      <c r="K21" s="5"/>
      <c r="L21" s="5"/>
      <c r="M21" s="5"/>
      <c r="N21" s="5"/>
      <c r="O21" s="5"/>
      <c r="P21" s="5"/>
      <c r="Q21" s="5"/>
      <c r="R21" s="5"/>
      <c r="S21" s="5"/>
      <c r="T21" s="5"/>
      <c r="U21" s="5"/>
      <c r="V21" s="5"/>
      <c r="W21" s="5"/>
      <c r="X21" s="5"/>
      <c r="Y21" s="5"/>
      <c r="Z21" s="5"/>
      <c r="AA21" s="5"/>
      <c r="AB21" s="5" t="str">
        <f>IFERROR(IF(VLOOKUP(D21,Revistas!$A$21:$C$400,3,FALSE)=0,"",VLOOKUP(D21,Revistas!$A$21:$C$400,3,FALSE)),"")</f>
        <v>medio</v>
      </c>
      <c r="AC21" s="5"/>
      <c r="AD21" s="5"/>
      <c r="AE21" s="5"/>
    </row>
    <row r="22">
      <c r="A22" s="6" t="s">
        <v>419</v>
      </c>
      <c r="B22" s="6">
        <v>25.0</v>
      </c>
      <c r="C22" s="6" t="s">
        <v>420</v>
      </c>
      <c r="D22" s="6" t="s">
        <v>109</v>
      </c>
      <c r="E22" s="6" t="s">
        <v>367</v>
      </c>
      <c r="F22" s="6" t="s">
        <v>131</v>
      </c>
      <c r="G22" s="6" t="s">
        <v>421</v>
      </c>
      <c r="H22" s="7" t="s">
        <v>133</v>
      </c>
      <c r="I22" s="5"/>
      <c r="J22" s="5" t="s">
        <v>136</v>
      </c>
      <c r="K22" s="5"/>
      <c r="L22" s="5"/>
      <c r="M22" s="5"/>
      <c r="N22" s="5"/>
      <c r="O22" s="5"/>
      <c r="P22" s="5"/>
      <c r="Q22" s="5"/>
      <c r="R22" s="5"/>
      <c r="S22" s="5"/>
      <c r="T22" s="5"/>
      <c r="U22" s="5"/>
      <c r="V22" s="5"/>
      <c r="W22" s="5"/>
      <c r="X22" s="5"/>
      <c r="Y22" s="5"/>
      <c r="Z22" s="5"/>
      <c r="AA22" s="5"/>
      <c r="AB22" s="5" t="str">
        <f>IFERROR(IF(VLOOKUP(D22,Revistas!$A$21:$C$400,3,FALSE)=0,"",VLOOKUP(D22,Revistas!$A$21:$C$400,3,FALSE)),"")</f>
        <v>medio</v>
      </c>
      <c r="AC22" s="5"/>
      <c r="AD22" s="5"/>
      <c r="AE22" s="5"/>
    </row>
    <row r="23">
      <c r="A23" s="6" t="s">
        <v>422</v>
      </c>
      <c r="B23" s="6">
        <v>29.0</v>
      </c>
      <c r="C23" s="6" t="s">
        <v>423</v>
      </c>
      <c r="D23" s="6" t="s">
        <v>283</v>
      </c>
      <c r="E23" s="6" t="s">
        <v>273</v>
      </c>
      <c r="F23" s="6" t="s">
        <v>131</v>
      </c>
      <c r="G23" s="6" t="s">
        <v>424</v>
      </c>
      <c r="H23" s="7" t="s">
        <v>133</v>
      </c>
      <c r="I23" s="5"/>
      <c r="J23" s="5" t="s">
        <v>136</v>
      </c>
      <c r="K23" s="5"/>
      <c r="L23" s="5"/>
      <c r="M23" s="5"/>
      <c r="N23" s="5"/>
      <c r="O23" s="5"/>
      <c r="P23" s="5"/>
      <c r="Q23" s="5"/>
      <c r="R23" s="5"/>
      <c r="S23" s="5"/>
      <c r="T23" s="5"/>
      <c r="U23" s="5"/>
      <c r="V23" s="5"/>
      <c r="W23" s="5"/>
      <c r="X23" s="5"/>
      <c r="Y23" s="5"/>
      <c r="Z23" s="5"/>
      <c r="AA23" s="5"/>
      <c r="AB23" s="5" t="str">
        <f>IFERROR(IF(VLOOKUP(D23,Revistas!$A$21:$C$400,3,FALSE)=0,"",VLOOKUP(D23,Revistas!$A$21:$C$400,3,FALSE)),"")</f>
        <v>bajo</v>
      </c>
      <c r="AC23" s="5"/>
      <c r="AD23" s="5"/>
      <c r="AE23" s="5"/>
    </row>
    <row r="24">
      <c r="A24" s="6" t="s">
        <v>425</v>
      </c>
      <c r="B24" s="6">
        <v>30.0</v>
      </c>
      <c r="C24" s="6" t="s">
        <v>426</v>
      </c>
      <c r="D24" s="6" t="s">
        <v>316</v>
      </c>
      <c r="E24" s="6" t="s">
        <v>345</v>
      </c>
      <c r="F24" s="6" t="s">
        <v>131</v>
      </c>
      <c r="G24" s="6" t="s">
        <v>427</v>
      </c>
      <c r="H24" s="7" t="s">
        <v>133</v>
      </c>
      <c r="I24" s="5"/>
      <c r="J24" s="5" t="s">
        <v>136</v>
      </c>
      <c r="K24" s="5"/>
      <c r="L24" s="5"/>
      <c r="M24" s="5"/>
      <c r="N24" s="5"/>
      <c r="O24" s="5"/>
      <c r="P24" s="5"/>
      <c r="Q24" s="5"/>
      <c r="R24" s="5"/>
      <c r="S24" s="5"/>
      <c r="T24" s="5"/>
      <c r="U24" s="5"/>
      <c r="V24" s="5"/>
      <c r="W24" s="5"/>
      <c r="X24" s="5"/>
      <c r="Y24" s="5"/>
      <c r="Z24" s="5"/>
      <c r="AA24" s="5"/>
      <c r="AB24" s="5" t="str">
        <f>IFERROR(IF(VLOOKUP(D24,Revistas!$A$21:$C$400,3,FALSE)=0,"",VLOOKUP(D24,Revistas!$A$21:$C$400,3,FALSE)),"")</f>
        <v/>
      </c>
      <c r="AC24" s="5"/>
      <c r="AD24" s="5"/>
      <c r="AE24" s="5"/>
    </row>
    <row r="25">
      <c r="A25" s="6" t="s">
        <v>428</v>
      </c>
      <c r="B25" s="6">
        <v>35.0</v>
      </c>
      <c r="C25" s="6" t="s">
        <v>429</v>
      </c>
      <c r="D25" s="6" t="s">
        <v>187</v>
      </c>
      <c r="E25" s="6" t="s">
        <v>336</v>
      </c>
      <c r="F25" s="6" t="s">
        <v>131</v>
      </c>
      <c r="G25" s="6" t="s">
        <v>430</v>
      </c>
      <c r="H25" s="7" t="s">
        <v>133</v>
      </c>
      <c r="I25" s="5"/>
      <c r="J25" s="5" t="s">
        <v>136</v>
      </c>
      <c r="K25" s="5"/>
      <c r="L25" s="5"/>
      <c r="M25" s="5"/>
      <c r="N25" s="5"/>
      <c r="O25" s="5"/>
      <c r="P25" s="5"/>
      <c r="Q25" s="5"/>
      <c r="R25" s="5"/>
      <c r="S25" s="5"/>
      <c r="T25" s="5"/>
      <c r="U25" s="5"/>
      <c r="V25" s="5"/>
      <c r="W25" s="5"/>
      <c r="X25" s="5"/>
      <c r="Y25" s="5"/>
      <c r="Z25" s="5"/>
      <c r="AA25" s="5"/>
      <c r="AB25" s="5" t="str">
        <f>IFERROR(IF(VLOOKUP(D25,Revistas!$A$21:$C$400,3,FALSE)=0,"",VLOOKUP(D25,Revistas!$A$21:$C$400,3,FALSE)),"")</f>
        <v>alto</v>
      </c>
      <c r="AC25" s="5"/>
      <c r="AD25" s="5"/>
      <c r="AE25" s="5"/>
    </row>
    <row r="26" ht="15.75" customHeight="1">
      <c r="A26" s="6" t="s">
        <v>431</v>
      </c>
      <c r="B26" s="6">
        <v>36.0</v>
      </c>
      <c r="C26" s="6" t="s">
        <v>432</v>
      </c>
      <c r="D26" s="6" t="s">
        <v>366</v>
      </c>
      <c r="E26" s="6" t="s">
        <v>273</v>
      </c>
      <c r="F26" s="6" t="s">
        <v>131</v>
      </c>
      <c r="G26" s="6" t="s">
        <v>433</v>
      </c>
      <c r="H26" s="7" t="s">
        <v>133</v>
      </c>
      <c r="I26" s="5"/>
      <c r="J26" s="5" t="s">
        <v>136</v>
      </c>
      <c r="K26" s="5"/>
      <c r="L26" s="5"/>
      <c r="M26" s="5"/>
      <c r="N26" s="5"/>
      <c r="O26" s="5"/>
      <c r="P26" s="5"/>
      <c r="Q26" s="5"/>
      <c r="R26" s="5"/>
      <c r="S26" s="5"/>
      <c r="T26" s="5"/>
      <c r="U26" s="5"/>
      <c r="V26" s="5"/>
      <c r="W26" s="5"/>
      <c r="X26" s="5"/>
      <c r="Y26" s="5"/>
      <c r="Z26" s="5"/>
      <c r="AA26" s="5"/>
      <c r="AB26" s="5" t="str">
        <f>IFERROR(IF(VLOOKUP(D26,Revistas!$A$21:$C$400,3,FALSE)=0,"",VLOOKUP(D26,Revistas!$A$21:$C$400,3,FALSE)),"")</f>
        <v/>
      </c>
      <c r="AC26" s="5"/>
      <c r="AD26" s="5"/>
      <c r="AE26" s="5"/>
    </row>
    <row r="27" ht="15.75" customHeight="1">
      <c r="A27" s="6" t="s">
        <v>434</v>
      </c>
      <c r="B27" s="6">
        <v>47.0</v>
      </c>
      <c r="C27" s="6" t="s">
        <v>435</v>
      </c>
      <c r="D27" s="6" t="s">
        <v>320</v>
      </c>
      <c r="E27" s="6" t="s">
        <v>151</v>
      </c>
      <c r="F27" s="6" t="s">
        <v>131</v>
      </c>
      <c r="G27" s="6" t="s">
        <v>436</v>
      </c>
      <c r="H27" s="7" t="s">
        <v>133</v>
      </c>
      <c r="I27" s="5"/>
      <c r="J27" s="5" t="s">
        <v>136</v>
      </c>
      <c r="K27" s="5"/>
      <c r="L27" s="5"/>
      <c r="M27" s="5"/>
      <c r="N27" s="5"/>
      <c r="O27" s="5"/>
      <c r="P27" s="5"/>
      <c r="Q27" s="5"/>
      <c r="R27" s="5"/>
      <c r="S27" s="5"/>
      <c r="T27" s="5"/>
      <c r="U27" s="5"/>
      <c r="V27" s="5"/>
      <c r="W27" s="5"/>
      <c r="X27" s="5"/>
      <c r="Y27" s="5"/>
      <c r="Z27" s="5"/>
      <c r="AA27" s="5"/>
      <c r="AB27" s="5" t="str">
        <f>IFERROR(IF(VLOOKUP(D27,Revistas!$A$21:$C$400,3,FALSE)=0,"",VLOOKUP(D27,Revistas!$A$21:$C$400,3,FALSE)),"")</f>
        <v>medio</v>
      </c>
      <c r="AC27" s="5"/>
      <c r="AD27" s="5"/>
      <c r="AE27" s="5"/>
    </row>
    <row r="28" ht="15.75" customHeight="1">
      <c r="A28" s="6" t="s">
        <v>437</v>
      </c>
      <c r="B28" s="6">
        <v>54.0</v>
      </c>
      <c r="C28" s="6" t="s">
        <v>438</v>
      </c>
      <c r="D28" s="6" t="s">
        <v>251</v>
      </c>
      <c r="E28" s="6" t="s">
        <v>307</v>
      </c>
      <c r="F28" s="6" t="s">
        <v>131</v>
      </c>
      <c r="G28" s="6" t="s">
        <v>439</v>
      </c>
      <c r="H28" s="7" t="s">
        <v>133</v>
      </c>
      <c r="I28" s="5"/>
      <c r="J28" s="5" t="s">
        <v>136</v>
      </c>
      <c r="K28" s="5"/>
      <c r="L28" s="5"/>
      <c r="M28" s="5"/>
      <c r="N28" s="5"/>
      <c r="O28" s="5"/>
      <c r="P28" s="5"/>
      <c r="Q28" s="5"/>
      <c r="R28" s="5"/>
      <c r="S28" s="5"/>
      <c r="T28" s="5"/>
      <c r="U28" s="5"/>
      <c r="V28" s="5"/>
      <c r="W28" s="5"/>
      <c r="X28" s="5"/>
      <c r="Y28" s="5"/>
      <c r="Z28" s="5"/>
      <c r="AA28" s="5"/>
      <c r="AB28" s="5" t="str">
        <f>IFERROR(IF(VLOOKUP(D28,Revistas!$A$21:$C$400,3,FALSE)=0,"",VLOOKUP(D28,Revistas!$A$21:$C$400,3,FALSE)),"")</f>
        <v>alto</v>
      </c>
      <c r="AC28" s="5"/>
      <c r="AD28" s="5"/>
      <c r="AE28" s="5"/>
    </row>
    <row r="29" ht="15.75" customHeight="1">
      <c r="A29" s="6" t="s">
        <v>440</v>
      </c>
      <c r="B29" s="6">
        <v>60.0</v>
      </c>
      <c r="C29" s="6" t="s">
        <v>441</v>
      </c>
      <c r="D29" s="6" t="s">
        <v>400</v>
      </c>
      <c r="E29" s="6" t="s">
        <v>151</v>
      </c>
      <c r="F29" s="6" t="s">
        <v>131</v>
      </c>
      <c r="G29" s="6" t="s">
        <v>442</v>
      </c>
      <c r="H29" s="7" t="s">
        <v>133</v>
      </c>
      <c r="I29" s="5"/>
      <c r="J29" s="5" t="s">
        <v>136</v>
      </c>
      <c r="K29" s="5"/>
      <c r="L29" s="5"/>
      <c r="M29" s="5"/>
      <c r="N29" s="5"/>
      <c r="O29" s="5"/>
      <c r="P29" s="5"/>
      <c r="Q29" s="5"/>
      <c r="R29" s="5"/>
      <c r="S29" s="5"/>
      <c r="T29" s="5"/>
      <c r="U29" s="5"/>
      <c r="V29" s="5"/>
      <c r="W29" s="5"/>
      <c r="X29" s="5"/>
      <c r="Y29" s="5"/>
      <c r="Z29" s="5"/>
      <c r="AA29" s="5"/>
      <c r="AB29" s="5" t="str">
        <f>IFERROR(IF(VLOOKUP(D29,Revistas!$A$21:$C$400,3,FALSE)=0,"",VLOOKUP(D29,Revistas!$A$21:$C$400,3,FALSE)),"")</f>
        <v>alto</v>
      </c>
      <c r="AC29" s="5"/>
      <c r="AD29" s="5"/>
      <c r="AE29" s="5"/>
    </row>
    <row r="30" ht="15.75" customHeight="1">
      <c r="A30" s="6" t="s">
        <v>443</v>
      </c>
      <c r="B30" s="6">
        <v>64.0</v>
      </c>
      <c r="C30" s="6" t="s">
        <v>444</v>
      </c>
      <c r="D30" s="6" t="s">
        <v>319</v>
      </c>
      <c r="E30" s="6" t="s">
        <v>273</v>
      </c>
      <c r="F30" s="6" t="s">
        <v>131</v>
      </c>
      <c r="G30" s="6" t="s">
        <v>445</v>
      </c>
      <c r="H30" s="7" t="s">
        <v>133</v>
      </c>
      <c r="I30" s="5"/>
      <c r="J30" s="5" t="s">
        <v>136</v>
      </c>
      <c r="K30" s="5"/>
      <c r="L30" s="5"/>
      <c r="M30" s="5"/>
      <c r="N30" s="5"/>
      <c r="O30" s="5"/>
      <c r="P30" s="5"/>
      <c r="Q30" s="5"/>
      <c r="R30" s="5"/>
      <c r="S30" s="5"/>
      <c r="T30" s="5"/>
      <c r="U30" s="5"/>
      <c r="V30" s="5"/>
      <c r="W30" s="5"/>
      <c r="X30" s="5"/>
      <c r="Y30" s="5"/>
      <c r="Z30" s="5"/>
      <c r="AA30" s="5"/>
      <c r="AB30" s="5" t="str">
        <f>IFERROR(IF(VLOOKUP(D30,Revistas!$A$21:$C$400,3,FALSE)=0,"",VLOOKUP(D30,Revistas!$A$21:$C$400,3,FALSE)),"")</f>
        <v/>
      </c>
      <c r="AC30" s="5"/>
      <c r="AD30" s="5"/>
      <c r="AE30" s="5"/>
    </row>
    <row r="31" ht="15.75" customHeight="1">
      <c r="A31" s="6" t="s">
        <v>446</v>
      </c>
      <c r="B31" s="6">
        <v>66.0</v>
      </c>
      <c r="C31" s="6" t="s">
        <v>447</v>
      </c>
      <c r="D31" s="6" t="s">
        <v>187</v>
      </c>
      <c r="E31" s="6" t="s">
        <v>273</v>
      </c>
      <c r="F31" s="6" t="s">
        <v>131</v>
      </c>
      <c r="G31" s="6" t="s">
        <v>448</v>
      </c>
      <c r="H31" s="7" t="s">
        <v>133</v>
      </c>
      <c r="I31" s="5"/>
      <c r="J31" s="5" t="s">
        <v>136</v>
      </c>
      <c r="K31" s="5"/>
      <c r="L31" s="5"/>
      <c r="M31" s="5"/>
      <c r="N31" s="5"/>
      <c r="O31" s="5"/>
      <c r="P31" s="5"/>
      <c r="Q31" s="5"/>
      <c r="R31" s="5"/>
      <c r="S31" s="5"/>
      <c r="T31" s="5"/>
      <c r="U31" s="5"/>
      <c r="V31" s="5"/>
      <c r="W31" s="5"/>
      <c r="X31" s="5"/>
      <c r="Y31" s="5"/>
      <c r="Z31" s="5"/>
      <c r="AA31" s="5"/>
      <c r="AB31" s="5" t="str">
        <f>IFERROR(IF(VLOOKUP(D31,Revistas!$A$21:$C$400,3,FALSE)=0,"",VLOOKUP(D31,Revistas!$A$21:$C$400,3,FALSE)),"")</f>
        <v>alto</v>
      </c>
      <c r="AC31" s="5"/>
      <c r="AD31" s="5"/>
      <c r="AE31" s="5"/>
    </row>
    <row r="32" ht="15.75" customHeight="1">
      <c r="A32" s="6" t="s">
        <v>449</v>
      </c>
      <c r="B32" s="6">
        <v>67.0</v>
      </c>
      <c r="C32" s="6" t="s">
        <v>450</v>
      </c>
      <c r="D32" s="6" t="s">
        <v>255</v>
      </c>
      <c r="E32" s="6" t="s">
        <v>345</v>
      </c>
      <c r="F32" s="6" t="s">
        <v>131</v>
      </c>
      <c r="G32" s="6" t="s">
        <v>451</v>
      </c>
      <c r="H32" s="7" t="s">
        <v>133</v>
      </c>
      <c r="I32" s="5"/>
      <c r="J32" s="5" t="s">
        <v>136</v>
      </c>
      <c r="K32" s="5"/>
      <c r="L32" s="5"/>
      <c r="M32" s="5"/>
      <c r="N32" s="5"/>
      <c r="O32" s="5"/>
      <c r="P32" s="5"/>
      <c r="Q32" s="5"/>
      <c r="R32" s="5"/>
      <c r="S32" s="5"/>
      <c r="T32" s="5"/>
      <c r="U32" s="5"/>
      <c r="V32" s="5"/>
      <c r="W32" s="5"/>
      <c r="X32" s="5"/>
      <c r="Y32" s="5"/>
      <c r="Z32" s="5"/>
      <c r="AA32" s="5"/>
      <c r="AB32" s="5" t="str">
        <f>IFERROR(IF(VLOOKUP(D32,Revistas!$A$21:$C$400,3,FALSE)=0,"",VLOOKUP(D32,Revistas!$A$21:$C$400,3,FALSE)),"")</f>
        <v>medio</v>
      </c>
      <c r="AC32" s="5"/>
      <c r="AD32" s="5"/>
      <c r="AE32" s="5"/>
    </row>
    <row r="33" ht="15.75" customHeight="1">
      <c r="A33" s="6" t="s">
        <v>452</v>
      </c>
      <c r="B33" s="6">
        <v>68.0</v>
      </c>
      <c r="C33" s="6" t="s">
        <v>453</v>
      </c>
      <c r="D33" s="6" t="s">
        <v>325</v>
      </c>
      <c r="E33" s="6" t="s">
        <v>345</v>
      </c>
      <c r="F33" s="6" t="s">
        <v>131</v>
      </c>
      <c r="G33" s="6" t="s">
        <v>454</v>
      </c>
      <c r="H33" s="7" t="s">
        <v>133</v>
      </c>
      <c r="I33" s="5"/>
      <c r="J33" s="5" t="s">
        <v>136</v>
      </c>
      <c r="K33" s="5"/>
      <c r="L33" s="5"/>
      <c r="M33" s="5"/>
      <c r="N33" s="5"/>
      <c r="O33" s="5"/>
      <c r="P33" s="5"/>
      <c r="Q33" s="5"/>
      <c r="R33" s="5"/>
      <c r="S33" s="5"/>
      <c r="T33" s="5"/>
      <c r="U33" s="5"/>
      <c r="V33" s="5"/>
      <c r="W33" s="5"/>
      <c r="X33" s="5"/>
      <c r="Y33" s="5"/>
      <c r="Z33" s="5"/>
      <c r="AA33" s="5"/>
      <c r="AB33" s="5" t="str">
        <f>IFERROR(IF(VLOOKUP(D33,Revistas!$A$21:$C$400,3,FALSE)=0,"",VLOOKUP(D33,Revistas!$A$21:$C$400,3,FALSE)),"")</f>
        <v>bajo</v>
      </c>
      <c r="AC33" s="5"/>
      <c r="AD33" s="5"/>
      <c r="AE33" s="5"/>
    </row>
    <row r="34" ht="15.75" customHeight="1">
      <c r="A34" s="6" t="s">
        <v>455</v>
      </c>
      <c r="B34" s="6">
        <v>72.0</v>
      </c>
      <c r="C34" s="6" t="s">
        <v>456</v>
      </c>
      <c r="D34" s="6" t="s">
        <v>322</v>
      </c>
      <c r="E34" s="6" t="s">
        <v>457</v>
      </c>
      <c r="F34" s="6" t="s">
        <v>131</v>
      </c>
      <c r="G34" s="6" t="s">
        <v>458</v>
      </c>
      <c r="H34" s="7" t="s">
        <v>133</v>
      </c>
      <c r="I34" s="5"/>
      <c r="J34" s="5" t="s">
        <v>136</v>
      </c>
      <c r="K34" s="5"/>
      <c r="L34" s="5"/>
      <c r="M34" s="5"/>
      <c r="N34" s="5"/>
      <c r="O34" s="5"/>
      <c r="P34" s="5"/>
      <c r="Q34" s="5"/>
      <c r="R34" s="5"/>
      <c r="S34" s="5"/>
      <c r="T34" s="5"/>
      <c r="U34" s="5"/>
      <c r="V34" s="5"/>
      <c r="W34" s="5"/>
      <c r="X34" s="5"/>
      <c r="Y34" s="5"/>
      <c r="Z34" s="5"/>
      <c r="AA34" s="5"/>
      <c r="AB34" s="5" t="str">
        <f>IFERROR(IF(VLOOKUP(D34,Revistas!$A$21:$C$400,3,FALSE)=0,"",VLOOKUP(D34,Revistas!$A$21:$C$400,3,FALSE)),"")</f>
        <v>medio</v>
      </c>
      <c r="AC34" s="5"/>
      <c r="AD34" s="5"/>
      <c r="AE34" s="5"/>
    </row>
    <row r="35" ht="15.75" customHeight="1">
      <c r="A35" s="6" t="s">
        <v>459</v>
      </c>
      <c r="B35" s="6">
        <v>74.0</v>
      </c>
      <c r="C35" s="6" t="s">
        <v>460</v>
      </c>
      <c r="D35" s="6" t="s">
        <v>266</v>
      </c>
      <c r="E35" s="6" t="s">
        <v>307</v>
      </c>
      <c r="F35" s="6" t="s">
        <v>131</v>
      </c>
      <c r="G35" s="6" t="s">
        <v>461</v>
      </c>
      <c r="H35" s="7" t="s">
        <v>133</v>
      </c>
      <c r="I35" s="5"/>
      <c r="J35" s="5" t="s">
        <v>136</v>
      </c>
      <c r="K35" s="5"/>
      <c r="L35" s="5"/>
      <c r="M35" s="5"/>
      <c r="N35" s="5"/>
      <c r="O35" s="5"/>
      <c r="P35" s="5"/>
      <c r="Q35" s="5"/>
      <c r="R35" s="5"/>
      <c r="S35" s="5"/>
      <c r="T35" s="5"/>
      <c r="U35" s="5"/>
      <c r="V35" s="5"/>
      <c r="W35" s="5"/>
      <c r="X35" s="5"/>
      <c r="Y35" s="5"/>
      <c r="Z35" s="5"/>
      <c r="AA35" s="5"/>
      <c r="AB35" s="5" t="str">
        <f>IFERROR(IF(VLOOKUP(D35,Revistas!$A$21:$C$400,3,FALSE)=0,"",VLOOKUP(D35,Revistas!$A$21:$C$400,3,FALSE)),"")</f>
        <v>alto</v>
      </c>
      <c r="AC35" s="5"/>
      <c r="AD35" s="5"/>
      <c r="AE35" s="5"/>
    </row>
    <row r="36" ht="15.75" customHeight="1">
      <c r="A36" s="6" t="s">
        <v>462</v>
      </c>
      <c r="B36" s="6">
        <v>75.0</v>
      </c>
      <c r="C36" s="6" t="s">
        <v>463</v>
      </c>
      <c r="D36" s="6" t="s">
        <v>249</v>
      </c>
      <c r="E36" s="6" t="s">
        <v>225</v>
      </c>
      <c r="F36" s="6" t="s">
        <v>131</v>
      </c>
      <c r="G36" s="6" t="s">
        <v>464</v>
      </c>
      <c r="H36" s="7" t="s">
        <v>133</v>
      </c>
      <c r="I36" s="5"/>
      <c r="J36" s="5" t="s">
        <v>136</v>
      </c>
      <c r="K36" s="5"/>
      <c r="L36" s="5"/>
      <c r="M36" s="5"/>
      <c r="N36" s="5"/>
      <c r="O36" s="5"/>
      <c r="P36" s="5"/>
      <c r="Q36" s="5"/>
      <c r="R36" s="5"/>
      <c r="S36" s="5"/>
      <c r="T36" s="5"/>
      <c r="U36" s="5"/>
      <c r="V36" s="5"/>
      <c r="W36" s="5"/>
      <c r="X36" s="5"/>
      <c r="Y36" s="5"/>
      <c r="Z36" s="5"/>
      <c r="AA36" s="5"/>
      <c r="AB36" s="5" t="str">
        <f>IFERROR(IF(VLOOKUP(D36,Revistas!$A$21:$C$400,3,FALSE)=0,"",VLOOKUP(D36,Revistas!$A$21:$C$400,3,FALSE)),"")</f>
        <v>medio</v>
      </c>
      <c r="AC36" s="5"/>
      <c r="AD36" s="5"/>
      <c r="AE36" s="5"/>
    </row>
    <row r="37" ht="15.75" customHeight="1">
      <c r="A37" s="6" t="s">
        <v>465</v>
      </c>
      <c r="B37" s="6">
        <v>80.0</v>
      </c>
      <c r="C37" s="6" t="s">
        <v>466</v>
      </c>
      <c r="D37" s="6" t="s">
        <v>394</v>
      </c>
      <c r="E37" s="6" t="s">
        <v>367</v>
      </c>
      <c r="F37" s="6" t="s">
        <v>131</v>
      </c>
      <c r="G37" s="6" t="s">
        <v>467</v>
      </c>
      <c r="H37" s="7" t="s">
        <v>133</v>
      </c>
      <c r="I37" s="5"/>
      <c r="J37" s="5" t="s">
        <v>136</v>
      </c>
      <c r="K37" s="5"/>
      <c r="L37" s="5"/>
      <c r="M37" s="5"/>
      <c r="N37" s="5"/>
      <c r="O37" s="5"/>
      <c r="P37" s="5"/>
      <c r="Q37" s="5"/>
      <c r="R37" s="5"/>
      <c r="S37" s="5"/>
      <c r="T37" s="5"/>
      <c r="U37" s="5"/>
      <c r="V37" s="5"/>
      <c r="W37" s="5"/>
      <c r="X37" s="5"/>
      <c r="Y37" s="5"/>
      <c r="Z37" s="5"/>
      <c r="AA37" s="5"/>
      <c r="AB37" s="5" t="str">
        <f>IFERROR(IF(VLOOKUP(D37,Revistas!$A$21:$C$400,3,FALSE)=0,"",VLOOKUP(D37,Revistas!$A$21:$C$400,3,FALSE)),"")</f>
        <v/>
      </c>
      <c r="AC37" s="5"/>
      <c r="AD37" s="5"/>
      <c r="AE37" s="5"/>
    </row>
    <row r="38" ht="15.75" customHeight="1">
      <c r="A38" s="6" t="s">
        <v>468</v>
      </c>
      <c r="B38" s="6">
        <v>88.0</v>
      </c>
      <c r="C38" s="6" t="s">
        <v>469</v>
      </c>
      <c r="D38" s="6" t="s">
        <v>470</v>
      </c>
      <c r="E38" s="6" t="s">
        <v>345</v>
      </c>
      <c r="F38" s="6" t="s">
        <v>131</v>
      </c>
      <c r="G38" s="6" t="s">
        <v>471</v>
      </c>
      <c r="H38" s="7" t="s">
        <v>133</v>
      </c>
      <c r="I38" s="5"/>
      <c r="J38" s="5" t="s">
        <v>136</v>
      </c>
      <c r="K38" s="5"/>
      <c r="L38" s="5"/>
      <c r="M38" s="5"/>
      <c r="N38" s="5"/>
      <c r="O38" s="5"/>
      <c r="P38" s="5"/>
      <c r="Q38" s="5"/>
      <c r="R38" s="5"/>
      <c r="S38" s="5"/>
      <c r="T38" s="5"/>
      <c r="U38" s="5"/>
      <c r="V38" s="5"/>
      <c r="W38" s="5"/>
      <c r="X38" s="5"/>
      <c r="Y38" s="5"/>
      <c r="Z38" s="5"/>
      <c r="AA38" s="5"/>
      <c r="AB38" s="5" t="str">
        <f>IFERROR(IF(VLOOKUP(D38,Revistas!$A$21:$C$400,3,FALSE)=0,"",VLOOKUP(D38,Revistas!$A$21:$C$400,3,FALSE)),"")</f>
        <v/>
      </c>
      <c r="AC38" s="5"/>
      <c r="AD38" s="5"/>
      <c r="AE38" s="5"/>
    </row>
    <row r="39" ht="15.75" customHeight="1">
      <c r="A39" s="6" t="s">
        <v>472</v>
      </c>
      <c r="B39" s="6">
        <v>95.0</v>
      </c>
      <c r="C39" s="6" t="s">
        <v>473</v>
      </c>
      <c r="D39" s="6" t="s">
        <v>93</v>
      </c>
      <c r="E39" s="6" t="s">
        <v>129</v>
      </c>
      <c r="F39" s="6" t="s">
        <v>131</v>
      </c>
      <c r="G39" s="6" t="s">
        <v>474</v>
      </c>
      <c r="H39" s="7" t="s">
        <v>133</v>
      </c>
      <c r="I39" s="5"/>
      <c r="J39" s="5" t="s">
        <v>136</v>
      </c>
      <c r="K39" s="5"/>
      <c r="L39" s="5"/>
      <c r="M39" s="5"/>
      <c r="N39" s="5"/>
      <c r="O39" s="5"/>
      <c r="P39" s="5"/>
      <c r="Q39" s="5"/>
      <c r="R39" s="5"/>
      <c r="S39" s="5"/>
      <c r="T39" s="5"/>
      <c r="U39" s="5"/>
      <c r="V39" s="5"/>
      <c r="W39" s="5"/>
      <c r="X39" s="5"/>
      <c r="Y39" s="5"/>
      <c r="Z39" s="5"/>
      <c r="AA39" s="5"/>
      <c r="AB39" s="5" t="str">
        <f>IFERROR(IF(VLOOKUP(D39,Revistas!$A$21:$C$400,3,FALSE)=0,"",VLOOKUP(D39,Revistas!$A$21:$C$400,3,FALSE)),"")</f>
        <v>medio</v>
      </c>
      <c r="AC39" s="5"/>
      <c r="AD39" s="5"/>
      <c r="AE39" s="5"/>
    </row>
    <row r="40" ht="15.75" customHeight="1">
      <c r="A40" s="6" t="s">
        <v>475</v>
      </c>
      <c r="B40" s="6">
        <v>97.0</v>
      </c>
      <c r="C40" s="6" t="s">
        <v>476</v>
      </c>
      <c r="D40" s="6" t="s">
        <v>64</v>
      </c>
      <c r="E40" s="6" t="s">
        <v>151</v>
      </c>
      <c r="F40" s="6" t="s">
        <v>131</v>
      </c>
      <c r="G40" s="6" t="s">
        <v>477</v>
      </c>
      <c r="H40" s="7" t="s">
        <v>133</v>
      </c>
      <c r="I40" s="5"/>
      <c r="J40" s="5" t="s">
        <v>136</v>
      </c>
      <c r="K40" s="5"/>
      <c r="L40" s="5"/>
      <c r="M40" s="5"/>
      <c r="N40" s="5"/>
      <c r="O40" s="5"/>
      <c r="P40" s="5"/>
      <c r="Q40" s="5"/>
      <c r="R40" s="5"/>
      <c r="S40" s="5"/>
      <c r="T40" s="5"/>
      <c r="U40" s="5"/>
      <c r="V40" s="5"/>
      <c r="W40" s="5"/>
      <c r="X40" s="5"/>
      <c r="Y40" s="5"/>
      <c r="Z40" s="5"/>
      <c r="AA40" s="5"/>
      <c r="AB40" s="5" t="str">
        <f>IFERROR(IF(VLOOKUP(D40,Revistas!$A$21:$C$400,3,FALSE)=0,"",VLOOKUP(D40,Revistas!$A$21:$C$400,3,FALSE)),"")</f>
        <v>medio</v>
      </c>
      <c r="AC40" s="5"/>
      <c r="AD40" s="5"/>
      <c r="AE40" s="5"/>
    </row>
    <row r="41" ht="15.75" customHeight="1">
      <c r="A41" s="6" t="s">
        <v>478</v>
      </c>
      <c r="B41" s="6">
        <v>99.0</v>
      </c>
      <c r="C41" s="6" t="s">
        <v>479</v>
      </c>
      <c r="D41" s="6" t="s">
        <v>308</v>
      </c>
      <c r="E41" s="6" t="s">
        <v>151</v>
      </c>
      <c r="F41" s="6" t="s">
        <v>131</v>
      </c>
      <c r="G41" s="6" t="s">
        <v>480</v>
      </c>
      <c r="H41" s="7" t="s">
        <v>133</v>
      </c>
      <c r="I41" s="5"/>
      <c r="J41" s="5" t="s">
        <v>136</v>
      </c>
      <c r="K41" s="5"/>
      <c r="L41" s="5"/>
      <c r="M41" s="5"/>
      <c r="N41" s="5"/>
      <c r="O41" s="5"/>
      <c r="P41" s="5"/>
      <c r="Q41" s="5"/>
      <c r="R41" s="5"/>
      <c r="S41" s="5"/>
      <c r="T41" s="5"/>
      <c r="U41" s="5"/>
      <c r="V41" s="5"/>
      <c r="W41" s="5"/>
      <c r="X41" s="5"/>
      <c r="Y41" s="5"/>
      <c r="Z41" s="5"/>
      <c r="AA41" s="5"/>
      <c r="AB41" s="5" t="str">
        <f>IFERROR(IF(VLOOKUP(D41,Revistas!$A$21:$C$400,3,FALSE)=0,"",VLOOKUP(D41,Revistas!$A$21:$C$400,3,FALSE)),"")</f>
        <v>medio</v>
      </c>
      <c r="AC41" s="5"/>
      <c r="AD41" s="5"/>
      <c r="AE41" s="5"/>
    </row>
    <row r="42" ht="15.75" customHeight="1">
      <c r="A42" s="6" t="s">
        <v>481</v>
      </c>
      <c r="B42" s="6">
        <v>104.0</v>
      </c>
      <c r="C42" s="6" t="s">
        <v>482</v>
      </c>
      <c r="D42" s="6" t="s">
        <v>263</v>
      </c>
      <c r="E42" s="6" t="s">
        <v>336</v>
      </c>
      <c r="F42" s="6" t="s">
        <v>131</v>
      </c>
      <c r="G42" s="6" t="s">
        <v>483</v>
      </c>
      <c r="H42" s="7" t="s">
        <v>133</v>
      </c>
      <c r="I42" s="5"/>
      <c r="J42" s="5" t="s">
        <v>136</v>
      </c>
      <c r="K42" s="5"/>
      <c r="L42" s="5"/>
      <c r="M42" s="5"/>
      <c r="N42" s="5"/>
      <c r="O42" s="5"/>
      <c r="P42" s="5"/>
      <c r="Q42" s="5"/>
      <c r="R42" s="5"/>
      <c r="S42" s="5"/>
      <c r="T42" s="5"/>
      <c r="U42" s="5"/>
      <c r="V42" s="5"/>
      <c r="W42" s="5"/>
      <c r="X42" s="5"/>
      <c r="Y42" s="5"/>
      <c r="Z42" s="5"/>
      <c r="AA42" s="5"/>
      <c r="AB42" s="5" t="str">
        <f>IFERROR(IF(VLOOKUP(D42,Revistas!$A$21:$C$400,3,FALSE)=0,"",VLOOKUP(D42,Revistas!$A$21:$C$400,3,FALSE)),"")</f>
        <v>alto</v>
      </c>
      <c r="AC42" s="5"/>
      <c r="AD42" s="5"/>
      <c r="AE42" s="5"/>
    </row>
    <row r="43" ht="15.75" customHeight="1">
      <c r="A43" s="6" t="s">
        <v>484</v>
      </c>
      <c r="B43" s="6">
        <v>110.0</v>
      </c>
      <c r="C43" s="6" t="s">
        <v>485</v>
      </c>
      <c r="D43" s="6" t="s">
        <v>329</v>
      </c>
      <c r="E43" s="6" t="s">
        <v>273</v>
      </c>
      <c r="F43" s="6" t="s">
        <v>131</v>
      </c>
      <c r="G43" s="6" t="s">
        <v>486</v>
      </c>
      <c r="H43" s="7" t="s">
        <v>133</v>
      </c>
      <c r="I43" s="5"/>
      <c r="J43" s="5" t="s">
        <v>136</v>
      </c>
      <c r="K43" s="5"/>
      <c r="L43" s="5"/>
      <c r="M43" s="5"/>
      <c r="N43" s="5"/>
      <c r="O43" s="5"/>
      <c r="P43" s="5"/>
      <c r="Q43" s="5"/>
      <c r="R43" s="5"/>
      <c r="S43" s="5"/>
      <c r="T43" s="5"/>
      <c r="U43" s="5"/>
      <c r="V43" s="5"/>
      <c r="W43" s="5"/>
      <c r="X43" s="5"/>
      <c r="Y43" s="5"/>
      <c r="Z43" s="5"/>
      <c r="AA43" s="5"/>
      <c r="AB43" s="5" t="str">
        <f>IFERROR(IF(VLOOKUP(D43,Revistas!$A$21:$C$400,3,FALSE)=0,"",VLOOKUP(D43,Revistas!$A$21:$C$400,3,FALSE)),"")</f>
        <v>medio</v>
      </c>
      <c r="AC43" s="5"/>
      <c r="AD43" s="5"/>
      <c r="AE43" s="5"/>
    </row>
    <row r="44" ht="15.75" customHeight="1">
      <c r="A44" s="6" t="s">
        <v>487</v>
      </c>
      <c r="B44" s="6">
        <v>111.0</v>
      </c>
      <c r="C44" s="6" t="s">
        <v>488</v>
      </c>
      <c r="D44" s="6" t="s">
        <v>251</v>
      </c>
      <c r="E44" s="6" t="s">
        <v>345</v>
      </c>
      <c r="F44" s="6" t="s">
        <v>131</v>
      </c>
      <c r="G44" s="6" t="s">
        <v>489</v>
      </c>
      <c r="H44" s="7" t="s">
        <v>133</v>
      </c>
      <c r="I44" s="5"/>
      <c r="J44" s="5" t="s">
        <v>136</v>
      </c>
      <c r="K44" s="5"/>
      <c r="L44" s="5"/>
      <c r="M44" s="5"/>
      <c r="N44" s="5"/>
      <c r="O44" s="5"/>
      <c r="P44" s="5"/>
      <c r="Q44" s="5"/>
      <c r="R44" s="5"/>
      <c r="S44" s="5"/>
      <c r="T44" s="5"/>
      <c r="U44" s="5"/>
      <c r="V44" s="5"/>
      <c r="W44" s="5"/>
      <c r="X44" s="5"/>
      <c r="Y44" s="5"/>
      <c r="Z44" s="5"/>
      <c r="AA44" s="5"/>
      <c r="AB44" s="5" t="str">
        <f>IFERROR(IF(VLOOKUP(D44,Revistas!$A$21:$C$400,3,FALSE)=0,"",VLOOKUP(D44,Revistas!$A$21:$C$400,3,FALSE)),"")</f>
        <v>alto</v>
      </c>
      <c r="AC44" s="5"/>
      <c r="AD44" s="5"/>
      <c r="AE44" s="5"/>
    </row>
    <row r="45" ht="15.75" customHeight="1">
      <c r="A45" s="6" t="s">
        <v>490</v>
      </c>
      <c r="B45" s="6">
        <v>116.0</v>
      </c>
      <c r="C45" s="6" t="s">
        <v>491</v>
      </c>
      <c r="D45" s="6" t="s">
        <v>393</v>
      </c>
      <c r="E45" s="6" t="s">
        <v>345</v>
      </c>
      <c r="F45" s="6" t="s">
        <v>131</v>
      </c>
      <c r="G45" s="6" t="s">
        <v>492</v>
      </c>
      <c r="H45" s="7" t="s">
        <v>133</v>
      </c>
      <c r="I45" s="5"/>
      <c r="J45" s="5" t="s">
        <v>136</v>
      </c>
      <c r="K45" s="5"/>
      <c r="L45" s="5"/>
      <c r="M45" s="5"/>
      <c r="N45" s="5"/>
      <c r="O45" s="5"/>
      <c r="P45" s="5"/>
      <c r="Q45" s="5"/>
      <c r="R45" s="5"/>
      <c r="S45" s="5"/>
      <c r="T45" s="5"/>
      <c r="U45" s="5"/>
      <c r="V45" s="5"/>
      <c r="W45" s="5"/>
      <c r="X45" s="5"/>
      <c r="Y45" s="5"/>
      <c r="Z45" s="5"/>
      <c r="AA45" s="5"/>
      <c r="AB45" s="5" t="str">
        <f>IFERROR(IF(VLOOKUP(D45,Revistas!$A$21:$C$400,3,FALSE)=0,"",VLOOKUP(D45,Revistas!$A$21:$C$400,3,FALSE)),"")</f>
        <v>alto</v>
      </c>
      <c r="AC45" s="5"/>
      <c r="AD45" s="5"/>
      <c r="AE45" s="5"/>
    </row>
    <row r="46" ht="15.75" customHeight="1">
      <c r="A46" s="6" t="s">
        <v>493</v>
      </c>
      <c r="B46" s="6">
        <v>120.0</v>
      </c>
      <c r="C46" s="6" t="s">
        <v>494</v>
      </c>
      <c r="D46" s="6" t="s">
        <v>130</v>
      </c>
      <c r="E46" s="6" t="s">
        <v>495</v>
      </c>
      <c r="F46" s="6" t="s">
        <v>131</v>
      </c>
      <c r="G46" s="6" t="s">
        <v>496</v>
      </c>
      <c r="H46" s="7" t="s">
        <v>133</v>
      </c>
      <c r="I46" s="5"/>
      <c r="J46" s="5" t="s">
        <v>136</v>
      </c>
      <c r="K46" s="5"/>
      <c r="L46" s="5"/>
      <c r="M46" s="5"/>
      <c r="N46" s="5"/>
      <c r="O46" s="5"/>
      <c r="P46" s="5"/>
      <c r="Q46" s="5"/>
      <c r="R46" s="5"/>
      <c r="S46" s="5"/>
      <c r="T46" s="5"/>
      <c r="U46" s="5"/>
      <c r="V46" s="5"/>
      <c r="W46" s="5"/>
      <c r="X46" s="5"/>
      <c r="Y46" s="5"/>
      <c r="Z46" s="5"/>
      <c r="AA46" s="5"/>
      <c r="AB46" s="5" t="str">
        <f>IFERROR(IF(VLOOKUP(D46,Revistas!$A$21:$C$400,3,FALSE)=0,"",VLOOKUP(D46,Revistas!$A$21:$C$400,3,FALSE)),"")</f>
        <v/>
      </c>
      <c r="AC46" s="5"/>
      <c r="AD46" s="5"/>
      <c r="AE46" s="5"/>
    </row>
    <row r="47" ht="15.75" customHeight="1">
      <c r="A47" s="6" t="s">
        <v>497</v>
      </c>
      <c r="B47" s="6">
        <v>121.0</v>
      </c>
      <c r="C47" s="6" t="s">
        <v>498</v>
      </c>
      <c r="D47" s="6" t="s">
        <v>281</v>
      </c>
      <c r="E47" s="6" t="s">
        <v>495</v>
      </c>
      <c r="F47" s="6" t="s">
        <v>131</v>
      </c>
      <c r="G47" s="6" t="s">
        <v>499</v>
      </c>
      <c r="H47" s="7" t="s">
        <v>133</v>
      </c>
      <c r="I47" s="5"/>
      <c r="J47" s="5" t="s">
        <v>136</v>
      </c>
      <c r="K47" s="5"/>
      <c r="L47" s="5"/>
      <c r="M47" s="5"/>
      <c r="N47" s="5"/>
      <c r="O47" s="5"/>
      <c r="P47" s="5"/>
      <c r="Q47" s="5"/>
      <c r="R47" s="5"/>
      <c r="S47" s="5"/>
      <c r="T47" s="5"/>
      <c r="U47" s="5"/>
      <c r="V47" s="5"/>
      <c r="W47" s="5"/>
      <c r="X47" s="5"/>
      <c r="Y47" s="5"/>
      <c r="Z47" s="5"/>
      <c r="AA47" s="5"/>
      <c r="AB47" s="5" t="str">
        <f>IFERROR(IF(VLOOKUP(D47,Revistas!$A$21:$C$400,3,FALSE)=0,"",VLOOKUP(D47,Revistas!$A$21:$C$400,3,FALSE)),"")</f>
        <v>alto</v>
      </c>
      <c r="AC47" s="5"/>
      <c r="AD47" s="5"/>
      <c r="AE47" s="5"/>
    </row>
    <row r="48" ht="15.75" customHeight="1">
      <c r="A48" s="6" t="s">
        <v>500</v>
      </c>
      <c r="B48" s="6">
        <v>122.0</v>
      </c>
      <c r="C48" s="6" t="s">
        <v>501</v>
      </c>
      <c r="D48" s="6" t="s">
        <v>254</v>
      </c>
      <c r="E48" s="6" t="s">
        <v>307</v>
      </c>
      <c r="F48" s="6" t="s">
        <v>131</v>
      </c>
      <c r="G48" s="6" t="s">
        <v>502</v>
      </c>
      <c r="H48" s="7" t="s">
        <v>133</v>
      </c>
      <c r="I48" s="5"/>
      <c r="J48" s="5" t="s">
        <v>136</v>
      </c>
      <c r="K48" s="5"/>
      <c r="L48" s="5"/>
      <c r="M48" s="5"/>
      <c r="N48" s="5"/>
      <c r="O48" s="5"/>
      <c r="P48" s="5"/>
      <c r="Q48" s="5"/>
      <c r="R48" s="5"/>
      <c r="S48" s="5"/>
      <c r="T48" s="5"/>
      <c r="U48" s="5"/>
      <c r="V48" s="5"/>
      <c r="W48" s="5"/>
      <c r="X48" s="5"/>
      <c r="Y48" s="5"/>
      <c r="Z48" s="5"/>
      <c r="AA48" s="5"/>
      <c r="AB48" s="5" t="str">
        <f>IFERROR(IF(VLOOKUP(D48,Revistas!$A$21:$C$400,3,FALSE)=0,"",VLOOKUP(D48,Revistas!$A$21:$C$400,3,FALSE)),"")</f>
        <v>medio</v>
      </c>
      <c r="AC48" s="5"/>
      <c r="AD48" s="5"/>
      <c r="AE48" s="5"/>
    </row>
    <row r="49" ht="15.75" customHeight="1">
      <c r="A49" s="6" t="s">
        <v>503</v>
      </c>
      <c r="B49" s="6">
        <v>125.0</v>
      </c>
      <c r="C49" s="6" t="s">
        <v>504</v>
      </c>
      <c r="D49" s="6" t="s">
        <v>249</v>
      </c>
      <c r="E49" s="6" t="s">
        <v>151</v>
      </c>
      <c r="F49" s="6" t="s">
        <v>131</v>
      </c>
      <c r="G49" s="6" t="s">
        <v>505</v>
      </c>
      <c r="H49" s="7" t="s">
        <v>133</v>
      </c>
      <c r="I49" s="5"/>
      <c r="J49" s="5" t="s">
        <v>136</v>
      </c>
      <c r="K49" s="5"/>
      <c r="L49" s="5"/>
      <c r="M49" s="5"/>
      <c r="N49" s="5"/>
      <c r="O49" s="5"/>
      <c r="P49" s="5"/>
      <c r="Q49" s="5"/>
      <c r="R49" s="5"/>
      <c r="S49" s="5"/>
      <c r="T49" s="5"/>
      <c r="U49" s="5"/>
      <c r="V49" s="5"/>
      <c r="W49" s="5"/>
      <c r="X49" s="5"/>
      <c r="Y49" s="5"/>
      <c r="Z49" s="5"/>
      <c r="AA49" s="5"/>
      <c r="AB49" s="5" t="str">
        <f>IFERROR(IF(VLOOKUP(D49,Revistas!$A$21:$C$400,3,FALSE)=0,"",VLOOKUP(D49,Revistas!$A$21:$C$400,3,FALSE)),"")</f>
        <v>medio</v>
      </c>
      <c r="AC49" s="5"/>
      <c r="AD49" s="5"/>
      <c r="AE49" s="5"/>
    </row>
    <row r="50" ht="15.75" customHeight="1">
      <c r="A50" s="6" t="s">
        <v>506</v>
      </c>
      <c r="B50" s="6">
        <v>128.0</v>
      </c>
      <c r="C50" s="6" t="s">
        <v>507</v>
      </c>
      <c r="D50" s="6" t="s">
        <v>508</v>
      </c>
      <c r="E50" s="6" t="s">
        <v>151</v>
      </c>
      <c r="F50" s="6" t="s">
        <v>131</v>
      </c>
      <c r="G50" s="6" t="s">
        <v>509</v>
      </c>
      <c r="H50" s="7" t="s">
        <v>133</v>
      </c>
      <c r="I50" s="5"/>
      <c r="J50" s="5" t="s">
        <v>136</v>
      </c>
      <c r="K50" s="5"/>
      <c r="L50" s="5"/>
      <c r="M50" s="5"/>
      <c r="N50" s="5"/>
      <c r="O50" s="5"/>
      <c r="P50" s="5"/>
      <c r="Q50" s="5"/>
      <c r="R50" s="5"/>
      <c r="S50" s="5"/>
      <c r="T50" s="5"/>
      <c r="U50" s="5"/>
      <c r="V50" s="5"/>
      <c r="W50" s="5"/>
      <c r="X50" s="5"/>
      <c r="Y50" s="5"/>
      <c r="Z50" s="5"/>
      <c r="AA50" s="5"/>
      <c r="AB50" s="5" t="str">
        <f>IFERROR(IF(VLOOKUP(D50,Revistas!$A$21:$C$400,3,FALSE)=0,"",VLOOKUP(D50,Revistas!$A$21:$C$400,3,FALSE)),"")</f>
        <v/>
      </c>
      <c r="AC50" s="5"/>
      <c r="AD50" s="5"/>
      <c r="AE50" s="5"/>
    </row>
    <row r="51" ht="15.75" customHeight="1">
      <c r="A51" s="6" t="s">
        <v>510</v>
      </c>
      <c r="B51" s="6">
        <v>130.0</v>
      </c>
      <c r="C51" s="6" t="s">
        <v>511</v>
      </c>
      <c r="D51" s="6" t="s">
        <v>134</v>
      </c>
      <c r="E51" s="6" t="s">
        <v>336</v>
      </c>
      <c r="F51" s="6" t="s">
        <v>131</v>
      </c>
      <c r="G51" s="6" t="s">
        <v>512</v>
      </c>
      <c r="H51" s="7" t="s">
        <v>133</v>
      </c>
      <c r="I51" s="5"/>
      <c r="J51" s="5" t="s">
        <v>136</v>
      </c>
      <c r="K51" s="5"/>
      <c r="L51" s="5"/>
      <c r="M51" s="5"/>
      <c r="N51" s="5"/>
      <c r="O51" s="5"/>
      <c r="P51" s="5"/>
      <c r="Q51" s="5"/>
      <c r="R51" s="5"/>
      <c r="S51" s="5"/>
      <c r="T51" s="5"/>
      <c r="U51" s="5"/>
      <c r="V51" s="5"/>
      <c r="W51" s="5"/>
      <c r="X51" s="5"/>
      <c r="Y51" s="5"/>
      <c r="Z51" s="5"/>
      <c r="AA51" s="5"/>
      <c r="AB51" s="5" t="str">
        <f>IFERROR(IF(VLOOKUP(D51,Revistas!$A$21:$C$400,3,FALSE)=0,"",VLOOKUP(D51,Revistas!$A$21:$C$400,3,FALSE)),"")</f>
        <v/>
      </c>
      <c r="AC51" s="5"/>
      <c r="AD51" s="5"/>
      <c r="AE51" s="5"/>
    </row>
    <row r="52" ht="15.75" customHeight="1">
      <c r="A52" s="6" t="s">
        <v>513</v>
      </c>
      <c r="B52" s="6">
        <v>131.0</v>
      </c>
      <c r="C52" s="6" t="s">
        <v>514</v>
      </c>
      <c r="D52" s="6" t="s">
        <v>515</v>
      </c>
      <c r="E52" s="6" t="s">
        <v>336</v>
      </c>
      <c r="F52" s="6" t="s">
        <v>131</v>
      </c>
      <c r="G52" s="6" t="s">
        <v>516</v>
      </c>
      <c r="H52" s="7" t="s">
        <v>133</v>
      </c>
      <c r="I52" s="5"/>
      <c r="J52" s="5" t="s">
        <v>136</v>
      </c>
      <c r="K52" s="5"/>
      <c r="L52" s="5"/>
      <c r="M52" s="5"/>
      <c r="N52" s="5"/>
      <c r="O52" s="5"/>
      <c r="P52" s="5"/>
      <c r="Q52" s="5"/>
      <c r="R52" s="5"/>
      <c r="S52" s="5"/>
      <c r="T52" s="5"/>
      <c r="U52" s="5"/>
      <c r="V52" s="5"/>
      <c r="W52" s="5"/>
      <c r="X52" s="5"/>
      <c r="Y52" s="5"/>
      <c r="Z52" s="5"/>
      <c r="AA52" s="5"/>
      <c r="AB52" s="5" t="str">
        <f>IFERROR(IF(VLOOKUP(D52,Revistas!$A$21:$C$400,3,FALSE)=0,"",VLOOKUP(D52,Revistas!$A$21:$C$400,3,FALSE)),"")</f>
        <v>medio</v>
      </c>
      <c r="AC52" s="5"/>
      <c r="AD52" s="5"/>
      <c r="AE52" s="5"/>
    </row>
    <row r="53" ht="15.75" customHeight="1">
      <c r="A53" s="6" t="s">
        <v>517</v>
      </c>
      <c r="B53" s="6">
        <v>135.0</v>
      </c>
      <c r="C53" s="6" t="s">
        <v>518</v>
      </c>
      <c r="D53" s="6" t="s">
        <v>519</v>
      </c>
      <c r="E53" s="6" t="s">
        <v>336</v>
      </c>
      <c r="F53" s="6" t="s">
        <v>131</v>
      </c>
      <c r="G53" s="6" t="s">
        <v>520</v>
      </c>
      <c r="H53" s="7" t="s">
        <v>133</v>
      </c>
      <c r="I53" s="5"/>
      <c r="J53" s="5" t="s">
        <v>136</v>
      </c>
      <c r="K53" s="5"/>
      <c r="L53" s="5"/>
      <c r="M53" s="5"/>
      <c r="N53" s="5"/>
      <c r="O53" s="5"/>
      <c r="P53" s="5"/>
      <c r="Q53" s="5"/>
      <c r="R53" s="5"/>
      <c r="S53" s="5"/>
      <c r="T53" s="5"/>
      <c r="U53" s="5"/>
      <c r="V53" s="5"/>
      <c r="W53" s="5"/>
      <c r="X53" s="5"/>
      <c r="Y53" s="5"/>
      <c r="Z53" s="5"/>
      <c r="AA53" s="5"/>
      <c r="AB53" s="5" t="str">
        <f>IFERROR(IF(VLOOKUP(D53,Revistas!$A$21:$C$400,3,FALSE)=0,"",VLOOKUP(D53,Revistas!$A$21:$C$400,3,FALSE)),"")</f>
        <v/>
      </c>
      <c r="AC53" s="5"/>
      <c r="AD53" s="5"/>
      <c r="AE53" s="5"/>
    </row>
    <row r="54" ht="15.75" customHeight="1">
      <c r="A54" s="6" t="s">
        <v>521</v>
      </c>
      <c r="B54" s="6">
        <v>137.0</v>
      </c>
      <c r="C54" s="6" t="s">
        <v>522</v>
      </c>
      <c r="D54" s="6" t="s">
        <v>362</v>
      </c>
      <c r="E54" s="6" t="s">
        <v>273</v>
      </c>
      <c r="F54" s="6" t="s">
        <v>131</v>
      </c>
      <c r="G54" s="6" t="s">
        <v>523</v>
      </c>
      <c r="H54" s="7" t="s">
        <v>133</v>
      </c>
      <c r="I54" s="5"/>
      <c r="J54" s="5" t="s">
        <v>136</v>
      </c>
      <c r="K54" s="5"/>
      <c r="L54" s="5"/>
      <c r="M54" s="5"/>
      <c r="N54" s="5"/>
      <c r="O54" s="5"/>
      <c r="P54" s="5"/>
      <c r="Q54" s="5"/>
      <c r="R54" s="5"/>
      <c r="S54" s="5"/>
      <c r="T54" s="5"/>
      <c r="U54" s="5"/>
      <c r="V54" s="5"/>
      <c r="W54" s="5"/>
      <c r="X54" s="5"/>
      <c r="Y54" s="5"/>
      <c r="Z54" s="5"/>
      <c r="AA54" s="5"/>
      <c r="AB54" s="5" t="str">
        <f>IFERROR(IF(VLOOKUP(D54,Revistas!$A$21:$C$400,3,FALSE)=0,"",VLOOKUP(D54,Revistas!$A$21:$C$400,3,FALSE)),"")</f>
        <v>medio</v>
      </c>
      <c r="AC54" s="5"/>
      <c r="AD54" s="5"/>
      <c r="AE54" s="5"/>
    </row>
    <row r="55" ht="15.75" customHeight="1">
      <c r="A55" s="6" t="s">
        <v>524</v>
      </c>
      <c r="B55" s="6">
        <v>138.0</v>
      </c>
      <c r="C55" s="6" t="s">
        <v>525</v>
      </c>
      <c r="D55" s="6" t="s">
        <v>287</v>
      </c>
      <c r="E55" s="6" t="s">
        <v>273</v>
      </c>
      <c r="F55" s="6" t="s">
        <v>131</v>
      </c>
      <c r="G55" s="6" t="s">
        <v>526</v>
      </c>
      <c r="H55" s="7" t="s">
        <v>133</v>
      </c>
      <c r="I55" s="5"/>
      <c r="J55" s="5" t="s">
        <v>136</v>
      </c>
      <c r="K55" s="5"/>
      <c r="L55" s="5"/>
      <c r="M55" s="5"/>
      <c r="N55" s="5"/>
      <c r="O55" s="5"/>
      <c r="P55" s="5"/>
      <c r="Q55" s="5"/>
      <c r="R55" s="5"/>
      <c r="S55" s="5"/>
      <c r="T55" s="5"/>
      <c r="U55" s="5"/>
      <c r="V55" s="5"/>
      <c r="W55" s="5"/>
      <c r="X55" s="5"/>
      <c r="Y55" s="5"/>
      <c r="Z55" s="5"/>
      <c r="AA55" s="5"/>
      <c r="AB55" s="5" t="str">
        <f>IFERROR(IF(VLOOKUP(D55,Revistas!$A$21:$C$400,3,FALSE)=0,"",VLOOKUP(D55,Revistas!$A$21:$C$400,3,FALSE)),"")</f>
        <v>bajo</v>
      </c>
      <c r="AC55" s="5"/>
      <c r="AD55" s="5"/>
      <c r="AE55" s="5"/>
    </row>
    <row r="56" ht="15.75" customHeight="1">
      <c r="A56" s="6" t="s">
        <v>527</v>
      </c>
      <c r="B56" s="6">
        <v>141.0</v>
      </c>
      <c r="C56" s="6" t="s">
        <v>528</v>
      </c>
      <c r="D56" s="6" t="s">
        <v>93</v>
      </c>
      <c r="E56" s="6" t="s">
        <v>273</v>
      </c>
      <c r="F56" s="6" t="s">
        <v>131</v>
      </c>
      <c r="G56" s="6" t="s">
        <v>529</v>
      </c>
      <c r="H56" s="7" t="s">
        <v>133</v>
      </c>
      <c r="I56" s="5"/>
      <c r="J56" s="5" t="s">
        <v>136</v>
      </c>
      <c r="K56" s="5"/>
      <c r="L56" s="5"/>
      <c r="M56" s="5"/>
      <c r="N56" s="5"/>
      <c r="O56" s="5"/>
      <c r="P56" s="5"/>
      <c r="Q56" s="5"/>
      <c r="R56" s="5"/>
      <c r="S56" s="5"/>
      <c r="T56" s="5"/>
      <c r="U56" s="5"/>
      <c r="V56" s="5"/>
      <c r="W56" s="5"/>
      <c r="X56" s="5"/>
      <c r="Y56" s="5"/>
      <c r="Z56" s="5"/>
      <c r="AA56" s="5"/>
      <c r="AB56" s="5" t="str">
        <f>IFERROR(IF(VLOOKUP(D56,Revistas!$A$21:$C$400,3,FALSE)=0,"",VLOOKUP(D56,Revistas!$A$21:$C$400,3,FALSE)),"")</f>
        <v>medio</v>
      </c>
      <c r="AC56" s="5"/>
      <c r="AD56" s="5"/>
      <c r="AE56" s="5"/>
    </row>
    <row r="57" ht="15.75" customHeight="1">
      <c r="A57" s="6" t="s">
        <v>530</v>
      </c>
      <c r="B57" s="6">
        <v>142.0</v>
      </c>
      <c r="C57" s="6" t="s">
        <v>531</v>
      </c>
      <c r="D57" s="6" t="s">
        <v>255</v>
      </c>
      <c r="E57" s="6" t="s">
        <v>273</v>
      </c>
      <c r="F57" s="6" t="s">
        <v>131</v>
      </c>
      <c r="G57" s="6" t="s">
        <v>532</v>
      </c>
      <c r="H57" s="7" t="s">
        <v>133</v>
      </c>
      <c r="I57" s="5"/>
      <c r="J57" s="5" t="s">
        <v>136</v>
      </c>
      <c r="K57" s="5"/>
      <c r="L57" s="5"/>
      <c r="M57" s="5"/>
      <c r="N57" s="5"/>
      <c r="O57" s="5"/>
      <c r="P57" s="5"/>
      <c r="Q57" s="5"/>
      <c r="R57" s="5"/>
      <c r="S57" s="5"/>
      <c r="T57" s="5"/>
      <c r="U57" s="5"/>
      <c r="V57" s="5"/>
      <c r="W57" s="5"/>
      <c r="X57" s="5"/>
      <c r="Y57" s="5"/>
      <c r="Z57" s="5"/>
      <c r="AA57" s="5"/>
      <c r="AB57" s="5" t="str">
        <f>IFERROR(IF(VLOOKUP(D57,Revistas!$A$21:$C$400,3,FALSE)=0,"",VLOOKUP(D57,Revistas!$A$21:$C$400,3,FALSE)),"")</f>
        <v>medio</v>
      </c>
      <c r="AC57" s="5"/>
      <c r="AD57" s="5"/>
      <c r="AE57" s="5"/>
    </row>
    <row r="58" ht="15.75" customHeight="1">
      <c r="A58" s="6" t="s">
        <v>533</v>
      </c>
      <c r="B58" s="6">
        <v>151.0</v>
      </c>
      <c r="C58" s="6" t="s">
        <v>534</v>
      </c>
      <c r="D58" s="6" t="s">
        <v>130</v>
      </c>
      <c r="E58" s="6" t="s">
        <v>495</v>
      </c>
      <c r="F58" s="6" t="s">
        <v>131</v>
      </c>
      <c r="G58" s="6" t="s">
        <v>535</v>
      </c>
      <c r="H58" s="7" t="s">
        <v>133</v>
      </c>
      <c r="I58" s="5"/>
      <c r="J58" s="5" t="s">
        <v>136</v>
      </c>
      <c r="K58" s="5"/>
      <c r="L58" s="5"/>
      <c r="M58" s="5"/>
      <c r="N58" s="5"/>
      <c r="O58" s="5"/>
      <c r="P58" s="5"/>
      <c r="Q58" s="5"/>
      <c r="R58" s="5"/>
      <c r="S58" s="5"/>
      <c r="T58" s="5"/>
      <c r="U58" s="5"/>
      <c r="V58" s="5"/>
      <c r="W58" s="5"/>
      <c r="X58" s="5"/>
      <c r="Y58" s="5"/>
      <c r="Z58" s="5"/>
      <c r="AA58" s="5"/>
      <c r="AB58" s="5" t="str">
        <f>IFERROR(IF(VLOOKUP(D58,Revistas!$A$21:$C$400,3,FALSE)=0,"",VLOOKUP(D58,Revistas!$A$21:$C$400,3,FALSE)),"")</f>
        <v/>
      </c>
      <c r="AC58" s="5"/>
      <c r="AD58" s="5"/>
      <c r="AE58" s="5"/>
    </row>
    <row r="59" ht="15.75" customHeight="1">
      <c r="A59" s="6" t="s">
        <v>536</v>
      </c>
      <c r="B59" s="6">
        <v>154.0</v>
      </c>
      <c r="C59" s="6" t="s">
        <v>537</v>
      </c>
      <c r="D59" s="6" t="s">
        <v>93</v>
      </c>
      <c r="E59" s="6" t="s">
        <v>457</v>
      </c>
      <c r="F59" s="6" t="s">
        <v>131</v>
      </c>
      <c r="G59" s="6" t="s">
        <v>538</v>
      </c>
      <c r="H59" s="7" t="s">
        <v>133</v>
      </c>
      <c r="I59" s="5"/>
      <c r="J59" s="5" t="s">
        <v>136</v>
      </c>
      <c r="K59" s="5"/>
      <c r="L59" s="5"/>
      <c r="M59" s="5"/>
      <c r="N59" s="5"/>
      <c r="O59" s="5"/>
      <c r="P59" s="5"/>
      <c r="Q59" s="5"/>
      <c r="R59" s="5"/>
      <c r="S59" s="5"/>
      <c r="T59" s="5"/>
      <c r="U59" s="5"/>
      <c r="V59" s="5"/>
      <c r="W59" s="5"/>
      <c r="X59" s="5"/>
      <c r="Y59" s="5"/>
      <c r="Z59" s="5"/>
      <c r="AA59" s="5"/>
      <c r="AB59" s="5" t="str">
        <f>IFERROR(IF(VLOOKUP(D59,Revistas!$A$21:$C$400,3,FALSE)=0,"",VLOOKUP(D59,Revistas!$A$21:$C$400,3,FALSE)),"")</f>
        <v>medio</v>
      </c>
      <c r="AC59" s="5"/>
      <c r="AD59" s="5"/>
      <c r="AE59" s="5"/>
    </row>
    <row r="60" ht="15.75" customHeight="1">
      <c r="A60" s="6" t="s">
        <v>539</v>
      </c>
      <c r="B60" s="6">
        <v>156.0</v>
      </c>
      <c r="C60" s="6" t="s">
        <v>540</v>
      </c>
      <c r="D60" s="6" t="s">
        <v>267</v>
      </c>
      <c r="E60" s="6" t="s">
        <v>307</v>
      </c>
      <c r="F60" s="6" t="s">
        <v>131</v>
      </c>
      <c r="G60" s="6" t="s">
        <v>541</v>
      </c>
      <c r="H60" s="7" t="s">
        <v>133</v>
      </c>
      <c r="I60" s="5"/>
      <c r="J60" s="5" t="s">
        <v>136</v>
      </c>
      <c r="K60" s="5"/>
      <c r="L60" s="5"/>
      <c r="M60" s="5"/>
      <c r="N60" s="5"/>
      <c r="O60" s="5"/>
      <c r="P60" s="5"/>
      <c r="Q60" s="5"/>
      <c r="R60" s="5"/>
      <c r="S60" s="5"/>
      <c r="T60" s="5"/>
      <c r="U60" s="5"/>
      <c r="V60" s="5"/>
      <c r="W60" s="5"/>
      <c r="X60" s="5"/>
      <c r="Y60" s="5"/>
      <c r="Z60" s="5"/>
      <c r="AA60" s="5"/>
      <c r="AB60" s="5" t="str">
        <f>IFERROR(IF(VLOOKUP(D60,Revistas!$A$21:$C$400,3,FALSE)=0,"",VLOOKUP(D60,Revistas!$A$21:$C$400,3,FALSE)),"")</f>
        <v>alto</v>
      </c>
      <c r="AC60" s="5"/>
      <c r="AD60" s="5"/>
      <c r="AE60" s="5"/>
    </row>
    <row r="61" ht="15.75" customHeight="1">
      <c r="A61" s="6" t="s">
        <v>542</v>
      </c>
      <c r="B61" s="6">
        <v>169.0</v>
      </c>
      <c r="C61" s="6" t="s">
        <v>543</v>
      </c>
      <c r="D61" s="6" t="s">
        <v>366</v>
      </c>
      <c r="E61" s="6" t="s">
        <v>367</v>
      </c>
      <c r="F61" s="6" t="s">
        <v>131</v>
      </c>
      <c r="G61" s="6" t="s">
        <v>544</v>
      </c>
      <c r="H61" s="7" t="s">
        <v>133</v>
      </c>
      <c r="I61" s="5"/>
      <c r="J61" s="5" t="s">
        <v>136</v>
      </c>
      <c r="K61" s="5"/>
      <c r="L61" s="5"/>
      <c r="M61" s="5"/>
      <c r="N61" s="5"/>
      <c r="O61" s="5"/>
      <c r="P61" s="5"/>
      <c r="Q61" s="5"/>
      <c r="R61" s="5"/>
      <c r="S61" s="5"/>
      <c r="T61" s="5"/>
      <c r="U61" s="5"/>
      <c r="V61" s="5"/>
      <c r="W61" s="5"/>
      <c r="X61" s="5"/>
      <c r="Y61" s="5"/>
      <c r="Z61" s="5"/>
      <c r="AA61" s="5"/>
      <c r="AB61" s="5" t="str">
        <f>IFERROR(IF(VLOOKUP(D61,Revistas!$A$21:$C$400,3,FALSE)=0,"",VLOOKUP(D61,Revistas!$A$21:$C$400,3,FALSE)),"")</f>
        <v/>
      </c>
      <c r="AC61" s="5"/>
      <c r="AD61" s="5"/>
      <c r="AE61" s="5"/>
    </row>
    <row r="62" ht="15.75" customHeight="1">
      <c r="A62" s="6" t="s">
        <v>545</v>
      </c>
      <c r="B62" s="6">
        <v>181.0</v>
      </c>
      <c r="C62" s="6" t="s">
        <v>546</v>
      </c>
      <c r="D62" s="6" t="s">
        <v>278</v>
      </c>
      <c r="E62" s="6" t="s">
        <v>151</v>
      </c>
      <c r="F62" s="6" t="s">
        <v>131</v>
      </c>
      <c r="G62" s="6" t="s">
        <v>547</v>
      </c>
      <c r="H62" s="7" t="s">
        <v>133</v>
      </c>
      <c r="I62" s="5"/>
      <c r="J62" s="5" t="s">
        <v>136</v>
      </c>
      <c r="K62" s="5"/>
      <c r="L62" s="5"/>
      <c r="M62" s="5"/>
      <c r="N62" s="5"/>
      <c r="O62" s="5"/>
      <c r="P62" s="5"/>
      <c r="Q62" s="5"/>
      <c r="R62" s="5"/>
      <c r="S62" s="5"/>
      <c r="T62" s="5"/>
      <c r="U62" s="5"/>
      <c r="V62" s="5"/>
      <c r="W62" s="5"/>
      <c r="X62" s="5"/>
      <c r="Y62" s="5"/>
      <c r="Z62" s="5"/>
      <c r="AA62" s="5"/>
      <c r="AB62" s="5" t="str">
        <f>IFERROR(IF(VLOOKUP(D62,Revistas!$A$21:$C$400,3,FALSE)=0,"",VLOOKUP(D62,Revistas!$A$21:$C$400,3,FALSE)),"")</f>
        <v>medio</v>
      </c>
      <c r="AC62" s="5"/>
      <c r="AD62" s="5"/>
      <c r="AE62" s="5"/>
    </row>
    <row r="63" ht="15.75" customHeight="1">
      <c r="A63" s="6" t="s">
        <v>548</v>
      </c>
      <c r="B63" s="6">
        <v>185.0</v>
      </c>
      <c r="C63" s="6" t="s">
        <v>549</v>
      </c>
      <c r="D63" s="6" t="s">
        <v>134</v>
      </c>
      <c r="E63" s="6" t="s">
        <v>273</v>
      </c>
      <c r="F63" s="6" t="s">
        <v>131</v>
      </c>
      <c r="G63" s="6" t="s">
        <v>550</v>
      </c>
      <c r="H63" s="7" t="s">
        <v>133</v>
      </c>
      <c r="I63" s="5"/>
      <c r="J63" s="5" t="s">
        <v>136</v>
      </c>
      <c r="K63" s="5"/>
      <c r="L63" s="5"/>
      <c r="M63" s="5"/>
      <c r="N63" s="5"/>
      <c r="O63" s="5"/>
      <c r="P63" s="5"/>
      <c r="Q63" s="5"/>
      <c r="R63" s="5"/>
      <c r="S63" s="5"/>
      <c r="T63" s="5"/>
      <c r="U63" s="5"/>
      <c r="V63" s="5"/>
      <c r="W63" s="5"/>
      <c r="X63" s="5"/>
      <c r="Y63" s="5"/>
      <c r="Z63" s="5"/>
      <c r="AA63" s="5"/>
      <c r="AB63" s="5" t="str">
        <f>IFERROR(IF(VLOOKUP(D63,Revistas!$A$21:$C$400,3,FALSE)=0,"",VLOOKUP(D63,Revistas!$A$21:$C$400,3,FALSE)),"")</f>
        <v/>
      </c>
      <c r="AC63" s="5"/>
      <c r="AD63" s="5"/>
      <c r="AE63" s="5"/>
    </row>
    <row r="64" ht="15.75" customHeight="1">
      <c r="A64" s="6" t="s">
        <v>551</v>
      </c>
      <c r="B64" s="6">
        <v>193.0</v>
      </c>
      <c r="C64" s="6" t="s">
        <v>552</v>
      </c>
      <c r="D64" s="6" t="s">
        <v>290</v>
      </c>
      <c r="E64" s="6" t="s">
        <v>273</v>
      </c>
      <c r="F64" s="6" t="s">
        <v>131</v>
      </c>
      <c r="G64" s="6" t="s">
        <v>553</v>
      </c>
      <c r="H64" s="7" t="s">
        <v>133</v>
      </c>
      <c r="I64" s="5"/>
      <c r="J64" s="5" t="s">
        <v>136</v>
      </c>
      <c r="K64" s="5"/>
      <c r="L64" s="5"/>
      <c r="M64" s="5"/>
      <c r="N64" s="5"/>
      <c r="O64" s="5"/>
      <c r="P64" s="5"/>
      <c r="Q64" s="5"/>
      <c r="R64" s="5"/>
      <c r="S64" s="5"/>
      <c r="T64" s="5"/>
      <c r="U64" s="5"/>
      <c r="V64" s="5"/>
      <c r="W64" s="5"/>
      <c r="X64" s="5"/>
      <c r="Y64" s="5"/>
      <c r="Z64" s="5"/>
      <c r="AA64" s="5"/>
      <c r="AB64" s="5" t="str">
        <f>IFERROR(IF(VLOOKUP(D64,Revistas!$A$21:$C$400,3,FALSE)=0,"",VLOOKUP(D64,Revistas!$A$21:$C$400,3,FALSE)),"")</f>
        <v/>
      </c>
      <c r="AC64" s="5"/>
      <c r="AD64" s="5"/>
      <c r="AE64" s="5"/>
    </row>
    <row r="65" ht="15.75" customHeight="1">
      <c r="A65" s="6" t="s">
        <v>554</v>
      </c>
      <c r="B65" s="6">
        <v>210.0</v>
      </c>
      <c r="C65" s="6" t="s">
        <v>555</v>
      </c>
      <c r="D65" s="6" t="s">
        <v>357</v>
      </c>
      <c r="E65" s="6" t="s">
        <v>129</v>
      </c>
      <c r="F65" s="6" t="s">
        <v>131</v>
      </c>
      <c r="G65" s="6" t="s">
        <v>556</v>
      </c>
      <c r="H65" s="7" t="s">
        <v>133</v>
      </c>
      <c r="I65" s="5"/>
      <c r="J65" s="5" t="s">
        <v>136</v>
      </c>
      <c r="K65" s="5"/>
      <c r="L65" s="5"/>
      <c r="M65" s="5"/>
      <c r="N65" s="5"/>
      <c r="O65" s="5"/>
      <c r="P65" s="5"/>
      <c r="Q65" s="5"/>
      <c r="R65" s="5"/>
      <c r="S65" s="5"/>
      <c r="T65" s="5"/>
      <c r="U65" s="5"/>
      <c r="V65" s="5"/>
      <c r="W65" s="5"/>
      <c r="X65" s="5"/>
      <c r="Y65" s="5"/>
      <c r="Z65" s="5"/>
      <c r="AA65" s="5"/>
      <c r="AB65" s="5" t="str">
        <f>IFERROR(IF(VLOOKUP(D65,Revistas!$A$21:$C$400,3,FALSE)=0,"",VLOOKUP(D65,Revistas!$A$21:$C$400,3,FALSE)),"")</f>
        <v/>
      </c>
      <c r="AC65" s="5"/>
      <c r="AD65" s="5"/>
      <c r="AE65" s="5"/>
    </row>
    <row r="66" ht="15.75" customHeight="1">
      <c r="A66" s="6" t="s">
        <v>557</v>
      </c>
      <c r="B66" s="6">
        <v>219.0</v>
      </c>
      <c r="C66" s="6" t="s">
        <v>558</v>
      </c>
      <c r="D66" s="6" t="s">
        <v>317</v>
      </c>
      <c r="E66" s="6" t="s">
        <v>151</v>
      </c>
      <c r="F66" s="6" t="s">
        <v>131</v>
      </c>
      <c r="G66" s="6" t="s">
        <v>559</v>
      </c>
      <c r="H66" s="7" t="s">
        <v>133</v>
      </c>
      <c r="I66" s="5"/>
      <c r="J66" s="5" t="s">
        <v>136</v>
      </c>
      <c r="K66" s="5"/>
      <c r="L66" s="5"/>
      <c r="M66" s="5"/>
      <c r="N66" s="5"/>
      <c r="O66" s="5"/>
      <c r="P66" s="5"/>
      <c r="Q66" s="5"/>
      <c r="R66" s="5"/>
      <c r="S66" s="5"/>
      <c r="T66" s="5"/>
      <c r="U66" s="5"/>
      <c r="V66" s="5"/>
      <c r="W66" s="5"/>
      <c r="X66" s="5"/>
      <c r="Y66" s="5"/>
      <c r="Z66" s="5"/>
      <c r="AA66" s="5"/>
      <c r="AB66" s="5" t="str">
        <f>IFERROR(IF(VLOOKUP(D66,Revistas!$A$21:$C$400,3,FALSE)=0,"",VLOOKUP(D66,Revistas!$A$21:$C$400,3,FALSE)),"")</f>
        <v/>
      </c>
      <c r="AC66" s="5"/>
      <c r="AD66" s="5"/>
      <c r="AE66" s="5"/>
    </row>
    <row r="67" ht="15.75" customHeight="1">
      <c r="A67" s="6" t="s">
        <v>560</v>
      </c>
      <c r="B67" s="6">
        <v>220.0</v>
      </c>
      <c r="C67" s="6" t="s">
        <v>561</v>
      </c>
      <c r="D67" s="6" t="s">
        <v>562</v>
      </c>
      <c r="E67" s="6" t="s">
        <v>151</v>
      </c>
      <c r="F67" s="6" t="s">
        <v>131</v>
      </c>
      <c r="G67" s="6" t="s">
        <v>563</v>
      </c>
      <c r="H67" s="7" t="s">
        <v>133</v>
      </c>
      <c r="I67" s="5"/>
      <c r="J67" s="5" t="s">
        <v>136</v>
      </c>
      <c r="K67" s="5"/>
      <c r="L67" s="5"/>
      <c r="M67" s="5"/>
      <c r="N67" s="5"/>
      <c r="O67" s="5"/>
      <c r="P67" s="5"/>
      <c r="Q67" s="5"/>
      <c r="R67" s="5"/>
      <c r="S67" s="5"/>
      <c r="T67" s="5"/>
      <c r="U67" s="5"/>
      <c r="V67" s="5"/>
      <c r="W67" s="5"/>
      <c r="X67" s="5"/>
      <c r="Y67" s="5"/>
      <c r="Z67" s="5"/>
      <c r="AA67" s="5"/>
      <c r="AB67" s="5" t="str">
        <f>IFERROR(IF(VLOOKUP(D67,Revistas!$A$21:$C$400,3,FALSE)=0,"",VLOOKUP(D67,Revistas!$A$21:$C$400,3,FALSE)),"")</f>
        <v>medio</v>
      </c>
      <c r="AC67" s="5"/>
      <c r="AD67" s="5"/>
      <c r="AE67" s="5"/>
    </row>
    <row r="68" ht="15.75" customHeight="1">
      <c r="A68" s="6" t="s">
        <v>564</v>
      </c>
      <c r="B68" s="6">
        <v>253.0</v>
      </c>
      <c r="C68" s="6" t="s">
        <v>565</v>
      </c>
      <c r="D68" s="6" t="s">
        <v>124</v>
      </c>
      <c r="E68" s="6" t="s">
        <v>307</v>
      </c>
      <c r="F68" s="6" t="s">
        <v>131</v>
      </c>
      <c r="G68" s="6" t="s">
        <v>566</v>
      </c>
      <c r="H68" s="7" t="s">
        <v>133</v>
      </c>
      <c r="I68" s="5"/>
      <c r="J68" s="5" t="s">
        <v>136</v>
      </c>
      <c r="K68" s="5"/>
      <c r="L68" s="5"/>
      <c r="M68" s="5"/>
      <c r="N68" s="5"/>
      <c r="O68" s="5"/>
      <c r="P68" s="5"/>
      <c r="Q68" s="5"/>
      <c r="R68" s="5"/>
      <c r="S68" s="5"/>
      <c r="T68" s="5"/>
      <c r="U68" s="5"/>
      <c r="V68" s="5"/>
      <c r="W68" s="5"/>
      <c r="X68" s="5"/>
      <c r="Y68" s="5"/>
      <c r="Z68" s="5"/>
      <c r="AA68" s="5"/>
      <c r="AB68" s="5" t="str">
        <f>IFERROR(IF(VLOOKUP(D68,Revistas!$A$21:$C$400,3,FALSE)=0,"",VLOOKUP(D68,Revistas!$A$21:$C$400,3,FALSE)),"")</f>
        <v/>
      </c>
      <c r="AC68" s="5"/>
      <c r="AD68" s="5"/>
      <c r="AE68" s="5"/>
    </row>
    <row r="69" ht="15.75" customHeight="1">
      <c r="A69" s="6" t="s">
        <v>567</v>
      </c>
      <c r="B69" s="6">
        <v>259.0</v>
      </c>
      <c r="C69" s="6" t="s">
        <v>568</v>
      </c>
      <c r="D69" s="6" t="s">
        <v>519</v>
      </c>
      <c r="E69" s="6" t="s">
        <v>225</v>
      </c>
      <c r="F69" s="6" t="s">
        <v>131</v>
      </c>
      <c r="G69" s="6" t="s">
        <v>569</v>
      </c>
      <c r="H69" s="7" t="s">
        <v>133</v>
      </c>
      <c r="I69" s="5"/>
      <c r="J69" s="5" t="s">
        <v>136</v>
      </c>
      <c r="K69" s="5"/>
      <c r="L69" s="5"/>
      <c r="M69" s="5"/>
      <c r="N69" s="5"/>
      <c r="O69" s="5"/>
      <c r="P69" s="5"/>
      <c r="Q69" s="5"/>
      <c r="R69" s="5"/>
      <c r="S69" s="5"/>
      <c r="T69" s="5"/>
      <c r="U69" s="5"/>
      <c r="V69" s="5"/>
      <c r="W69" s="5"/>
      <c r="X69" s="5"/>
      <c r="Y69" s="5"/>
      <c r="Z69" s="5"/>
      <c r="AA69" s="5"/>
      <c r="AB69" s="5" t="str">
        <f>IFERROR(IF(VLOOKUP(D69,Revistas!$A$21:$C$400,3,FALSE)=0,"",VLOOKUP(D69,Revistas!$A$21:$C$400,3,FALSE)),"")</f>
        <v/>
      </c>
      <c r="AC69" s="5"/>
      <c r="AD69" s="5"/>
      <c r="AE69" s="5"/>
    </row>
    <row r="70" ht="15.75" customHeight="1">
      <c r="A70" s="6" t="s">
        <v>570</v>
      </c>
      <c r="B70" s="6">
        <v>264.0</v>
      </c>
      <c r="C70" s="6" t="s">
        <v>571</v>
      </c>
      <c r="D70" s="6" t="s">
        <v>324</v>
      </c>
      <c r="E70" s="6" t="s">
        <v>129</v>
      </c>
      <c r="F70" s="6" t="s">
        <v>131</v>
      </c>
      <c r="G70" s="6" t="s">
        <v>572</v>
      </c>
      <c r="H70" s="7" t="s">
        <v>133</v>
      </c>
      <c r="I70" s="5"/>
      <c r="J70" s="5" t="s">
        <v>136</v>
      </c>
      <c r="K70" s="5"/>
      <c r="L70" s="5"/>
      <c r="M70" s="5"/>
      <c r="N70" s="5"/>
      <c r="O70" s="5"/>
      <c r="P70" s="5"/>
      <c r="Q70" s="5"/>
      <c r="R70" s="5"/>
      <c r="S70" s="5"/>
      <c r="T70" s="5"/>
      <c r="U70" s="5"/>
      <c r="V70" s="5"/>
      <c r="W70" s="5"/>
      <c r="X70" s="5"/>
      <c r="Y70" s="5"/>
      <c r="Z70" s="5"/>
      <c r="AA70" s="5"/>
      <c r="AB70" s="5" t="str">
        <f>IFERROR(IF(VLOOKUP(D70,Revistas!$A$21:$C$400,3,FALSE)=0,"",VLOOKUP(D70,Revistas!$A$21:$C$400,3,FALSE)),"")</f>
        <v/>
      </c>
      <c r="AC70" s="5"/>
      <c r="AD70" s="5"/>
      <c r="AE70" s="5"/>
    </row>
    <row r="71" ht="15.75" customHeight="1">
      <c r="A71" s="6" t="s">
        <v>573</v>
      </c>
      <c r="B71" s="6">
        <v>274.0</v>
      </c>
      <c r="C71" s="6" t="s">
        <v>574</v>
      </c>
      <c r="D71" s="6" t="s">
        <v>256</v>
      </c>
      <c r="E71" s="6" t="s">
        <v>151</v>
      </c>
      <c r="F71" s="6" t="s">
        <v>131</v>
      </c>
      <c r="G71" s="6" t="s">
        <v>575</v>
      </c>
      <c r="H71" s="7" t="s">
        <v>133</v>
      </c>
      <c r="I71" s="5"/>
      <c r="J71" s="5" t="s">
        <v>136</v>
      </c>
      <c r="K71" s="5"/>
      <c r="L71" s="5"/>
      <c r="M71" s="5"/>
      <c r="N71" s="5"/>
      <c r="O71" s="5"/>
      <c r="P71" s="5"/>
      <c r="Q71" s="5"/>
      <c r="R71" s="5"/>
      <c r="S71" s="5"/>
      <c r="T71" s="5"/>
      <c r="U71" s="5"/>
      <c r="V71" s="5"/>
      <c r="W71" s="5"/>
      <c r="X71" s="5"/>
      <c r="Y71" s="5"/>
      <c r="Z71" s="5"/>
      <c r="AA71" s="5"/>
      <c r="AB71" s="5" t="str">
        <f>IFERROR(IF(VLOOKUP(D71,Revistas!$A$21:$C$400,3,FALSE)=0,"",VLOOKUP(D71,Revistas!$A$21:$C$400,3,FALSE)),"")</f>
        <v>alto</v>
      </c>
      <c r="AC71" s="5"/>
      <c r="AD71" s="5"/>
      <c r="AE71" s="5"/>
    </row>
    <row r="72" ht="15.75" customHeight="1">
      <c r="A72" s="6" t="s">
        <v>576</v>
      </c>
      <c r="B72" s="6">
        <v>278.0</v>
      </c>
      <c r="C72" s="6" t="s">
        <v>577</v>
      </c>
      <c r="D72" s="6" t="s">
        <v>254</v>
      </c>
      <c r="E72" s="6" t="s">
        <v>336</v>
      </c>
      <c r="F72" s="6" t="s">
        <v>131</v>
      </c>
      <c r="G72" s="6" t="s">
        <v>578</v>
      </c>
      <c r="H72" s="7" t="s">
        <v>133</v>
      </c>
      <c r="I72" s="5"/>
      <c r="J72" s="5" t="s">
        <v>136</v>
      </c>
      <c r="K72" s="5"/>
      <c r="L72" s="5"/>
      <c r="M72" s="5"/>
      <c r="N72" s="5"/>
      <c r="O72" s="5"/>
      <c r="P72" s="5"/>
      <c r="Q72" s="5"/>
      <c r="R72" s="5"/>
      <c r="S72" s="5"/>
      <c r="T72" s="5"/>
      <c r="U72" s="5"/>
      <c r="V72" s="5"/>
      <c r="W72" s="5"/>
      <c r="X72" s="5"/>
      <c r="Y72" s="5"/>
      <c r="Z72" s="5"/>
      <c r="AA72" s="5"/>
      <c r="AB72" s="5" t="str">
        <f>IFERROR(IF(VLOOKUP(D72,Revistas!$A$21:$C$400,3,FALSE)=0,"",VLOOKUP(D72,Revistas!$A$21:$C$400,3,FALSE)),"")</f>
        <v>medio</v>
      </c>
      <c r="AC72" s="5"/>
      <c r="AD72" s="5"/>
      <c r="AE72" s="5"/>
    </row>
    <row r="73" ht="15.75" customHeight="1">
      <c r="A73" s="6" t="s">
        <v>579</v>
      </c>
      <c r="B73" s="6">
        <v>288.0</v>
      </c>
      <c r="C73" s="6" t="s">
        <v>580</v>
      </c>
      <c r="D73" s="6" t="s">
        <v>310</v>
      </c>
      <c r="E73" s="6" t="s">
        <v>273</v>
      </c>
      <c r="F73" s="6" t="s">
        <v>581</v>
      </c>
      <c r="G73" s="6" t="s">
        <v>582</v>
      </c>
      <c r="H73" s="7" t="s">
        <v>133</v>
      </c>
      <c r="I73" s="5"/>
      <c r="J73" s="5" t="s">
        <v>136</v>
      </c>
      <c r="K73" s="5"/>
      <c r="L73" s="5"/>
      <c r="M73" s="5"/>
      <c r="N73" s="5"/>
      <c r="O73" s="5"/>
      <c r="P73" s="5"/>
      <c r="Q73" s="5"/>
      <c r="R73" s="5"/>
      <c r="S73" s="5"/>
      <c r="T73" s="5"/>
      <c r="U73" s="5"/>
      <c r="V73" s="5"/>
      <c r="W73" s="5"/>
      <c r="X73" s="5"/>
      <c r="Y73" s="5"/>
      <c r="Z73" s="5"/>
      <c r="AA73" s="5"/>
      <c r="AB73" s="5" t="str">
        <f>IFERROR(IF(VLOOKUP(D73,Revistas!$A$21:$C$400,3,FALSE)=0,"",VLOOKUP(D73,Revistas!$A$21:$C$400,3,FALSE)),"")</f>
        <v/>
      </c>
      <c r="AC73" s="5"/>
      <c r="AD73" s="5"/>
      <c r="AE73" s="5"/>
    </row>
    <row r="74" ht="15.75" customHeight="1">
      <c r="A74" s="6" t="s">
        <v>583</v>
      </c>
      <c r="B74" s="6">
        <v>295.0</v>
      </c>
      <c r="C74" s="6" t="s">
        <v>584</v>
      </c>
      <c r="D74" s="6" t="s">
        <v>261</v>
      </c>
      <c r="E74" s="6" t="s">
        <v>273</v>
      </c>
      <c r="F74" s="6" t="s">
        <v>131</v>
      </c>
      <c r="G74" s="6" t="s">
        <v>585</v>
      </c>
      <c r="H74" s="7" t="s">
        <v>133</v>
      </c>
      <c r="I74" s="5"/>
      <c r="J74" s="5" t="s">
        <v>136</v>
      </c>
      <c r="K74" s="5"/>
      <c r="L74" s="5"/>
      <c r="M74" s="5"/>
      <c r="N74" s="5"/>
      <c r="O74" s="5"/>
      <c r="P74" s="5"/>
      <c r="Q74" s="5"/>
      <c r="R74" s="5"/>
      <c r="S74" s="5"/>
      <c r="T74" s="5"/>
      <c r="U74" s="5"/>
      <c r="V74" s="5"/>
      <c r="W74" s="5"/>
      <c r="X74" s="5"/>
      <c r="Y74" s="5"/>
      <c r="Z74" s="5"/>
      <c r="AA74" s="5"/>
      <c r="AB74" s="5" t="str">
        <f>IFERROR(IF(VLOOKUP(D74,Revistas!$A$21:$C$400,3,FALSE)=0,"",VLOOKUP(D74,Revistas!$A$21:$C$400,3,FALSE)),"")</f>
        <v/>
      </c>
      <c r="AC74" s="5"/>
      <c r="AD74" s="5"/>
      <c r="AE74" s="5"/>
    </row>
    <row r="75" ht="15.75" customHeight="1">
      <c r="A75" s="6" t="s">
        <v>586</v>
      </c>
      <c r="B75" s="6">
        <v>321.0</v>
      </c>
      <c r="C75" s="6" t="s">
        <v>587</v>
      </c>
      <c r="D75" s="6" t="s">
        <v>368</v>
      </c>
      <c r="E75" s="6" t="s">
        <v>225</v>
      </c>
      <c r="F75" s="6" t="s">
        <v>131</v>
      </c>
      <c r="G75" s="6" t="s">
        <v>588</v>
      </c>
      <c r="H75" s="7" t="s">
        <v>133</v>
      </c>
      <c r="I75" s="5"/>
      <c r="J75" s="5" t="s">
        <v>136</v>
      </c>
      <c r="K75" s="5"/>
      <c r="L75" s="5"/>
      <c r="M75" s="5"/>
      <c r="N75" s="5"/>
      <c r="O75" s="5"/>
      <c r="P75" s="5"/>
      <c r="Q75" s="5"/>
      <c r="R75" s="5"/>
      <c r="S75" s="5"/>
      <c r="T75" s="5"/>
      <c r="U75" s="5"/>
      <c r="V75" s="5"/>
      <c r="W75" s="5"/>
      <c r="X75" s="5"/>
      <c r="Y75" s="5"/>
      <c r="Z75" s="5"/>
      <c r="AA75" s="5"/>
      <c r="AB75" s="5" t="str">
        <f>IFERROR(IF(VLOOKUP(D75,Revistas!$A$21:$C$400,3,FALSE)=0,"",VLOOKUP(D75,Revistas!$A$21:$C$400,3,FALSE)),"")</f>
        <v/>
      </c>
      <c r="AC75" s="5"/>
      <c r="AD75" s="5"/>
      <c r="AE75" s="5"/>
    </row>
    <row r="76" ht="15.75" customHeight="1">
      <c r="A76" s="6" t="s">
        <v>589</v>
      </c>
      <c r="B76" s="6">
        <v>324.0</v>
      </c>
      <c r="C76" s="6" t="s">
        <v>590</v>
      </c>
      <c r="D76" s="6" t="s">
        <v>286</v>
      </c>
      <c r="E76" s="6" t="s">
        <v>225</v>
      </c>
      <c r="F76" s="6" t="s">
        <v>131</v>
      </c>
      <c r="G76" s="6" t="s">
        <v>591</v>
      </c>
      <c r="H76" s="7" t="s">
        <v>133</v>
      </c>
      <c r="I76" s="5"/>
      <c r="J76" s="5" t="s">
        <v>136</v>
      </c>
      <c r="K76" s="5"/>
      <c r="L76" s="5"/>
      <c r="M76" s="5"/>
      <c r="N76" s="5"/>
      <c r="O76" s="5"/>
      <c r="P76" s="5"/>
      <c r="Q76" s="5"/>
      <c r="R76" s="5"/>
      <c r="S76" s="5"/>
      <c r="T76" s="5"/>
      <c r="U76" s="5"/>
      <c r="V76" s="5"/>
      <c r="W76" s="5"/>
      <c r="X76" s="5"/>
      <c r="Y76" s="5"/>
      <c r="Z76" s="5"/>
      <c r="AA76" s="5"/>
      <c r="AB76" s="5" t="str">
        <f>IFERROR(IF(VLOOKUP(D76,Revistas!$A$21:$C$400,3,FALSE)=0,"",VLOOKUP(D76,Revistas!$A$21:$C$400,3,FALSE)),"")</f>
        <v/>
      </c>
      <c r="AC76" s="5"/>
      <c r="AD76" s="5"/>
      <c r="AE76" s="5"/>
    </row>
    <row r="77" ht="15.75" customHeight="1">
      <c r="A77" s="6" t="s">
        <v>592</v>
      </c>
      <c r="B77" s="6">
        <v>336.0</v>
      </c>
      <c r="C77" s="6" t="s">
        <v>593</v>
      </c>
      <c r="D77" s="6" t="s">
        <v>93</v>
      </c>
      <c r="E77" s="6" t="s">
        <v>129</v>
      </c>
      <c r="F77" s="6" t="s">
        <v>131</v>
      </c>
      <c r="G77" s="6" t="s">
        <v>594</v>
      </c>
      <c r="H77" s="7" t="s">
        <v>133</v>
      </c>
      <c r="I77" s="5"/>
      <c r="J77" s="5" t="s">
        <v>136</v>
      </c>
      <c r="K77" s="5"/>
      <c r="L77" s="5"/>
      <c r="M77" s="5"/>
      <c r="N77" s="5"/>
      <c r="O77" s="5"/>
      <c r="P77" s="5"/>
      <c r="Q77" s="5"/>
      <c r="R77" s="5"/>
      <c r="S77" s="5"/>
      <c r="T77" s="5"/>
      <c r="U77" s="5"/>
      <c r="V77" s="5"/>
      <c r="W77" s="5"/>
      <c r="X77" s="5"/>
      <c r="Y77" s="5"/>
      <c r="Z77" s="5"/>
      <c r="AA77" s="5"/>
      <c r="AB77" s="5" t="str">
        <f>IFERROR(IF(VLOOKUP(D77,Revistas!$A$21:$C$400,3,FALSE)=0,"",VLOOKUP(D77,Revistas!$A$21:$C$400,3,FALSE)),"")</f>
        <v>medio</v>
      </c>
      <c r="AC77" s="5"/>
      <c r="AD77" s="5"/>
      <c r="AE77" s="5"/>
    </row>
    <row r="78" ht="15.75" customHeight="1">
      <c r="A78" s="6" t="s">
        <v>595</v>
      </c>
      <c r="B78" s="6">
        <v>359.0</v>
      </c>
      <c r="C78" s="6" t="s">
        <v>596</v>
      </c>
      <c r="D78" s="6" t="s">
        <v>328</v>
      </c>
      <c r="E78" s="6" t="s">
        <v>151</v>
      </c>
      <c r="F78" s="6" t="s">
        <v>131</v>
      </c>
      <c r="G78" s="6" t="s">
        <v>597</v>
      </c>
      <c r="H78" s="7" t="s">
        <v>133</v>
      </c>
      <c r="I78" s="5"/>
      <c r="J78" s="5" t="s">
        <v>136</v>
      </c>
      <c r="K78" s="5"/>
      <c r="L78" s="5"/>
      <c r="M78" s="5"/>
      <c r="N78" s="5"/>
      <c r="O78" s="5"/>
      <c r="P78" s="5"/>
      <c r="Q78" s="5"/>
      <c r="R78" s="5"/>
      <c r="S78" s="5"/>
      <c r="T78" s="5"/>
      <c r="U78" s="5"/>
      <c r="V78" s="5"/>
      <c r="W78" s="5"/>
      <c r="X78" s="5"/>
      <c r="Y78" s="5"/>
      <c r="Z78" s="5"/>
      <c r="AA78" s="5"/>
      <c r="AB78" s="5" t="str">
        <f>IFERROR(IF(VLOOKUP(D78,Revistas!$A$21:$C$400,3,FALSE)=0,"",VLOOKUP(D78,Revistas!$A$21:$C$400,3,FALSE)),"")</f>
        <v>medio</v>
      </c>
      <c r="AC78" s="5"/>
      <c r="AD78" s="5"/>
      <c r="AE78" s="5"/>
    </row>
    <row r="79" ht="15.75" customHeight="1">
      <c r="A79" s="6" t="s">
        <v>598</v>
      </c>
      <c r="B79" s="6">
        <v>361.0</v>
      </c>
      <c r="C79" s="6" t="s">
        <v>599</v>
      </c>
      <c r="D79" s="6" t="s">
        <v>318</v>
      </c>
      <c r="E79" s="6" t="s">
        <v>151</v>
      </c>
      <c r="F79" s="6" t="s">
        <v>131</v>
      </c>
      <c r="G79" s="6" t="s">
        <v>600</v>
      </c>
      <c r="H79" s="7" t="s">
        <v>133</v>
      </c>
      <c r="I79" s="5"/>
      <c r="J79" s="5" t="s">
        <v>136</v>
      </c>
      <c r="K79" s="5"/>
      <c r="L79" s="5"/>
      <c r="M79" s="5"/>
      <c r="N79" s="5"/>
      <c r="O79" s="5"/>
      <c r="P79" s="5"/>
      <c r="Q79" s="5"/>
      <c r="R79" s="5"/>
      <c r="S79" s="5"/>
      <c r="T79" s="5"/>
      <c r="U79" s="5"/>
      <c r="V79" s="5"/>
      <c r="W79" s="5"/>
      <c r="X79" s="5"/>
      <c r="Y79" s="5"/>
      <c r="Z79" s="5"/>
      <c r="AA79" s="5"/>
      <c r="AB79" s="5" t="str">
        <f>IFERROR(IF(VLOOKUP(D79,Revistas!$A$21:$C$400,3,FALSE)=0,"",VLOOKUP(D79,Revistas!$A$21:$C$400,3,FALSE)),"")</f>
        <v/>
      </c>
      <c r="AC79" s="5"/>
      <c r="AD79" s="5"/>
      <c r="AE79" s="5"/>
    </row>
    <row r="80" ht="15.75" customHeight="1">
      <c r="A80" s="6" t="s">
        <v>601</v>
      </c>
      <c r="B80" s="6">
        <v>373.0</v>
      </c>
      <c r="C80" s="6" t="s">
        <v>602</v>
      </c>
      <c r="D80" s="6" t="s">
        <v>298</v>
      </c>
      <c r="E80" s="6" t="s">
        <v>336</v>
      </c>
      <c r="F80" s="6" t="s">
        <v>131</v>
      </c>
      <c r="G80" s="6" t="s">
        <v>603</v>
      </c>
      <c r="H80" s="7" t="s">
        <v>133</v>
      </c>
      <c r="I80" s="5"/>
      <c r="J80" s="5" t="s">
        <v>136</v>
      </c>
      <c r="K80" s="5"/>
      <c r="L80" s="5"/>
      <c r="M80" s="5"/>
      <c r="N80" s="5"/>
      <c r="O80" s="5"/>
      <c r="P80" s="5"/>
      <c r="Q80" s="5"/>
      <c r="R80" s="5"/>
      <c r="S80" s="5"/>
      <c r="T80" s="5"/>
      <c r="U80" s="5"/>
      <c r="V80" s="5"/>
      <c r="W80" s="5"/>
      <c r="X80" s="5"/>
      <c r="Y80" s="5"/>
      <c r="Z80" s="5"/>
      <c r="AA80" s="5"/>
      <c r="AB80" s="5" t="str">
        <f>IFERROR(IF(VLOOKUP(D80,Revistas!$A$21:$C$400,3,FALSE)=0,"",VLOOKUP(D80,Revistas!$A$21:$C$400,3,FALSE)),"")</f>
        <v/>
      </c>
      <c r="AC80" s="5"/>
      <c r="AD80" s="5"/>
      <c r="AE80" s="5"/>
    </row>
    <row r="81" ht="15.75" customHeight="1">
      <c r="A81" s="6" t="s">
        <v>604</v>
      </c>
      <c r="B81" s="6">
        <v>375.0</v>
      </c>
      <c r="C81" s="6" t="s">
        <v>605</v>
      </c>
      <c r="D81" s="6" t="s">
        <v>265</v>
      </c>
      <c r="E81" s="6" t="s">
        <v>336</v>
      </c>
      <c r="F81" s="6" t="s">
        <v>131</v>
      </c>
      <c r="G81" s="6" t="s">
        <v>606</v>
      </c>
      <c r="H81" s="7" t="s">
        <v>133</v>
      </c>
      <c r="I81" s="5"/>
      <c r="J81" s="5" t="s">
        <v>136</v>
      </c>
      <c r="K81" s="5"/>
      <c r="L81" s="5"/>
      <c r="M81" s="5"/>
      <c r="N81" s="5"/>
      <c r="O81" s="5"/>
      <c r="P81" s="5"/>
      <c r="Q81" s="5"/>
      <c r="R81" s="5"/>
      <c r="S81" s="5"/>
      <c r="T81" s="5"/>
      <c r="U81" s="5"/>
      <c r="V81" s="5"/>
      <c r="W81" s="5"/>
      <c r="X81" s="5"/>
      <c r="Y81" s="5"/>
      <c r="Z81" s="5"/>
      <c r="AA81" s="5"/>
      <c r="AB81" s="5" t="str">
        <f>IFERROR(IF(VLOOKUP(D81,Revistas!$A$21:$C$400,3,FALSE)=0,"",VLOOKUP(D81,Revistas!$A$21:$C$400,3,FALSE)),"")</f>
        <v/>
      </c>
      <c r="AC81" s="5"/>
      <c r="AD81" s="5"/>
      <c r="AE81" s="5"/>
    </row>
    <row r="82" ht="15.75" customHeight="1">
      <c r="A82" s="6" t="s">
        <v>607</v>
      </c>
      <c r="B82" s="6">
        <v>386.0</v>
      </c>
      <c r="C82" s="6" t="s">
        <v>608</v>
      </c>
      <c r="D82" s="6" t="s">
        <v>370</v>
      </c>
      <c r="E82" s="6" t="s">
        <v>273</v>
      </c>
      <c r="F82" s="6" t="s">
        <v>131</v>
      </c>
      <c r="G82" s="6" t="s">
        <v>609</v>
      </c>
      <c r="H82" s="7" t="s">
        <v>133</v>
      </c>
      <c r="I82" s="5"/>
      <c r="J82" s="5" t="s">
        <v>136</v>
      </c>
      <c r="K82" s="5"/>
      <c r="L82" s="5"/>
      <c r="M82" s="5"/>
      <c r="N82" s="5"/>
      <c r="O82" s="5"/>
      <c r="P82" s="5"/>
      <c r="Q82" s="5"/>
      <c r="R82" s="5"/>
      <c r="S82" s="5"/>
      <c r="T82" s="5"/>
      <c r="U82" s="5"/>
      <c r="V82" s="5"/>
      <c r="W82" s="5"/>
      <c r="X82" s="5"/>
      <c r="Y82" s="5"/>
      <c r="Z82" s="5"/>
      <c r="AA82" s="5"/>
      <c r="AB82" s="5" t="str">
        <f>IFERROR(IF(VLOOKUP(D82,Revistas!$A$21:$C$400,3,FALSE)=0,"",VLOOKUP(D82,Revistas!$A$21:$C$400,3,FALSE)),"")</f>
        <v/>
      </c>
      <c r="AC82" s="5"/>
      <c r="AD82" s="5"/>
      <c r="AE82" s="5"/>
    </row>
    <row r="83" ht="15.75" customHeight="1">
      <c r="A83" s="6" t="s">
        <v>610</v>
      </c>
      <c r="B83" s="6">
        <v>387.0</v>
      </c>
      <c r="C83" s="6" t="s">
        <v>611</v>
      </c>
      <c r="D83" s="6" t="s">
        <v>311</v>
      </c>
      <c r="E83" s="6" t="s">
        <v>273</v>
      </c>
      <c r="F83" s="6" t="s">
        <v>131</v>
      </c>
      <c r="G83" s="6" t="s">
        <v>612</v>
      </c>
      <c r="H83" s="7" t="s">
        <v>133</v>
      </c>
      <c r="I83" s="5"/>
      <c r="J83" s="5" t="s">
        <v>136</v>
      </c>
      <c r="K83" s="5"/>
      <c r="L83" s="5"/>
      <c r="M83" s="5"/>
      <c r="N83" s="5"/>
      <c r="O83" s="5"/>
      <c r="P83" s="5"/>
      <c r="Q83" s="5"/>
      <c r="R83" s="5"/>
      <c r="S83" s="5"/>
      <c r="T83" s="5"/>
      <c r="U83" s="5"/>
      <c r="V83" s="5"/>
      <c r="W83" s="5"/>
      <c r="X83" s="5"/>
      <c r="Y83" s="5"/>
      <c r="Z83" s="5"/>
      <c r="AA83" s="5"/>
      <c r="AB83" s="5" t="str">
        <f>IFERROR(IF(VLOOKUP(D83,Revistas!$A$21:$C$400,3,FALSE)=0,"",VLOOKUP(D83,Revistas!$A$21:$C$400,3,FALSE)),"")</f>
        <v/>
      </c>
      <c r="AC83" s="5"/>
      <c r="AD83" s="5"/>
      <c r="AE83" s="5"/>
    </row>
    <row r="84" ht="15.75" customHeight="1">
      <c r="A84" s="6" t="s">
        <v>613</v>
      </c>
      <c r="B84" s="6">
        <v>399.0</v>
      </c>
      <c r="C84" s="6" t="s">
        <v>614</v>
      </c>
      <c r="D84" s="6" t="s">
        <v>115</v>
      </c>
      <c r="E84" s="6" t="s">
        <v>273</v>
      </c>
      <c r="F84" s="6" t="s">
        <v>131</v>
      </c>
      <c r="G84" s="6" t="s">
        <v>615</v>
      </c>
      <c r="H84" s="7" t="s">
        <v>133</v>
      </c>
      <c r="I84" s="5"/>
      <c r="J84" s="5" t="s">
        <v>136</v>
      </c>
      <c r="K84" s="5"/>
      <c r="L84" s="5"/>
      <c r="M84" s="5"/>
      <c r="N84" s="5"/>
      <c r="O84" s="5"/>
      <c r="P84" s="5"/>
      <c r="Q84" s="5"/>
      <c r="R84" s="5"/>
      <c r="S84" s="5"/>
      <c r="T84" s="5"/>
      <c r="U84" s="5"/>
      <c r="V84" s="5"/>
      <c r="W84" s="5"/>
      <c r="X84" s="5"/>
      <c r="Y84" s="5"/>
      <c r="Z84" s="5"/>
      <c r="AA84" s="5"/>
      <c r="AB84" s="5" t="str">
        <f>IFERROR(IF(VLOOKUP(D84,Revistas!$A$21:$C$400,3,FALSE)=0,"",VLOOKUP(D84,Revistas!$A$21:$C$400,3,FALSE)),"")</f>
        <v/>
      </c>
      <c r="AC84" s="5"/>
      <c r="AD84" s="5"/>
      <c r="AE84" s="5"/>
    </row>
    <row r="85" ht="15.75" customHeight="1">
      <c r="A85" s="6" t="s">
        <v>616</v>
      </c>
      <c r="B85" s="6">
        <v>414.0</v>
      </c>
      <c r="C85" s="6" t="s">
        <v>617</v>
      </c>
      <c r="D85" s="6" t="s">
        <v>259</v>
      </c>
      <c r="E85" s="6" t="s">
        <v>345</v>
      </c>
      <c r="F85" s="6" t="s">
        <v>131</v>
      </c>
      <c r="G85" s="6" t="s">
        <v>618</v>
      </c>
      <c r="H85" s="7" t="s">
        <v>133</v>
      </c>
      <c r="I85" s="5"/>
      <c r="J85" s="5" t="s">
        <v>136</v>
      </c>
      <c r="K85" s="5"/>
      <c r="L85" s="5"/>
      <c r="M85" s="5"/>
      <c r="N85" s="5"/>
      <c r="O85" s="5"/>
      <c r="P85" s="5"/>
      <c r="Q85" s="5"/>
      <c r="R85" s="5"/>
      <c r="S85" s="5"/>
      <c r="T85" s="5"/>
      <c r="U85" s="5"/>
      <c r="V85" s="5"/>
      <c r="W85" s="5"/>
      <c r="X85" s="5"/>
      <c r="Y85" s="5"/>
      <c r="Z85" s="5"/>
      <c r="AA85" s="5"/>
      <c r="AB85" s="5" t="str">
        <f>IFERROR(IF(VLOOKUP(D85,Revistas!$A$21:$C$400,3,FALSE)=0,"",VLOOKUP(D85,Revistas!$A$21:$C$400,3,FALSE)),"")</f>
        <v>medio</v>
      </c>
      <c r="AC85" s="5"/>
      <c r="AD85" s="5"/>
      <c r="AE85" s="5"/>
    </row>
    <row r="86" ht="15.75" customHeight="1">
      <c r="A86" s="6" t="s">
        <v>619</v>
      </c>
      <c r="B86" s="6">
        <v>418.0</v>
      </c>
      <c r="C86" s="6" t="s">
        <v>620</v>
      </c>
      <c r="D86" s="6" t="s">
        <v>366</v>
      </c>
      <c r="E86" s="6" t="s">
        <v>345</v>
      </c>
      <c r="F86" s="6" t="s">
        <v>131</v>
      </c>
      <c r="G86" s="6" t="s">
        <v>621</v>
      </c>
      <c r="H86" s="7" t="s">
        <v>133</v>
      </c>
      <c r="I86" s="5"/>
      <c r="J86" s="5" t="s">
        <v>136</v>
      </c>
      <c r="K86" s="5"/>
      <c r="L86" s="5"/>
      <c r="M86" s="5"/>
      <c r="N86" s="5"/>
      <c r="O86" s="5"/>
      <c r="P86" s="5"/>
      <c r="Q86" s="5"/>
      <c r="R86" s="5"/>
      <c r="S86" s="5"/>
      <c r="T86" s="5"/>
      <c r="U86" s="5"/>
      <c r="V86" s="5"/>
      <c r="W86" s="5"/>
      <c r="X86" s="5"/>
      <c r="Y86" s="5"/>
      <c r="Z86" s="5"/>
      <c r="AA86" s="5"/>
      <c r="AB86" s="5" t="str">
        <f>IFERROR(IF(VLOOKUP(D86,Revistas!$A$21:$C$400,3,FALSE)=0,"",VLOOKUP(D86,Revistas!$A$21:$C$400,3,FALSE)),"")</f>
        <v/>
      </c>
      <c r="AC86" s="5"/>
      <c r="AD86" s="5"/>
      <c r="AE86" s="5"/>
    </row>
    <row r="87" ht="15.75" customHeight="1">
      <c r="A87" s="6" t="s">
        <v>622</v>
      </c>
      <c r="B87" s="6">
        <v>436.0</v>
      </c>
      <c r="C87" s="6" t="s">
        <v>623</v>
      </c>
      <c r="D87" s="6" t="s">
        <v>288</v>
      </c>
      <c r="E87" s="6" t="s">
        <v>129</v>
      </c>
      <c r="F87" s="6" t="s">
        <v>131</v>
      </c>
      <c r="G87" s="6" t="s">
        <v>624</v>
      </c>
      <c r="H87" s="7" t="s">
        <v>133</v>
      </c>
      <c r="I87" s="5"/>
      <c r="J87" s="5" t="s">
        <v>136</v>
      </c>
      <c r="K87" s="5"/>
      <c r="L87" s="5"/>
      <c r="M87" s="5"/>
      <c r="N87" s="5"/>
      <c r="O87" s="5"/>
      <c r="P87" s="5"/>
      <c r="Q87" s="5"/>
      <c r="R87" s="5"/>
      <c r="S87" s="5"/>
      <c r="T87" s="5"/>
      <c r="U87" s="5"/>
      <c r="V87" s="5"/>
      <c r="W87" s="5"/>
      <c r="X87" s="5"/>
      <c r="Y87" s="5"/>
      <c r="Z87" s="5"/>
      <c r="AA87" s="5"/>
      <c r="AB87" s="5" t="str">
        <f>IFERROR(IF(VLOOKUP(D87,Revistas!$A$21:$C$400,3,FALSE)=0,"",VLOOKUP(D87,Revistas!$A$21:$C$400,3,FALSE)),"")</f>
        <v>medio</v>
      </c>
      <c r="AC87" s="5"/>
      <c r="AD87" s="5"/>
      <c r="AE87" s="5"/>
    </row>
    <row r="88" ht="15.75" customHeight="1">
      <c r="A88" s="6" t="s">
        <v>625</v>
      </c>
      <c r="B88" s="6">
        <v>443.0</v>
      </c>
      <c r="C88" s="6" t="s">
        <v>626</v>
      </c>
      <c r="D88" s="6" t="s">
        <v>64</v>
      </c>
      <c r="E88" s="6" t="s">
        <v>129</v>
      </c>
      <c r="F88" s="6" t="s">
        <v>131</v>
      </c>
      <c r="G88" s="6" t="s">
        <v>627</v>
      </c>
      <c r="H88" s="7" t="s">
        <v>133</v>
      </c>
      <c r="I88" s="5"/>
      <c r="J88" s="5" t="s">
        <v>136</v>
      </c>
      <c r="K88" s="5"/>
      <c r="L88" s="5"/>
      <c r="M88" s="5"/>
      <c r="N88" s="5"/>
      <c r="O88" s="5"/>
      <c r="P88" s="5"/>
      <c r="Q88" s="5"/>
      <c r="R88" s="5"/>
      <c r="S88" s="5"/>
      <c r="T88" s="5"/>
      <c r="U88" s="5"/>
      <c r="V88" s="5"/>
      <c r="W88" s="5"/>
      <c r="X88" s="5"/>
      <c r="Y88" s="5"/>
      <c r="Z88" s="5"/>
      <c r="AA88" s="5"/>
      <c r="AB88" s="5" t="str">
        <f>IFERROR(IF(VLOOKUP(D88,Revistas!$A$21:$C$400,3,FALSE)=0,"",VLOOKUP(D88,Revistas!$A$21:$C$400,3,FALSE)),"")</f>
        <v>medio</v>
      </c>
      <c r="AC88" s="5"/>
      <c r="AD88" s="5"/>
      <c r="AE88" s="5"/>
    </row>
    <row r="89" ht="15.75" customHeight="1">
      <c r="A89" s="6" t="s">
        <v>628</v>
      </c>
      <c r="B89" s="6">
        <v>451.0</v>
      </c>
      <c r="C89" s="6" t="s">
        <v>629</v>
      </c>
      <c r="D89" s="6" t="s">
        <v>264</v>
      </c>
      <c r="E89" s="6" t="s">
        <v>367</v>
      </c>
      <c r="F89" s="6" t="s">
        <v>131</v>
      </c>
      <c r="G89" s="6" t="s">
        <v>630</v>
      </c>
      <c r="H89" s="7" t="s">
        <v>133</v>
      </c>
      <c r="I89" s="5"/>
      <c r="J89" s="5" t="s">
        <v>136</v>
      </c>
      <c r="K89" s="5"/>
      <c r="L89" s="5"/>
      <c r="M89" s="5"/>
      <c r="N89" s="5"/>
      <c r="O89" s="5"/>
      <c r="P89" s="5"/>
      <c r="Q89" s="5"/>
      <c r="R89" s="5"/>
      <c r="S89" s="5"/>
      <c r="T89" s="5"/>
      <c r="U89" s="5"/>
      <c r="V89" s="5"/>
      <c r="W89" s="5"/>
      <c r="X89" s="5"/>
      <c r="Y89" s="5"/>
      <c r="Z89" s="5"/>
      <c r="AA89" s="5"/>
      <c r="AB89" s="5" t="str">
        <f>IFERROR(IF(VLOOKUP(D89,Revistas!$A$21:$C$400,3,FALSE)=0,"",VLOOKUP(D89,Revistas!$A$21:$C$400,3,FALSE)),"")</f>
        <v>alto</v>
      </c>
      <c r="AC89" s="5"/>
      <c r="AD89" s="5"/>
      <c r="AE89" s="5"/>
    </row>
    <row r="90" ht="15.75" customHeight="1">
      <c r="A90" s="6" t="s">
        <v>631</v>
      </c>
      <c r="B90" s="6">
        <v>479.0</v>
      </c>
      <c r="C90" s="6" t="s">
        <v>632</v>
      </c>
      <c r="D90" s="6" t="s">
        <v>130</v>
      </c>
      <c r="E90" s="6" t="s">
        <v>336</v>
      </c>
      <c r="F90" s="6" t="s">
        <v>131</v>
      </c>
      <c r="G90" s="6" t="s">
        <v>633</v>
      </c>
      <c r="H90" s="7" t="s">
        <v>133</v>
      </c>
      <c r="I90" s="5"/>
      <c r="J90" s="5" t="s">
        <v>136</v>
      </c>
      <c r="K90" s="5"/>
      <c r="L90" s="5"/>
      <c r="M90" s="5"/>
      <c r="N90" s="5"/>
      <c r="O90" s="5"/>
      <c r="P90" s="5"/>
      <c r="Q90" s="5"/>
      <c r="R90" s="5"/>
      <c r="S90" s="5"/>
      <c r="T90" s="5"/>
      <c r="U90" s="5"/>
      <c r="V90" s="5"/>
      <c r="W90" s="5"/>
      <c r="X90" s="5"/>
      <c r="Y90" s="5"/>
      <c r="Z90" s="5"/>
      <c r="AA90" s="5"/>
      <c r="AB90" s="5" t="str">
        <f>IFERROR(IF(VLOOKUP(D90,Revistas!$A$21:$C$400,3,FALSE)=0,"",VLOOKUP(D90,Revistas!$A$21:$C$400,3,FALSE)),"")</f>
        <v/>
      </c>
      <c r="AC90" s="5"/>
      <c r="AD90" s="5"/>
      <c r="AE90" s="5"/>
    </row>
    <row r="91" ht="15.75" customHeight="1">
      <c r="A91" s="6" t="s">
        <v>634</v>
      </c>
      <c r="B91" s="6">
        <v>498.0</v>
      </c>
      <c r="C91" s="6" t="s">
        <v>635</v>
      </c>
      <c r="D91" s="6" t="s">
        <v>274</v>
      </c>
      <c r="E91" s="6" t="s">
        <v>273</v>
      </c>
      <c r="F91" s="6" t="s">
        <v>131</v>
      </c>
      <c r="G91" s="6" t="s">
        <v>636</v>
      </c>
      <c r="H91" s="7" t="s">
        <v>133</v>
      </c>
      <c r="I91" s="5"/>
      <c r="J91" s="5" t="s">
        <v>136</v>
      </c>
      <c r="K91" s="5"/>
      <c r="L91" s="5"/>
      <c r="M91" s="5"/>
      <c r="N91" s="5"/>
      <c r="O91" s="5"/>
      <c r="P91" s="5"/>
      <c r="Q91" s="5"/>
      <c r="R91" s="5"/>
      <c r="S91" s="5"/>
      <c r="T91" s="5"/>
      <c r="U91" s="5"/>
      <c r="V91" s="5"/>
      <c r="W91" s="5"/>
      <c r="X91" s="5"/>
      <c r="Y91" s="5"/>
      <c r="Z91" s="5"/>
      <c r="AA91" s="5"/>
      <c r="AB91" s="5" t="str">
        <f>IFERROR(IF(VLOOKUP(D91,Revistas!$A$21:$C$400,3,FALSE)=0,"",VLOOKUP(D91,Revistas!$A$21:$C$400,3,FALSE)),"")</f>
        <v>medio</v>
      </c>
      <c r="AC91" s="5"/>
      <c r="AD91" s="5"/>
      <c r="AE91" s="5"/>
    </row>
    <row r="92" ht="15.75" customHeight="1">
      <c r="A92" s="6" t="s">
        <v>637</v>
      </c>
      <c r="B92" s="6">
        <v>506.0</v>
      </c>
      <c r="C92" s="6" t="s">
        <v>638</v>
      </c>
      <c r="D92" s="6" t="s">
        <v>115</v>
      </c>
      <c r="E92" s="6" t="s">
        <v>345</v>
      </c>
      <c r="F92" s="6" t="s">
        <v>131</v>
      </c>
      <c r="G92" s="6" t="s">
        <v>639</v>
      </c>
      <c r="H92" s="7" t="s">
        <v>133</v>
      </c>
      <c r="I92" s="5"/>
      <c r="J92" s="5" t="s">
        <v>136</v>
      </c>
      <c r="K92" s="5"/>
      <c r="L92" s="5"/>
      <c r="M92" s="5"/>
      <c r="N92" s="5"/>
      <c r="O92" s="5"/>
      <c r="P92" s="5"/>
      <c r="Q92" s="5"/>
      <c r="R92" s="5"/>
      <c r="S92" s="5"/>
      <c r="T92" s="5"/>
      <c r="U92" s="5"/>
      <c r="V92" s="5"/>
      <c r="W92" s="5"/>
      <c r="X92" s="5"/>
      <c r="Y92" s="5"/>
      <c r="Z92" s="5"/>
      <c r="AA92" s="5"/>
      <c r="AB92" s="5" t="str">
        <f>IFERROR(IF(VLOOKUP(D92,Revistas!$A$21:$C$400,3,FALSE)=0,"",VLOOKUP(D92,Revistas!$A$21:$C$400,3,FALSE)),"")</f>
        <v/>
      </c>
      <c r="AC92" s="5"/>
      <c r="AD92" s="5"/>
      <c r="AE92" s="5"/>
    </row>
    <row r="93" ht="15.75" customHeight="1">
      <c r="A93" s="6" t="s">
        <v>640</v>
      </c>
      <c r="B93" s="6">
        <v>525.0</v>
      </c>
      <c r="C93" s="6" t="s">
        <v>641</v>
      </c>
      <c r="D93" s="6" t="s">
        <v>392</v>
      </c>
      <c r="E93" s="6" t="s">
        <v>457</v>
      </c>
      <c r="F93" s="6" t="s">
        <v>131</v>
      </c>
      <c r="G93" s="6" t="s">
        <v>642</v>
      </c>
      <c r="H93" s="7" t="s">
        <v>133</v>
      </c>
      <c r="I93" s="5"/>
      <c r="J93" s="5" t="s">
        <v>136</v>
      </c>
      <c r="K93" s="5"/>
      <c r="L93" s="5"/>
      <c r="M93" s="5"/>
      <c r="N93" s="5"/>
      <c r="O93" s="5"/>
      <c r="P93" s="5"/>
      <c r="Q93" s="5"/>
      <c r="R93" s="5"/>
      <c r="S93" s="5"/>
      <c r="T93" s="5"/>
      <c r="U93" s="5"/>
      <c r="V93" s="5"/>
      <c r="W93" s="5"/>
      <c r="X93" s="5"/>
      <c r="Y93" s="5"/>
      <c r="Z93" s="5"/>
      <c r="AA93" s="5"/>
      <c r="AB93" s="5" t="str">
        <f>IFERROR(IF(VLOOKUP(D93,Revistas!$A$21:$C$400,3,FALSE)=0,"",VLOOKUP(D93,Revistas!$A$21:$C$400,3,FALSE)),"")</f>
        <v>medio</v>
      </c>
      <c r="AC93" s="5"/>
      <c r="AD93" s="5"/>
      <c r="AE93" s="5"/>
    </row>
    <row r="94" ht="15.75" customHeight="1">
      <c r="A94" s="6" t="s">
        <v>643</v>
      </c>
      <c r="B94" s="6">
        <v>529.0</v>
      </c>
      <c r="C94" s="6" t="s">
        <v>644</v>
      </c>
      <c r="D94" s="6" t="s">
        <v>296</v>
      </c>
      <c r="E94" s="6" t="s">
        <v>457</v>
      </c>
      <c r="F94" s="6" t="s">
        <v>131</v>
      </c>
      <c r="G94" s="6" t="s">
        <v>645</v>
      </c>
      <c r="H94" s="7" t="s">
        <v>133</v>
      </c>
      <c r="I94" s="5"/>
      <c r="J94" s="5" t="s">
        <v>136</v>
      </c>
      <c r="K94" s="5"/>
      <c r="L94" s="5"/>
      <c r="M94" s="5"/>
      <c r="N94" s="5"/>
      <c r="O94" s="5"/>
      <c r="P94" s="5"/>
      <c r="Q94" s="5"/>
      <c r="R94" s="5"/>
      <c r="S94" s="5"/>
      <c r="T94" s="5"/>
      <c r="U94" s="5"/>
      <c r="V94" s="5"/>
      <c r="W94" s="5"/>
      <c r="X94" s="5"/>
      <c r="Y94" s="5"/>
      <c r="Z94" s="5"/>
      <c r="AA94" s="5"/>
      <c r="AB94" s="5" t="str">
        <f>IFERROR(IF(VLOOKUP(D94,Revistas!$A$21:$C$400,3,FALSE)=0,"",VLOOKUP(D94,Revistas!$A$21:$C$400,3,FALSE)),"")</f>
        <v>medio</v>
      </c>
      <c r="AC94" s="5"/>
      <c r="AD94" s="5"/>
      <c r="AE94" s="5"/>
    </row>
    <row r="95" ht="15.75" customHeight="1">
      <c r="A95" s="6" t="s">
        <v>646</v>
      </c>
      <c r="B95" s="6">
        <v>606.0</v>
      </c>
      <c r="C95" s="6" t="s">
        <v>647</v>
      </c>
      <c r="D95" s="6" t="s">
        <v>330</v>
      </c>
      <c r="E95" s="6" t="s">
        <v>336</v>
      </c>
      <c r="F95" s="6" t="s">
        <v>131</v>
      </c>
      <c r="G95" s="6" t="s">
        <v>648</v>
      </c>
      <c r="H95" s="7" t="s">
        <v>133</v>
      </c>
      <c r="I95" s="5"/>
      <c r="J95" s="5" t="s">
        <v>136</v>
      </c>
      <c r="K95" s="5"/>
      <c r="L95" s="5"/>
      <c r="M95" s="5"/>
      <c r="N95" s="5"/>
      <c r="O95" s="5"/>
      <c r="P95" s="5"/>
      <c r="Q95" s="5"/>
      <c r="R95" s="5"/>
      <c r="S95" s="5"/>
      <c r="T95" s="5"/>
      <c r="U95" s="5"/>
      <c r="V95" s="5"/>
      <c r="W95" s="5"/>
      <c r="X95" s="5"/>
      <c r="Y95" s="5"/>
      <c r="Z95" s="5"/>
      <c r="AA95" s="5"/>
      <c r="AB95" s="5" t="str">
        <f>IFERROR(IF(VLOOKUP(D95,Revistas!$A$21:$C$400,3,FALSE)=0,"",VLOOKUP(D95,Revistas!$A$21:$C$400,3,FALSE)),"")</f>
        <v>alto</v>
      </c>
      <c r="AC95" s="5"/>
      <c r="AD95" s="5"/>
      <c r="AE95" s="5"/>
    </row>
    <row r="96" ht="15.75" customHeight="1">
      <c r="A96" s="6" t="s">
        <v>649</v>
      </c>
      <c r="B96" s="6">
        <v>610.0</v>
      </c>
      <c r="C96" s="6" t="s">
        <v>650</v>
      </c>
      <c r="D96" s="6" t="s">
        <v>373</v>
      </c>
      <c r="E96" s="6" t="s">
        <v>336</v>
      </c>
      <c r="F96" s="6" t="s">
        <v>131</v>
      </c>
      <c r="G96" s="6" t="s">
        <v>651</v>
      </c>
      <c r="H96" s="7" t="s">
        <v>133</v>
      </c>
      <c r="I96" s="5"/>
      <c r="J96" s="5" t="s">
        <v>136</v>
      </c>
      <c r="K96" s="5"/>
      <c r="L96" s="5"/>
      <c r="M96" s="5"/>
      <c r="N96" s="5"/>
      <c r="O96" s="5"/>
      <c r="P96" s="5"/>
      <c r="Q96" s="5"/>
      <c r="R96" s="5"/>
      <c r="S96" s="5"/>
      <c r="T96" s="5"/>
      <c r="U96" s="5"/>
      <c r="V96" s="5"/>
      <c r="W96" s="5"/>
      <c r="X96" s="5"/>
      <c r="Y96" s="5"/>
      <c r="Z96" s="5"/>
      <c r="AA96" s="5"/>
      <c r="AB96" s="5" t="str">
        <f>IFERROR(IF(VLOOKUP(D96,Revistas!$A$21:$C$400,3,FALSE)=0,"",VLOOKUP(D96,Revistas!$A$21:$C$400,3,FALSE)),"")</f>
        <v/>
      </c>
      <c r="AC96" s="5"/>
      <c r="AD96" s="5"/>
      <c r="AE96" s="5"/>
    </row>
    <row r="97" ht="15.75" customHeight="1">
      <c r="A97" s="6" t="s">
        <v>652</v>
      </c>
      <c r="B97" s="6">
        <v>613.0</v>
      </c>
      <c r="C97" s="6" t="s">
        <v>653</v>
      </c>
      <c r="D97" s="6" t="s">
        <v>326</v>
      </c>
      <c r="E97" s="6" t="s">
        <v>336</v>
      </c>
      <c r="F97" s="6" t="s">
        <v>131</v>
      </c>
      <c r="G97" s="6" t="s">
        <v>654</v>
      </c>
      <c r="H97" s="7" t="s">
        <v>133</v>
      </c>
      <c r="I97" s="5"/>
      <c r="J97" s="5" t="s">
        <v>136</v>
      </c>
      <c r="K97" s="5"/>
      <c r="L97" s="5"/>
      <c r="M97" s="5"/>
      <c r="N97" s="5"/>
      <c r="O97" s="5"/>
      <c r="P97" s="5"/>
      <c r="Q97" s="5"/>
      <c r="R97" s="5"/>
      <c r="S97" s="5"/>
      <c r="T97" s="5"/>
      <c r="U97" s="5"/>
      <c r="V97" s="5"/>
      <c r="W97" s="5"/>
      <c r="X97" s="5"/>
      <c r="Y97" s="5"/>
      <c r="Z97" s="5"/>
      <c r="AA97" s="5"/>
      <c r="AB97" s="5" t="str">
        <f>IFERROR(IF(VLOOKUP(D97,Revistas!$A$21:$C$400,3,FALSE)=0,"",VLOOKUP(D97,Revistas!$A$21:$C$400,3,FALSE)),"")</f>
        <v/>
      </c>
      <c r="AC97" s="5"/>
      <c r="AD97" s="5"/>
      <c r="AE97" s="5"/>
    </row>
    <row r="98" ht="15.75" customHeight="1">
      <c r="A98" s="6" t="s">
        <v>655</v>
      </c>
      <c r="B98" s="6">
        <v>665.0</v>
      </c>
      <c r="C98" s="6" t="s">
        <v>656</v>
      </c>
      <c r="D98" s="6" t="s">
        <v>301</v>
      </c>
      <c r="E98" s="6" t="s">
        <v>495</v>
      </c>
      <c r="F98" s="6" t="s">
        <v>131</v>
      </c>
      <c r="G98" s="6" t="s">
        <v>657</v>
      </c>
      <c r="H98" s="7" t="s">
        <v>133</v>
      </c>
      <c r="I98" s="5"/>
      <c r="J98" s="5" t="s">
        <v>136</v>
      </c>
      <c r="K98" s="5"/>
      <c r="L98" s="5"/>
      <c r="M98" s="5"/>
      <c r="N98" s="5"/>
      <c r="O98" s="5"/>
      <c r="P98" s="5"/>
      <c r="Q98" s="5"/>
      <c r="R98" s="5"/>
      <c r="S98" s="5"/>
      <c r="T98" s="5"/>
      <c r="U98" s="5"/>
      <c r="V98" s="5"/>
      <c r="W98" s="5"/>
      <c r="X98" s="5"/>
      <c r="Y98" s="5"/>
      <c r="Z98" s="5"/>
      <c r="AA98" s="5"/>
      <c r="AB98" s="5" t="str">
        <f>IFERROR(IF(VLOOKUP(D98,Revistas!$A$21:$C$400,3,FALSE)=0,"",VLOOKUP(D98,Revistas!$A$21:$C$400,3,FALSE)),"")</f>
        <v/>
      </c>
      <c r="AC98" s="5"/>
      <c r="AD98" s="5"/>
      <c r="AE98" s="5"/>
    </row>
    <row r="99" ht="15.75" customHeight="1">
      <c r="A99" s="6" t="s">
        <v>658</v>
      </c>
      <c r="B99" s="6">
        <v>686.0</v>
      </c>
      <c r="C99" s="6" t="s">
        <v>659</v>
      </c>
      <c r="D99" s="6" t="s">
        <v>93</v>
      </c>
      <c r="E99" s="6" t="s">
        <v>307</v>
      </c>
      <c r="F99" s="6" t="s">
        <v>131</v>
      </c>
      <c r="G99" s="6" t="s">
        <v>660</v>
      </c>
      <c r="H99" s="7" t="s">
        <v>133</v>
      </c>
      <c r="I99" s="5"/>
      <c r="J99" s="5" t="s">
        <v>136</v>
      </c>
      <c r="K99" s="5"/>
      <c r="L99" s="5"/>
      <c r="M99" s="5"/>
      <c r="N99" s="5"/>
      <c r="O99" s="5"/>
      <c r="P99" s="5"/>
      <c r="Q99" s="5"/>
      <c r="R99" s="5"/>
      <c r="S99" s="5"/>
      <c r="T99" s="5"/>
      <c r="U99" s="5"/>
      <c r="V99" s="5"/>
      <c r="W99" s="5"/>
      <c r="X99" s="5"/>
      <c r="Y99" s="5"/>
      <c r="Z99" s="5"/>
      <c r="AA99" s="5"/>
      <c r="AB99" s="5" t="str">
        <f>IFERROR(IF(VLOOKUP(D99,Revistas!$A$21:$C$400,3,FALSE)=0,"",VLOOKUP(D99,Revistas!$A$21:$C$400,3,FALSE)),"")</f>
        <v>medio</v>
      </c>
      <c r="AC99" s="5"/>
      <c r="AD99" s="5"/>
      <c r="AE99" s="5"/>
    </row>
    <row r="100" ht="15.75" customHeight="1">
      <c r="A100" s="6" t="s">
        <v>661</v>
      </c>
      <c r="B100" s="6">
        <v>707.0</v>
      </c>
      <c r="C100" s="6" t="s">
        <v>662</v>
      </c>
      <c r="D100" s="6" t="s">
        <v>297</v>
      </c>
      <c r="E100" s="6" t="s">
        <v>129</v>
      </c>
      <c r="F100" s="6" t="s">
        <v>131</v>
      </c>
      <c r="G100" s="6" t="s">
        <v>663</v>
      </c>
      <c r="H100" s="7" t="s">
        <v>133</v>
      </c>
      <c r="I100" s="5"/>
      <c r="J100" s="5" t="s">
        <v>136</v>
      </c>
      <c r="K100" s="5"/>
      <c r="L100" s="5"/>
      <c r="M100" s="5"/>
      <c r="N100" s="5"/>
      <c r="O100" s="5"/>
      <c r="P100" s="5"/>
      <c r="Q100" s="5"/>
      <c r="R100" s="5"/>
      <c r="S100" s="5"/>
      <c r="T100" s="5"/>
      <c r="U100" s="5"/>
      <c r="V100" s="5"/>
      <c r="W100" s="5"/>
      <c r="X100" s="5"/>
      <c r="Y100" s="5"/>
      <c r="Z100" s="5"/>
      <c r="AA100" s="5"/>
      <c r="AB100" s="5" t="str">
        <f>IFERROR(IF(VLOOKUP(D100,Revistas!$A$21:$C$400,3,FALSE)=0,"",VLOOKUP(D100,Revistas!$A$21:$C$400,3,FALSE)),"")</f>
        <v/>
      </c>
      <c r="AC100" s="5"/>
      <c r="AD100" s="5"/>
      <c r="AE100" s="5"/>
    </row>
    <row r="101" ht="15.75" customHeight="1">
      <c r="A101" s="6" t="s">
        <v>664</v>
      </c>
      <c r="B101" s="6">
        <v>719.0</v>
      </c>
      <c r="C101" s="6" t="s">
        <v>665</v>
      </c>
      <c r="D101" s="6" t="s">
        <v>251</v>
      </c>
      <c r="E101" s="6" t="s">
        <v>129</v>
      </c>
      <c r="F101" s="6" t="s">
        <v>131</v>
      </c>
      <c r="G101" s="6" t="s">
        <v>666</v>
      </c>
      <c r="H101" s="7" t="s">
        <v>133</v>
      </c>
      <c r="I101" s="5"/>
      <c r="J101" s="5" t="s">
        <v>136</v>
      </c>
      <c r="K101" s="5"/>
      <c r="L101" s="5"/>
      <c r="M101" s="5"/>
      <c r="N101" s="5"/>
      <c r="O101" s="5"/>
      <c r="P101" s="5"/>
      <c r="Q101" s="5"/>
      <c r="R101" s="5"/>
      <c r="S101" s="5"/>
      <c r="T101" s="5"/>
      <c r="U101" s="5"/>
      <c r="V101" s="5"/>
      <c r="W101" s="5"/>
      <c r="X101" s="5"/>
      <c r="Y101" s="5"/>
      <c r="Z101" s="5"/>
      <c r="AA101" s="5"/>
      <c r="AB101" s="5" t="str">
        <f>IFERROR(IF(VLOOKUP(D101,Revistas!$A$21:$C$400,3,FALSE)=0,"",VLOOKUP(D101,Revistas!$A$21:$C$400,3,FALSE)),"")</f>
        <v>alto</v>
      </c>
      <c r="AC101" s="5"/>
      <c r="AD101" s="5"/>
      <c r="AE101" s="5"/>
    </row>
    <row r="102" ht="15.75" customHeight="1">
      <c r="A102" s="6" t="s">
        <v>667</v>
      </c>
      <c r="B102" s="6">
        <v>729.0</v>
      </c>
      <c r="C102" s="6" t="s">
        <v>668</v>
      </c>
      <c r="D102" s="6" t="s">
        <v>261</v>
      </c>
      <c r="E102" s="6" t="s">
        <v>129</v>
      </c>
      <c r="F102" s="6" t="s">
        <v>131</v>
      </c>
      <c r="G102" s="6" t="s">
        <v>669</v>
      </c>
      <c r="H102" s="7" t="s">
        <v>133</v>
      </c>
      <c r="I102" s="5"/>
      <c r="J102" s="5" t="s">
        <v>136</v>
      </c>
      <c r="K102" s="5"/>
      <c r="L102" s="5"/>
      <c r="M102" s="5"/>
      <c r="N102" s="5"/>
      <c r="O102" s="5"/>
      <c r="P102" s="5"/>
      <c r="Q102" s="5"/>
      <c r="R102" s="5"/>
      <c r="S102" s="5"/>
      <c r="T102" s="5"/>
      <c r="U102" s="5"/>
      <c r="V102" s="5"/>
      <c r="W102" s="5"/>
      <c r="X102" s="5"/>
      <c r="Y102" s="5"/>
      <c r="Z102" s="5"/>
      <c r="AA102" s="5"/>
      <c r="AB102" s="5" t="str">
        <f>IFERROR(IF(VLOOKUP(D102,Revistas!$A$21:$C$400,3,FALSE)=0,"",VLOOKUP(D102,Revistas!$A$21:$C$400,3,FALSE)),"")</f>
        <v/>
      </c>
      <c r="AC102" s="5"/>
      <c r="AD102" s="5"/>
      <c r="AE102" s="5"/>
    </row>
    <row r="103" ht="15.75" customHeight="1">
      <c r="A103" s="6" t="s">
        <v>670</v>
      </c>
      <c r="B103" s="6">
        <v>741.0</v>
      </c>
      <c r="C103" s="6" t="s">
        <v>671</v>
      </c>
      <c r="D103" s="6" t="s">
        <v>64</v>
      </c>
      <c r="E103" s="6" t="s">
        <v>367</v>
      </c>
      <c r="F103" s="6" t="s">
        <v>131</v>
      </c>
      <c r="G103" s="6" t="s">
        <v>672</v>
      </c>
      <c r="H103" s="7" t="s">
        <v>133</v>
      </c>
      <c r="I103" s="5"/>
      <c r="J103" s="5" t="s">
        <v>136</v>
      </c>
      <c r="K103" s="5"/>
      <c r="L103" s="5"/>
      <c r="M103" s="5"/>
      <c r="N103" s="5"/>
      <c r="O103" s="5"/>
      <c r="P103" s="5"/>
      <c r="Q103" s="5"/>
      <c r="R103" s="5"/>
      <c r="S103" s="5"/>
      <c r="T103" s="5"/>
      <c r="U103" s="5"/>
      <c r="V103" s="5"/>
      <c r="W103" s="5"/>
      <c r="X103" s="5"/>
      <c r="Y103" s="5"/>
      <c r="Z103" s="5"/>
      <c r="AA103" s="5"/>
      <c r="AB103" s="5" t="str">
        <f>IFERROR(IF(VLOOKUP(D103,Revistas!$A$21:$C$400,3,FALSE)=0,"",VLOOKUP(D103,Revistas!$A$21:$C$400,3,FALSE)),"")</f>
        <v>medio</v>
      </c>
      <c r="AC103" s="5"/>
      <c r="AD103" s="5"/>
      <c r="AE103" s="5"/>
    </row>
    <row r="104" ht="15.75" customHeight="1">
      <c r="A104" s="6" t="s">
        <v>673</v>
      </c>
      <c r="B104" s="6">
        <v>751.0</v>
      </c>
      <c r="C104" s="6" t="s">
        <v>674</v>
      </c>
      <c r="D104" s="6" t="s">
        <v>277</v>
      </c>
      <c r="E104" s="6" t="s">
        <v>367</v>
      </c>
      <c r="F104" s="6" t="s">
        <v>131</v>
      </c>
      <c r="G104" s="6" t="s">
        <v>675</v>
      </c>
      <c r="H104" s="7" t="s">
        <v>133</v>
      </c>
      <c r="I104" s="5"/>
      <c r="J104" s="5" t="s">
        <v>136</v>
      </c>
      <c r="K104" s="5"/>
      <c r="L104" s="5"/>
      <c r="M104" s="5"/>
      <c r="N104" s="5"/>
      <c r="O104" s="5"/>
      <c r="P104" s="5"/>
      <c r="Q104" s="5"/>
      <c r="R104" s="5"/>
      <c r="S104" s="5"/>
      <c r="T104" s="5"/>
      <c r="U104" s="5"/>
      <c r="V104" s="5"/>
      <c r="W104" s="5"/>
      <c r="X104" s="5"/>
      <c r="Y104" s="5"/>
      <c r="Z104" s="5"/>
      <c r="AA104" s="5"/>
      <c r="AB104" s="5" t="str">
        <f>IFERROR(IF(VLOOKUP(D104,Revistas!$A$21:$C$400,3,FALSE)=0,"",VLOOKUP(D104,Revistas!$A$21:$C$400,3,FALSE)),"")</f>
        <v>medio</v>
      </c>
      <c r="AC104" s="5"/>
      <c r="AD104" s="5"/>
      <c r="AE104" s="5"/>
    </row>
    <row r="105" ht="15.75" customHeight="1">
      <c r="A105" s="6" t="s">
        <v>676</v>
      </c>
      <c r="B105" s="6">
        <v>759.0</v>
      </c>
      <c r="C105" s="6" t="s">
        <v>677</v>
      </c>
      <c r="D105" s="6" t="s">
        <v>375</v>
      </c>
      <c r="E105" s="6" t="s">
        <v>151</v>
      </c>
      <c r="F105" s="6" t="s">
        <v>131</v>
      </c>
      <c r="G105" s="6" t="s">
        <v>678</v>
      </c>
      <c r="H105" s="7" t="s">
        <v>133</v>
      </c>
      <c r="I105" s="5"/>
      <c r="J105" s="5" t="s">
        <v>136</v>
      </c>
      <c r="K105" s="5"/>
      <c r="L105" s="5"/>
      <c r="M105" s="5"/>
      <c r="N105" s="5"/>
      <c r="O105" s="5"/>
      <c r="P105" s="5"/>
      <c r="Q105" s="5"/>
      <c r="R105" s="5"/>
      <c r="S105" s="5"/>
      <c r="T105" s="5"/>
      <c r="U105" s="5"/>
      <c r="V105" s="5"/>
      <c r="W105" s="5"/>
      <c r="X105" s="5"/>
      <c r="Y105" s="5"/>
      <c r="Z105" s="5"/>
      <c r="AA105" s="5"/>
      <c r="AB105" s="5" t="str">
        <f>IFERROR(IF(VLOOKUP(D105,Revistas!$A$21:$C$400,3,FALSE)=0,"",VLOOKUP(D105,Revistas!$A$21:$C$400,3,FALSE)),"")</f>
        <v/>
      </c>
      <c r="AC105" s="5"/>
      <c r="AD105" s="5"/>
      <c r="AE105" s="5"/>
    </row>
    <row r="106" ht="15.75" customHeight="1">
      <c r="A106" s="6" t="s">
        <v>679</v>
      </c>
      <c r="B106" s="6">
        <v>772.0</v>
      </c>
      <c r="C106" s="6" t="s">
        <v>680</v>
      </c>
      <c r="D106" s="6" t="s">
        <v>93</v>
      </c>
      <c r="E106" s="6" t="s">
        <v>151</v>
      </c>
      <c r="F106" s="6" t="s">
        <v>131</v>
      </c>
      <c r="G106" s="6" t="s">
        <v>681</v>
      </c>
      <c r="H106" s="7" t="s">
        <v>133</v>
      </c>
      <c r="I106" s="5"/>
      <c r="J106" s="5" t="s">
        <v>136</v>
      </c>
      <c r="K106" s="5"/>
      <c r="L106" s="5"/>
      <c r="M106" s="5"/>
      <c r="N106" s="5"/>
      <c r="O106" s="5"/>
      <c r="P106" s="5"/>
      <c r="Q106" s="5"/>
      <c r="R106" s="5"/>
      <c r="S106" s="5"/>
      <c r="T106" s="5"/>
      <c r="U106" s="5"/>
      <c r="V106" s="5"/>
      <c r="W106" s="5"/>
      <c r="X106" s="5"/>
      <c r="Y106" s="5"/>
      <c r="Z106" s="5"/>
      <c r="AA106" s="5"/>
      <c r="AB106" s="5" t="str">
        <f>IFERROR(IF(VLOOKUP(D106,Revistas!$A$21:$C$400,3,FALSE)=0,"",VLOOKUP(D106,Revistas!$A$21:$C$400,3,FALSE)),"")</f>
        <v>medio</v>
      </c>
      <c r="AC106" s="5"/>
      <c r="AD106" s="5"/>
      <c r="AE106" s="5"/>
    </row>
    <row r="107" ht="15.75" customHeight="1">
      <c r="A107" s="6" t="s">
        <v>682</v>
      </c>
      <c r="B107" s="6">
        <v>778.0</v>
      </c>
      <c r="C107" s="6" t="s">
        <v>683</v>
      </c>
      <c r="D107" s="6" t="s">
        <v>127</v>
      </c>
      <c r="E107" s="6" t="s">
        <v>151</v>
      </c>
      <c r="F107" s="6" t="s">
        <v>131</v>
      </c>
      <c r="G107" s="6" t="s">
        <v>684</v>
      </c>
      <c r="H107" s="7" t="s">
        <v>133</v>
      </c>
      <c r="I107" s="5"/>
      <c r="J107" s="5" t="s">
        <v>136</v>
      </c>
      <c r="K107" s="5"/>
      <c r="L107" s="5"/>
      <c r="M107" s="5"/>
      <c r="N107" s="5"/>
      <c r="O107" s="5"/>
      <c r="P107" s="5"/>
      <c r="Q107" s="5"/>
      <c r="R107" s="5"/>
      <c r="S107" s="5"/>
      <c r="T107" s="5"/>
      <c r="U107" s="5"/>
      <c r="V107" s="5"/>
      <c r="W107" s="5"/>
      <c r="X107" s="5"/>
      <c r="Y107" s="5"/>
      <c r="Z107" s="5"/>
      <c r="AA107" s="5"/>
      <c r="AB107" s="5" t="str">
        <f>IFERROR(IF(VLOOKUP(D107,Revistas!$A$21:$C$400,3,FALSE)=0,"",VLOOKUP(D107,Revistas!$A$21:$C$400,3,FALSE)),"")</f>
        <v/>
      </c>
      <c r="AC107" s="5"/>
      <c r="AD107" s="5"/>
      <c r="AE107" s="5"/>
    </row>
    <row r="108" ht="15.75" customHeight="1">
      <c r="A108" s="6" t="s">
        <v>685</v>
      </c>
      <c r="B108" s="6">
        <v>785.0</v>
      </c>
      <c r="C108" s="6" t="s">
        <v>686</v>
      </c>
      <c r="D108" s="6" t="s">
        <v>687</v>
      </c>
      <c r="E108" s="6" t="s">
        <v>336</v>
      </c>
      <c r="F108" s="6" t="s">
        <v>131</v>
      </c>
      <c r="G108" s="6" t="s">
        <v>688</v>
      </c>
      <c r="H108" s="7" t="s">
        <v>133</v>
      </c>
      <c r="I108" s="5"/>
      <c r="J108" s="5" t="s">
        <v>136</v>
      </c>
      <c r="K108" s="5"/>
      <c r="L108" s="5"/>
      <c r="M108" s="5"/>
      <c r="N108" s="5"/>
      <c r="O108" s="5"/>
      <c r="P108" s="5"/>
      <c r="Q108" s="5"/>
      <c r="R108" s="5"/>
      <c r="S108" s="5"/>
      <c r="T108" s="5"/>
      <c r="U108" s="5"/>
      <c r="V108" s="5"/>
      <c r="W108" s="5"/>
      <c r="X108" s="5"/>
      <c r="Y108" s="5"/>
      <c r="Z108" s="5"/>
      <c r="AA108" s="5"/>
      <c r="AB108" s="5" t="str">
        <f>IFERROR(IF(VLOOKUP(D108,Revistas!$A$21:$C$400,3,FALSE)=0,"",VLOOKUP(D108,Revistas!$A$21:$C$400,3,FALSE)),"")</f>
        <v/>
      </c>
      <c r="AC108" s="5"/>
      <c r="AD108" s="5"/>
      <c r="AE108" s="5"/>
    </row>
    <row r="109" ht="15.75" customHeight="1">
      <c r="A109" s="6" t="s">
        <v>689</v>
      </c>
      <c r="B109" s="6">
        <v>788.0</v>
      </c>
      <c r="C109" s="6" t="s">
        <v>690</v>
      </c>
      <c r="D109" s="6" t="s">
        <v>250</v>
      </c>
      <c r="E109" s="6" t="s">
        <v>336</v>
      </c>
      <c r="F109" s="6" t="s">
        <v>131</v>
      </c>
      <c r="G109" s="6" t="s">
        <v>691</v>
      </c>
      <c r="H109" s="7" t="s">
        <v>133</v>
      </c>
      <c r="I109" s="5"/>
      <c r="J109" s="5" t="s">
        <v>136</v>
      </c>
      <c r="K109" s="5"/>
      <c r="L109" s="5"/>
      <c r="M109" s="5"/>
      <c r="N109" s="5"/>
      <c r="O109" s="5"/>
      <c r="P109" s="5"/>
      <c r="Q109" s="5"/>
      <c r="R109" s="5"/>
      <c r="S109" s="5"/>
      <c r="T109" s="5"/>
      <c r="U109" s="5"/>
      <c r="V109" s="5"/>
      <c r="W109" s="5"/>
      <c r="X109" s="5"/>
      <c r="Y109" s="5"/>
      <c r="Z109" s="5"/>
      <c r="AA109" s="5"/>
      <c r="AB109" s="5" t="str">
        <f>IFERROR(IF(VLOOKUP(D109,Revistas!$A$21:$C$400,3,FALSE)=0,"",VLOOKUP(D109,Revistas!$A$21:$C$400,3,FALSE)),"")</f>
        <v/>
      </c>
      <c r="AC109" s="5"/>
      <c r="AD109" s="5"/>
      <c r="AE109" s="5"/>
    </row>
    <row r="110" ht="15.75" customHeight="1">
      <c r="A110" s="6" t="s">
        <v>692</v>
      </c>
      <c r="B110" s="6">
        <v>793.0</v>
      </c>
      <c r="C110" s="6" t="s">
        <v>693</v>
      </c>
      <c r="D110" s="6" t="s">
        <v>395</v>
      </c>
      <c r="E110" s="6" t="s">
        <v>336</v>
      </c>
      <c r="F110" s="6" t="s">
        <v>131</v>
      </c>
      <c r="G110" s="6" t="s">
        <v>694</v>
      </c>
      <c r="H110" s="7" t="s">
        <v>133</v>
      </c>
      <c r="I110" s="5"/>
      <c r="J110" s="5" t="s">
        <v>136</v>
      </c>
      <c r="K110" s="5"/>
      <c r="L110" s="5"/>
      <c r="M110" s="5"/>
      <c r="N110" s="5"/>
      <c r="O110" s="5"/>
      <c r="P110" s="5"/>
      <c r="Q110" s="5"/>
      <c r="R110" s="5"/>
      <c r="S110" s="5"/>
      <c r="T110" s="5"/>
      <c r="U110" s="5"/>
      <c r="V110" s="5"/>
      <c r="W110" s="5"/>
      <c r="X110" s="5"/>
      <c r="Y110" s="5"/>
      <c r="Z110" s="5"/>
      <c r="AA110" s="5"/>
      <c r="AB110" s="5" t="str">
        <f>IFERROR(IF(VLOOKUP(D110,Revistas!$A$21:$C$400,3,FALSE)=0,"",VLOOKUP(D110,Revistas!$A$21:$C$400,3,FALSE)),"")</f>
        <v>medio</v>
      </c>
      <c r="AC110" s="5"/>
      <c r="AD110" s="5"/>
      <c r="AE110" s="5"/>
    </row>
    <row r="111" ht="15.75" customHeight="1">
      <c r="A111" s="6" t="s">
        <v>695</v>
      </c>
      <c r="B111" s="6">
        <v>843.0</v>
      </c>
      <c r="C111" s="6" t="s">
        <v>696</v>
      </c>
      <c r="D111" s="6" t="s">
        <v>64</v>
      </c>
      <c r="E111" s="6" t="s">
        <v>273</v>
      </c>
      <c r="F111" s="6" t="s">
        <v>131</v>
      </c>
      <c r="G111" s="6" t="s">
        <v>697</v>
      </c>
      <c r="H111" s="7" t="s">
        <v>133</v>
      </c>
      <c r="I111" s="5"/>
      <c r="J111" s="5" t="s">
        <v>136</v>
      </c>
      <c r="K111" s="5"/>
      <c r="L111" s="5"/>
      <c r="M111" s="5"/>
      <c r="N111" s="5"/>
      <c r="O111" s="5"/>
      <c r="P111" s="5"/>
      <c r="Q111" s="5"/>
      <c r="R111" s="5"/>
      <c r="S111" s="5"/>
      <c r="T111" s="5"/>
      <c r="U111" s="5"/>
      <c r="V111" s="5"/>
      <c r="W111" s="5"/>
      <c r="X111" s="5"/>
      <c r="Y111" s="5"/>
      <c r="Z111" s="5"/>
      <c r="AA111" s="5"/>
      <c r="AB111" s="5" t="str">
        <f>IFERROR(IF(VLOOKUP(D111,Revistas!$A$21:$C$400,3,FALSE)=0,"",VLOOKUP(D111,Revistas!$A$21:$C$400,3,FALSE)),"")</f>
        <v>medio</v>
      </c>
      <c r="AC111" s="5"/>
      <c r="AD111" s="5"/>
      <c r="AE111" s="5"/>
    </row>
    <row r="112" ht="15.75" customHeight="1">
      <c r="A112" s="6" t="s">
        <v>698</v>
      </c>
      <c r="B112" s="6">
        <v>853.0</v>
      </c>
      <c r="C112" s="6" t="s">
        <v>699</v>
      </c>
      <c r="D112" s="6" t="s">
        <v>400</v>
      </c>
      <c r="E112" s="6" t="s">
        <v>273</v>
      </c>
      <c r="F112" s="6" t="s">
        <v>131</v>
      </c>
      <c r="G112" s="6" t="s">
        <v>700</v>
      </c>
      <c r="H112" s="7" t="s">
        <v>133</v>
      </c>
      <c r="I112" s="5"/>
      <c r="J112" s="5" t="s">
        <v>136</v>
      </c>
      <c r="K112" s="5"/>
      <c r="L112" s="5"/>
      <c r="M112" s="5"/>
      <c r="N112" s="5"/>
      <c r="O112" s="5"/>
      <c r="P112" s="5"/>
      <c r="Q112" s="5"/>
      <c r="R112" s="5"/>
      <c r="S112" s="5"/>
      <c r="T112" s="5"/>
      <c r="U112" s="5"/>
      <c r="V112" s="5"/>
      <c r="W112" s="5"/>
      <c r="X112" s="5"/>
      <c r="Y112" s="5"/>
      <c r="Z112" s="5"/>
      <c r="AA112" s="5"/>
      <c r="AB112" s="5" t="str">
        <f>IFERROR(IF(VLOOKUP(D112,Revistas!$A$21:$C$400,3,FALSE)=0,"",VLOOKUP(D112,Revistas!$A$21:$C$400,3,FALSE)),"")</f>
        <v>alto</v>
      </c>
      <c r="AC112" s="5"/>
      <c r="AD112" s="5"/>
      <c r="AE112" s="5"/>
    </row>
    <row r="113" ht="15.75" customHeight="1">
      <c r="A113" s="6" t="s">
        <v>701</v>
      </c>
      <c r="B113" s="6">
        <v>856.0</v>
      </c>
      <c r="C113" s="6" t="s">
        <v>702</v>
      </c>
      <c r="D113" s="6" t="s">
        <v>134</v>
      </c>
      <c r="E113" s="6" t="s">
        <v>273</v>
      </c>
      <c r="F113" s="6" t="s">
        <v>131</v>
      </c>
      <c r="G113" s="6" t="s">
        <v>703</v>
      </c>
      <c r="H113" s="7" t="s">
        <v>133</v>
      </c>
      <c r="I113" s="5"/>
      <c r="J113" s="5" t="s">
        <v>136</v>
      </c>
      <c r="K113" s="5"/>
      <c r="L113" s="5"/>
      <c r="M113" s="5"/>
      <c r="N113" s="5"/>
      <c r="O113" s="5"/>
      <c r="P113" s="5"/>
      <c r="Q113" s="5"/>
      <c r="R113" s="5"/>
      <c r="S113" s="5"/>
      <c r="T113" s="5"/>
      <c r="U113" s="5"/>
      <c r="V113" s="5"/>
      <c r="W113" s="5"/>
      <c r="X113" s="5"/>
      <c r="Y113" s="5"/>
      <c r="Z113" s="5"/>
      <c r="AA113" s="5"/>
      <c r="AB113" s="5" t="str">
        <f>IFERROR(IF(VLOOKUP(D113,Revistas!$A$21:$C$400,3,FALSE)=0,"",VLOOKUP(D113,Revistas!$A$21:$C$400,3,FALSE)),"")</f>
        <v/>
      </c>
      <c r="AC113" s="5"/>
      <c r="AD113" s="5"/>
      <c r="AE113" s="5"/>
    </row>
    <row r="114" ht="15.75" customHeight="1">
      <c r="A114" s="6" t="s">
        <v>704</v>
      </c>
      <c r="B114" s="6">
        <v>867.0</v>
      </c>
      <c r="C114" s="6" t="s">
        <v>705</v>
      </c>
      <c r="D114" s="6" t="s">
        <v>303</v>
      </c>
      <c r="E114" s="6" t="s">
        <v>345</v>
      </c>
      <c r="F114" s="6" t="s">
        <v>131</v>
      </c>
      <c r="G114" s="6" t="s">
        <v>706</v>
      </c>
      <c r="H114" s="7" t="s">
        <v>133</v>
      </c>
      <c r="I114" s="5"/>
      <c r="J114" s="5" t="s">
        <v>136</v>
      </c>
      <c r="K114" s="5"/>
      <c r="L114" s="5"/>
      <c r="M114" s="5"/>
      <c r="N114" s="5"/>
      <c r="O114" s="5"/>
      <c r="P114" s="5"/>
      <c r="Q114" s="5"/>
      <c r="R114" s="5"/>
      <c r="S114" s="5"/>
      <c r="T114" s="5"/>
      <c r="U114" s="5"/>
      <c r="V114" s="5"/>
      <c r="W114" s="5"/>
      <c r="X114" s="5"/>
      <c r="Y114" s="5"/>
      <c r="Z114" s="5"/>
      <c r="AA114" s="5"/>
      <c r="AB114" s="5" t="str">
        <f>IFERROR(IF(VLOOKUP(D114,Revistas!$A$21:$C$400,3,FALSE)=0,"",VLOOKUP(D114,Revistas!$A$21:$C$400,3,FALSE)),"")</f>
        <v/>
      </c>
      <c r="AC114" s="5"/>
      <c r="AD114" s="5"/>
      <c r="AE114" s="5"/>
    </row>
    <row r="115" ht="15.75" customHeight="1">
      <c r="A115" s="6" t="s">
        <v>707</v>
      </c>
      <c r="B115" s="6">
        <v>888.0</v>
      </c>
      <c r="C115" s="6" t="s">
        <v>708</v>
      </c>
      <c r="D115" s="6" t="s">
        <v>295</v>
      </c>
      <c r="E115" s="6" t="s">
        <v>709</v>
      </c>
      <c r="F115" s="6" t="s">
        <v>581</v>
      </c>
      <c r="G115" s="6" t="s">
        <v>710</v>
      </c>
      <c r="H115" s="7" t="s">
        <v>133</v>
      </c>
      <c r="I115" s="5"/>
      <c r="J115" s="5" t="s">
        <v>136</v>
      </c>
      <c r="K115" s="5"/>
      <c r="L115" s="5"/>
      <c r="M115" s="5"/>
      <c r="N115" s="5"/>
      <c r="O115" s="5"/>
      <c r="P115" s="5"/>
      <c r="Q115" s="5"/>
      <c r="R115" s="5"/>
      <c r="S115" s="5"/>
      <c r="T115" s="5"/>
      <c r="U115" s="5"/>
      <c r="V115" s="5"/>
      <c r="W115" s="5"/>
      <c r="X115" s="5"/>
      <c r="Y115" s="5"/>
      <c r="Z115" s="5"/>
      <c r="AA115" s="5"/>
      <c r="AB115" s="5" t="str">
        <f>IFERROR(IF(VLOOKUP(D115,Revistas!$A$21:$C$400,3,FALSE)=0,"",VLOOKUP(D115,Revistas!$A$21:$C$400,3,FALSE)),"")</f>
        <v/>
      </c>
      <c r="AC115" s="5"/>
      <c r="AD115" s="5"/>
      <c r="AE115" s="5"/>
    </row>
    <row r="116" ht="15.75" customHeight="1">
      <c r="A116" s="6" t="s">
        <v>711</v>
      </c>
      <c r="B116" s="6">
        <v>894.0</v>
      </c>
      <c r="C116" s="6" t="s">
        <v>712</v>
      </c>
      <c r="D116" s="6" t="s">
        <v>299</v>
      </c>
      <c r="E116" s="6" t="s">
        <v>457</v>
      </c>
      <c r="F116" s="6" t="s">
        <v>131</v>
      </c>
      <c r="G116" s="6" t="s">
        <v>713</v>
      </c>
      <c r="H116" s="7" t="s">
        <v>133</v>
      </c>
      <c r="I116" s="5"/>
      <c r="J116" s="5" t="s">
        <v>136</v>
      </c>
      <c r="K116" s="5"/>
      <c r="L116" s="5"/>
      <c r="M116" s="5"/>
      <c r="N116" s="5"/>
      <c r="O116" s="5"/>
      <c r="P116" s="5"/>
      <c r="Q116" s="5"/>
      <c r="R116" s="5"/>
      <c r="S116" s="5"/>
      <c r="T116" s="5"/>
      <c r="U116" s="5"/>
      <c r="V116" s="5"/>
      <c r="W116" s="5"/>
      <c r="X116" s="5"/>
      <c r="Y116" s="5"/>
      <c r="Z116" s="5"/>
      <c r="AA116" s="5"/>
      <c r="AB116" s="5" t="str">
        <f>IFERROR(IF(VLOOKUP(D116,Revistas!$A$21:$C$400,3,FALSE)=0,"",VLOOKUP(D116,Revistas!$A$21:$C$400,3,FALSE)),"")</f>
        <v/>
      </c>
      <c r="AC116" s="5"/>
      <c r="AD116" s="5"/>
      <c r="AE116" s="5"/>
    </row>
    <row r="117" ht="15.75" customHeight="1">
      <c r="A117" s="6" t="s">
        <v>714</v>
      </c>
      <c r="B117" s="6">
        <v>911.0</v>
      </c>
      <c r="C117" s="6" t="s">
        <v>715</v>
      </c>
      <c r="D117" s="6" t="s">
        <v>515</v>
      </c>
      <c r="E117" s="6" t="s">
        <v>225</v>
      </c>
      <c r="F117" s="6" t="s">
        <v>131</v>
      </c>
      <c r="G117" s="6" t="s">
        <v>716</v>
      </c>
      <c r="H117" s="7" t="s">
        <v>133</v>
      </c>
      <c r="I117" s="5"/>
      <c r="J117" s="5" t="s">
        <v>136</v>
      </c>
      <c r="K117" s="5"/>
      <c r="L117" s="5"/>
      <c r="M117" s="5"/>
      <c r="N117" s="5"/>
      <c r="O117" s="5"/>
      <c r="P117" s="5"/>
      <c r="Q117" s="5"/>
      <c r="R117" s="5"/>
      <c r="S117" s="5"/>
      <c r="T117" s="5"/>
      <c r="U117" s="5"/>
      <c r="V117" s="5"/>
      <c r="W117" s="5"/>
      <c r="X117" s="5"/>
      <c r="Y117" s="5"/>
      <c r="Z117" s="5"/>
      <c r="AA117" s="5"/>
      <c r="AB117" s="5" t="str">
        <f>IFERROR(IF(VLOOKUP(D117,Revistas!$A$21:$C$400,3,FALSE)=0,"",VLOOKUP(D117,Revistas!$A$21:$C$400,3,FALSE)),"")</f>
        <v>medio</v>
      </c>
      <c r="AC117" s="5"/>
      <c r="AD117" s="5"/>
      <c r="AE117" s="5"/>
    </row>
    <row r="118" ht="15.75" customHeight="1">
      <c r="A118" s="6" t="s">
        <v>717</v>
      </c>
      <c r="B118" s="6">
        <v>979.0</v>
      </c>
      <c r="C118" s="6" t="s">
        <v>718</v>
      </c>
      <c r="D118" s="6" t="s">
        <v>127</v>
      </c>
      <c r="E118" s="6" t="s">
        <v>273</v>
      </c>
      <c r="F118" s="6" t="s">
        <v>131</v>
      </c>
      <c r="G118" s="6" t="s">
        <v>719</v>
      </c>
      <c r="H118" s="7" t="s">
        <v>133</v>
      </c>
      <c r="I118" s="5"/>
      <c r="J118" s="5" t="s">
        <v>136</v>
      </c>
      <c r="K118" s="5"/>
      <c r="L118" s="5"/>
      <c r="M118" s="5"/>
      <c r="N118" s="5"/>
      <c r="O118" s="5"/>
      <c r="P118" s="5"/>
      <c r="Q118" s="5"/>
      <c r="R118" s="5"/>
      <c r="S118" s="5"/>
      <c r="T118" s="5"/>
      <c r="U118" s="5"/>
      <c r="V118" s="5"/>
      <c r="W118" s="5"/>
      <c r="X118" s="5"/>
      <c r="Y118" s="5"/>
      <c r="Z118" s="5"/>
      <c r="AA118" s="5"/>
      <c r="AB118" s="5" t="str">
        <f>IFERROR(IF(VLOOKUP(D118,Revistas!$A$21:$C$400,3,FALSE)=0,"",VLOOKUP(D118,Revistas!$A$21:$C$400,3,FALSE)),"")</f>
        <v/>
      </c>
      <c r="AC118" s="5"/>
      <c r="AD118" s="5"/>
      <c r="AE118" s="5"/>
    </row>
    <row r="119" ht="15.75" customHeight="1">
      <c r="A119" s="6" t="s">
        <v>720</v>
      </c>
      <c r="B119" s="6">
        <v>1041.0</v>
      </c>
      <c r="C119" s="6" t="s">
        <v>721</v>
      </c>
      <c r="D119" s="6" t="s">
        <v>262</v>
      </c>
      <c r="E119" s="6" t="s">
        <v>457</v>
      </c>
      <c r="F119" s="6" t="s">
        <v>131</v>
      </c>
      <c r="G119" s="6" t="s">
        <v>722</v>
      </c>
      <c r="H119" s="7" t="s">
        <v>133</v>
      </c>
      <c r="I119" s="5"/>
      <c r="J119" s="5" t="s">
        <v>136</v>
      </c>
      <c r="K119" s="5"/>
      <c r="L119" s="5"/>
      <c r="M119" s="5"/>
      <c r="N119" s="5"/>
      <c r="O119" s="5"/>
      <c r="P119" s="5"/>
      <c r="Q119" s="5"/>
      <c r="R119" s="5"/>
      <c r="S119" s="5"/>
      <c r="T119" s="5"/>
      <c r="U119" s="5"/>
      <c r="V119" s="5"/>
      <c r="W119" s="5"/>
      <c r="X119" s="5"/>
      <c r="Y119" s="5"/>
      <c r="Z119" s="5"/>
      <c r="AA119" s="5"/>
      <c r="AB119" s="5" t="str">
        <f>IFERROR(IF(VLOOKUP(D119,Revistas!$A$21:$C$400,3,FALSE)=0,"",VLOOKUP(D119,Revistas!$A$21:$C$400,3,FALSE)),"")</f>
        <v/>
      </c>
      <c r="AC119" s="5"/>
      <c r="AD119" s="5"/>
      <c r="AE119" s="5"/>
    </row>
    <row r="120" ht="15.75" customHeight="1">
      <c r="A120" s="6" t="s">
        <v>723</v>
      </c>
      <c r="B120" s="6">
        <v>1077.0</v>
      </c>
      <c r="C120" s="6" t="s">
        <v>724</v>
      </c>
      <c r="D120" s="6" t="s">
        <v>264</v>
      </c>
      <c r="E120" s="6" t="s">
        <v>307</v>
      </c>
      <c r="F120" s="6" t="s">
        <v>131</v>
      </c>
      <c r="G120" s="6" t="s">
        <v>725</v>
      </c>
      <c r="H120" s="7" t="s">
        <v>133</v>
      </c>
      <c r="I120" s="5"/>
      <c r="J120" s="5" t="s">
        <v>136</v>
      </c>
      <c r="K120" s="5"/>
      <c r="L120" s="5"/>
      <c r="M120" s="5"/>
      <c r="N120" s="5"/>
      <c r="O120" s="5"/>
      <c r="P120" s="5"/>
      <c r="Q120" s="5"/>
      <c r="R120" s="5"/>
      <c r="S120" s="5"/>
      <c r="T120" s="5"/>
      <c r="U120" s="5"/>
      <c r="V120" s="5"/>
      <c r="W120" s="5"/>
      <c r="X120" s="5"/>
      <c r="Y120" s="5"/>
      <c r="Z120" s="5"/>
      <c r="AA120" s="5"/>
      <c r="AB120" s="5" t="str">
        <f>IFERROR(IF(VLOOKUP(D120,Revistas!$A$21:$C$400,3,FALSE)=0,"",VLOOKUP(D120,Revistas!$A$21:$C$400,3,FALSE)),"")</f>
        <v>alto</v>
      </c>
      <c r="AC120" s="5"/>
      <c r="AD120" s="5"/>
      <c r="AE120" s="5"/>
    </row>
    <row r="121" ht="15.75" customHeight="1">
      <c r="A121" s="6" t="s">
        <v>726</v>
      </c>
      <c r="B121" s="6">
        <v>1135.0</v>
      </c>
      <c r="C121" s="6" t="s">
        <v>727</v>
      </c>
      <c r="D121" s="6" t="s">
        <v>315</v>
      </c>
      <c r="E121" s="6" t="s">
        <v>129</v>
      </c>
      <c r="F121" s="6" t="s">
        <v>131</v>
      </c>
      <c r="G121" s="6" t="s">
        <v>728</v>
      </c>
      <c r="H121" s="7" t="s">
        <v>133</v>
      </c>
      <c r="I121" s="5"/>
      <c r="J121" s="5" t="s">
        <v>136</v>
      </c>
      <c r="K121" s="5"/>
      <c r="L121" s="5"/>
      <c r="M121" s="5"/>
      <c r="N121" s="5"/>
      <c r="O121" s="5"/>
      <c r="P121" s="5"/>
      <c r="Q121" s="5"/>
      <c r="R121" s="5"/>
      <c r="S121" s="5"/>
      <c r="T121" s="5"/>
      <c r="U121" s="5"/>
      <c r="V121" s="5"/>
      <c r="W121" s="5"/>
      <c r="X121" s="5"/>
      <c r="Y121" s="5"/>
      <c r="Z121" s="5"/>
      <c r="AA121" s="5"/>
      <c r="AB121" s="5" t="str">
        <f>IFERROR(IF(VLOOKUP(D121,Revistas!$A$21:$C$400,3,FALSE)=0,"",VLOOKUP(D121,Revistas!$A$21:$C$400,3,FALSE)),"")</f>
        <v/>
      </c>
      <c r="AC121" s="5"/>
      <c r="AD121" s="5"/>
      <c r="AE121" s="5"/>
    </row>
    <row r="122" ht="15.75" customHeight="1">
      <c r="A122" s="6" t="s">
        <v>729</v>
      </c>
      <c r="B122" s="6">
        <v>1169.0</v>
      </c>
      <c r="C122" s="6" t="s">
        <v>730</v>
      </c>
      <c r="D122" s="6" t="s">
        <v>257</v>
      </c>
      <c r="E122" s="6" t="s">
        <v>129</v>
      </c>
      <c r="F122" s="6" t="s">
        <v>131</v>
      </c>
      <c r="G122" s="6" t="s">
        <v>731</v>
      </c>
      <c r="H122" s="7" t="s">
        <v>133</v>
      </c>
      <c r="I122" s="5"/>
      <c r="J122" s="5" t="s">
        <v>136</v>
      </c>
      <c r="K122" s="5"/>
      <c r="L122" s="5"/>
      <c r="M122" s="5"/>
      <c r="N122" s="5"/>
      <c r="O122" s="5"/>
      <c r="P122" s="5"/>
      <c r="Q122" s="5"/>
      <c r="R122" s="5"/>
      <c r="S122" s="5"/>
      <c r="T122" s="5"/>
      <c r="U122" s="5"/>
      <c r="V122" s="5"/>
      <c r="W122" s="5"/>
      <c r="X122" s="5"/>
      <c r="Y122" s="5"/>
      <c r="Z122" s="5"/>
      <c r="AA122" s="5"/>
      <c r="AB122" s="5" t="str">
        <f>IFERROR(IF(VLOOKUP(D122,Revistas!$A$21:$C$400,3,FALSE)=0,"",VLOOKUP(D122,Revistas!$A$21:$C$400,3,FALSE)),"")</f>
        <v/>
      </c>
      <c r="AC122" s="5"/>
      <c r="AD122" s="5"/>
      <c r="AE122" s="5"/>
    </row>
    <row r="123" ht="15.75" customHeight="1">
      <c r="A123" s="6" t="s">
        <v>732</v>
      </c>
      <c r="B123" s="6">
        <v>1230.0</v>
      </c>
      <c r="C123" s="6" t="s">
        <v>733</v>
      </c>
      <c r="D123" s="6" t="s">
        <v>356</v>
      </c>
      <c r="E123" s="6" t="s">
        <v>367</v>
      </c>
      <c r="F123" s="6" t="s">
        <v>131</v>
      </c>
      <c r="G123" s="6" t="s">
        <v>734</v>
      </c>
      <c r="H123" s="7" t="s">
        <v>133</v>
      </c>
      <c r="I123" s="5"/>
      <c r="J123" s="5" t="s">
        <v>136</v>
      </c>
      <c r="K123" s="5"/>
      <c r="L123" s="5"/>
      <c r="M123" s="5"/>
      <c r="N123" s="5"/>
      <c r="O123" s="5"/>
      <c r="P123" s="5"/>
      <c r="Q123" s="5"/>
      <c r="R123" s="5"/>
      <c r="S123" s="5"/>
      <c r="T123" s="5"/>
      <c r="U123" s="5"/>
      <c r="V123" s="5"/>
      <c r="W123" s="5"/>
      <c r="X123" s="5"/>
      <c r="Y123" s="5"/>
      <c r="Z123" s="5"/>
      <c r="AA123" s="5"/>
      <c r="AB123" s="5" t="str">
        <f>IFERROR(IF(VLOOKUP(D123,Revistas!$A$21:$C$400,3,FALSE)=0,"",VLOOKUP(D123,Revistas!$A$21:$C$400,3,FALSE)),"")</f>
        <v/>
      </c>
      <c r="AC123" s="5"/>
      <c r="AD123" s="5"/>
      <c r="AE123" s="5"/>
    </row>
    <row r="124" ht="15.75" customHeight="1">
      <c r="A124" s="6" t="s">
        <v>735</v>
      </c>
      <c r="B124" s="6">
        <v>1231.0</v>
      </c>
      <c r="C124" s="6" t="s">
        <v>736</v>
      </c>
      <c r="D124" s="6" t="s">
        <v>256</v>
      </c>
      <c r="E124" s="6" t="s">
        <v>151</v>
      </c>
      <c r="F124" s="6" t="s">
        <v>131</v>
      </c>
      <c r="G124" s="6" t="s">
        <v>737</v>
      </c>
      <c r="H124" s="7" t="s">
        <v>133</v>
      </c>
      <c r="I124" s="5"/>
      <c r="J124" s="5" t="s">
        <v>136</v>
      </c>
      <c r="K124" s="5"/>
      <c r="L124" s="5"/>
      <c r="M124" s="5"/>
      <c r="N124" s="5"/>
      <c r="O124" s="5"/>
      <c r="P124" s="5"/>
      <c r="Q124" s="5"/>
      <c r="R124" s="5"/>
      <c r="S124" s="5"/>
      <c r="T124" s="5"/>
      <c r="U124" s="5"/>
      <c r="V124" s="5"/>
      <c r="W124" s="5"/>
      <c r="X124" s="5"/>
      <c r="Y124" s="5"/>
      <c r="Z124" s="5"/>
      <c r="AA124" s="5"/>
      <c r="AB124" s="5" t="str">
        <f>IFERROR(IF(VLOOKUP(D124,Revistas!$A$21:$C$400,3,FALSE)=0,"",VLOOKUP(D124,Revistas!$A$21:$C$400,3,FALSE)),"")</f>
        <v>alto</v>
      </c>
      <c r="AC124" s="5"/>
      <c r="AD124" s="5"/>
      <c r="AE124" s="5"/>
    </row>
    <row r="125" ht="15.75" customHeight="1">
      <c r="A125" s="6" t="s">
        <v>738</v>
      </c>
      <c r="B125" s="6">
        <v>1243.0</v>
      </c>
      <c r="C125" s="6" t="s">
        <v>739</v>
      </c>
      <c r="D125" s="6" t="s">
        <v>115</v>
      </c>
      <c r="E125" s="6" t="s">
        <v>151</v>
      </c>
      <c r="F125" s="6" t="s">
        <v>131</v>
      </c>
      <c r="G125" s="6" t="s">
        <v>740</v>
      </c>
      <c r="H125" s="7" t="s">
        <v>133</v>
      </c>
      <c r="I125" s="5"/>
      <c r="J125" s="5" t="s">
        <v>136</v>
      </c>
      <c r="K125" s="5"/>
      <c r="L125" s="5"/>
      <c r="M125" s="5"/>
      <c r="N125" s="5"/>
      <c r="O125" s="5"/>
      <c r="P125" s="5"/>
      <c r="Q125" s="5"/>
      <c r="R125" s="5"/>
      <c r="S125" s="5"/>
      <c r="T125" s="5"/>
      <c r="U125" s="5"/>
      <c r="V125" s="5"/>
      <c r="W125" s="5"/>
      <c r="X125" s="5"/>
      <c r="Y125" s="5"/>
      <c r="Z125" s="5"/>
      <c r="AA125" s="5"/>
      <c r="AB125" s="5" t="str">
        <f>IFERROR(IF(VLOOKUP(D125,Revistas!$A$21:$C$400,3,FALSE)=0,"",VLOOKUP(D125,Revistas!$A$21:$C$400,3,FALSE)),"")</f>
        <v/>
      </c>
      <c r="AC125" s="5"/>
      <c r="AD125" s="5"/>
      <c r="AE125" s="5"/>
    </row>
    <row r="126" ht="15.75" customHeight="1">
      <c r="A126" s="6" t="s">
        <v>741</v>
      </c>
      <c r="B126" s="6">
        <v>1335.0</v>
      </c>
      <c r="C126" s="6" t="s">
        <v>742</v>
      </c>
      <c r="D126" s="6" t="s">
        <v>252</v>
      </c>
      <c r="E126" s="6" t="s">
        <v>336</v>
      </c>
      <c r="F126" s="6" t="s">
        <v>131</v>
      </c>
      <c r="G126" s="6" t="s">
        <v>743</v>
      </c>
      <c r="H126" s="7" t="s">
        <v>133</v>
      </c>
      <c r="I126" s="5"/>
      <c r="J126" s="5" t="s">
        <v>136</v>
      </c>
      <c r="K126" s="5"/>
      <c r="L126" s="5"/>
      <c r="M126" s="5"/>
      <c r="N126" s="5"/>
      <c r="O126" s="5"/>
      <c r="P126" s="5"/>
      <c r="Q126" s="5"/>
      <c r="R126" s="5"/>
      <c r="S126" s="5"/>
      <c r="T126" s="5"/>
      <c r="U126" s="5"/>
      <c r="V126" s="5"/>
      <c r="W126" s="5"/>
      <c r="X126" s="5"/>
      <c r="Y126" s="5"/>
      <c r="Z126" s="5"/>
      <c r="AA126" s="5"/>
      <c r="AB126" s="5" t="str">
        <f>IFERROR(IF(VLOOKUP(D126,Revistas!$A$21:$C$400,3,FALSE)=0,"",VLOOKUP(D126,Revistas!$A$21:$C$400,3,FALSE)),"")</f>
        <v/>
      </c>
      <c r="AC126" s="5"/>
      <c r="AD126" s="5"/>
      <c r="AE126" s="5"/>
    </row>
    <row r="127" ht="15.75" customHeight="1">
      <c r="A127" s="6" t="s">
        <v>744</v>
      </c>
      <c r="B127" s="6">
        <v>1401.0</v>
      </c>
      <c r="C127" s="6" t="s">
        <v>745</v>
      </c>
      <c r="D127" s="6" t="s">
        <v>64</v>
      </c>
      <c r="E127" s="6" t="s">
        <v>273</v>
      </c>
      <c r="F127" s="6" t="s">
        <v>131</v>
      </c>
      <c r="G127" s="6" t="s">
        <v>746</v>
      </c>
      <c r="H127" s="7" t="s">
        <v>133</v>
      </c>
      <c r="I127" s="5"/>
      <c r="J127" s="5" t="s">
        <v>136</v>
      </c>
      <c r="K127" s="5"/>
      <c r="L127" s="5"/>
      <c r="M127" s="5"/>
      <c r="N127" s="5"/>
      <c r="O127" s="5"/>
      <c r="P127" s="5"/>
      <c r="Q127" s="5"/>
      <c r="R127" s="5"/>
      <c r="S127" s="5"/>
      <c r="T127" s="5"/>
      <c r="U127" s="5"/>
      <c r="V127" s="5"/>
      <c r="W127" s="5"/>
      <c r="X127" s="5"/>
      <c r="Y127" s="5"/>
      <c r="Z127" s="5"/>
      <c r="AA127" s="5"/>
      <c r="AB127" s="5" t="str">
        <f>IFERROR(IF(VLOOKUP(D127,Revistas!$A$21:$C$400,3,FALSE)=0,"",VLOOKUP(D127,Revistas!$A$21:$C$400,3,FALSE)),"")</f>
        <v>medio</v>
      </c>
      <c r="AC127" s="5"/>
      <c r="AD127" s="5"/>
      <c r="AE127" s="5"/>
    </row>
    <row r="128" ht="15.75" customHeight="1">
      <c r="A128" s="6" t="s">
        <v>747</v>
      </c>
      <c r="B128" s="6">
        <v>1630.0</v>
      </c>
      <c r="C128" s="6" t="s">
        <v>748</v>
      </c>
      <c r="D128" s="6" t="s">
        <v>124</v>
      </c>
      <c r="E128" s="6" t="s">
        <v>345</v>
      </c>
      <c r="F128" s="6" t="s">
        <v>131</v>
      </c>
      <c r="G128" s="6" t="s">
        <v>749</v>
      </c>
      <c r="H128" s="7" t="s">
        <v>133</v>
      </c>
      <c r="I128" s="5"/>
      <c r="J128" s="5" t="s">
        <v>136</v>
      </c>
      <c r="K128" s="5"/>
      <c r="L128" s="5"/>
      <c r="M128" s="5"/>
      <c r="N128" s="5"/>
      <c r="O128" s="5"/>
      <c r="P128" s="5"/>
      <c r="Q128" s="5"/>
      <c r="R128" s="5"/>
      <c r="S128" s="5"/>
      <c r="T128" s="5"/>
      <c r="U128" s="5"/>
      <c r="V128" s="5"/>
      <c r="W128" s="5"/>
      <c r="X128" s="5"/>
      <c r="Y128" s="5"/>
      <c r="Z128" s="5"/>
      <c r="AA128" s="5"/>
      <c r="AB128" s="5" t="str">
        <f>IFERROR(IF(VLOOKUP(D128,Revistas!$A$21:$C$400,3,FALSE)=0,"",VLOOKUP(D128,Revistas!$A$21:$C$400,3,FALSE)),"")</f>
        <v/>
      </c>
      <c r="AC128" s="5"/>
      <c r="AD128" s="5"/>
      <c r="AE128" s="5"/>
    </row>
    <row r="129" ht="15.75" customHeight="1">
      <c r="A129" s="6" t="s">
        <v>750</v>
      </c>
      <c r="B129" s="6">
        <v>1842.0</v>
      </c>
      <c r="C129" s="6" t="s">
        <v>751</v>
      </c>
      <c r="D129" s="6" t="s">
        <v>64</v>
      </c>
      <c r="E129" s="6" t="s">
        <v>367</v>
      </c>
      <c r="F129" s="6" t="s">
        <v>131</v>
      </c>
      <c r="G129" s="6" t="s">
        <v>752</v>
      </c>
      <c r="H129" s="7" t="s">
        <v>133</v>
      </c>
      <c r="I129" s="5"/>
      <c r="J129" s="5" t="s">
        <v>136</v>
      </c>
      <c r="K129" s="5"/>
      <c r="L129" s="5"/>
      <c r="M129" s="5"/>
      <c r="N129" s="5"/>
      <c r="O129" s="5"/>
      <c r="P129" s="5"/>
      <c r="Q129" s="5"/>
      <c r="R129" s="5"/>
      <c r="S129" s="5"/>
      <c r="T129" s="5"/>
      <c r="U129" s="5"/>
      <c r="V129" s="5"/>
      <c r="W129" s="5"/>
      <c r="X129" s="5"/>
      <c r="Y129" s="5"/>
      <c r="Z129" s="5"/>
      <c r="AA129" s="5"/>
      <c r="AB129" s="5" t="str">
        <f>IFERROR(IF(VLOOKUP(D129,Revistas!$A$21:$C$400,3,FALSE)=0,"",VLOOKUP(D129,Revistas!$A$21:$C$400,3,FALSE)),"")</f>
        <v>medio</v>
      </c>
      <c r="AC129" s="5"/>
      <c r="AD129" s="5"/>
      <c r="AE129" s="5"/>
    </row>
    <row r="130" ht="15.75" customHeight="1">
      <c r="A130" s="6" t="s">
        <v>753</v>
      </c>
      <c r="B130" s="6">
        <v>2071.0</v>
      </c>
      <c r="C130" s="6" t="s">
        <v>754</v>
      </c>
      <c r="D130" s="6" t="s">
        <v>265</v>
      </c>
      <c r="E130" s="6" t="s">
        <v>457</v>
      </c>
      <c r="F130" s="6" t="s">
        <v>131</v>
      </c>
      <c r="G130" s="6" t="s">
        <v>755</v>
      </c>
      <c r="H130" s="7" t="s">
        <v>133</v>
      </c>
      <c r="I130" s="5"/>
      <c r="J130" s="5" t="s">
        <v>136</v>
      </c>
      <c r="K130" s="5"/>
      <c r="L130" s="5"/>
      <c r="M130" s="5"/>
      <c r="N130" s="5"/>
      <c r="O130" s="5"/>
      <c r="P130" s="5"/>
      <c r="Q130" s="5"/>
      <c r="R130" s="5"/>
      <c r="S130" s="5"/>
      <c r="T130" s="5"/>
      <c r="U130" s="5"/>
      <c r="V130" s="5"/>
      <c r="W130" s="5"/>
      <c r="X130" s="5"/>
      <c r="Y130" s="5"/>
      <c r="Z130" s="5"/>
      <c r="AA130" s="5"/>
      <c r="AB130" s="5" t="str">
        <f>IFERROR(IF(VLOOKUP(D130,Revistas!$A$21:$C$400,3,FALSE)=0,"",VLOOKUP(D130,Revistas!$A$21:$C$400,3,FALSE)),"")</f>
        <v/>
      </c>
      <c r="AC130" s="5"/>
      <c r="AD130" s="5"/>
      <c r="AE130" s="5"/>
    </row>
    <row r="131" ht="15.75" customHeight="1">
      <c r="A131" s="6" t="s">
        <v>756</v>
      </c>
      <c r="B131" s="6">
        <v>2072.0</v>
      </c>
      <c r="C131" s="6" t="s">
        <v>757</v>
      </c>
      <c r="D131" s="6" t="s">
        <v>93</v>
      </c>
      <c r="E131" s="6" t="s">
        <v>307</v>
      </c>
      <c r="F131" s="6" t="s">
        <v>131</v>
      </c>
      <c r="G131" s="6" t="s">
        <v>758</v>
      </c>
      <c r="H131" s="7" t="s">
        <v>133</v>
      </c>
      <c r="I131" s="5"/>
      <c r="J131" s="5" t="s">
        <v>136</v>
      </c>
      <c r="K131" s="5"/>
      <c r="L131" s="5"/>
      <c r="M131" s="5"/>
      <c r="N131" s="5"/>
      <c r="O131" s="5"/>
      <c r="P131" s="5"/>
      <c r="Q131" s="5"/>
      <c r="R131" s="5"/>
      <c r="S131" s="5"/>
      <c r="T131" s="5"/>
      <c r="U131" s="5"/>
      <c r="V131" s="5"/>
      <c r="W131" s="5"/>
      <c r="X131" s="5"/>
      <c r="Y131" s="5"/>
      <c r="Z131" s="5"/>
      <c r="AA131" s="5"/>
      <c r="AB131" s="5" t="str">
        <f>IFERROR(IF(VLOOKUP(D131,Revistas!$A$21:$C$400,3,FALSE)=0,"",VLOOKUP(D131,Revistas!$A$21:$C$400,3,FALSE)),"")</f>
        <v>medio</v>
      </c>
      <c r="AC131" s="5"/>
      <c r="AD131" s="5"/>
      <c r="AE131" s="5"/>
    </row>
    <row r="132" ht="15.75" customHeight="1">
      <c r="A132" s="6" t="s">
        <v>759</v>
      </c>
      <c r="B132" s="6">
        <v>2162.0</v>
      </c>
      <c r="C132" s="6" t="s">
        <v>760</v>
      </c>
      <c r="D132" s="6" t="s">
        <v>124</v>
      </c>
      <c r="E132" s="6" t="s">
        <v>129</v>
      </c>
      <c r="F132" s="6" t="s">
        <v>131</v>
      </c>
      <c r="G132" s="6" t="s">
        <v>761</v>
      </c>
      <c r="H132" s="7" t="s">
        <v>133</v>
      </c>
      <c r="I132" s="5"/>
      <c r="J132" s="5" t="s">
        <v>136</v>
      </c>
      <c r="K132" s="5"/>
      <c r="L132" s="5"/>
      <c r="M132" s="5"/>
      <c r="N132" s="5"/>
      <c r="O132" s="5"/>
      <c r="P132" s="5"/>
      <c r="Q132" s="5"/>
      <c r="R132" s="5"/>
      <c r="S132" s="5"/>
      <c r="T132" s="5"/>
      <c r="U132" s="5"/>
      <c r="V132" s="5"/>
      <c r="W132" s="5"/>
      <c r="X132" s="5"/>
      <c r="Y132" s="5"/>
      <c r="Z132" s="5"/>
      <c r="AA132" s="5"/>
      <c r="AB132" s="5" t="str">
        <f>IFERROR(IF(VLOOKUP(D132,Revistas!$A$21:$C$400,3,FALSE)=0,"",VLOOKUP(D132,Revistas!$A$21:$C$400,3,FALSE)),"")</f>
        <v/>
      </c>
      <c r="AC132" s="5"/>
      <c r="AD132" s="5"/>
      <c r="AE132" s="5"/>
    </row>
    <row r="133" ht="15.75" customHeight="1">
      <c r="A133" s="6" t="s">
        <v>762</v>
      </c>
      <c r="B133" s="6">
        <v>2197.0</v>
      </c>
      <c r="C133" s="6" t="s">
        <v>763</v>
      </c>
      <c r="D133" s="6" t="s">
        <v>253</v>
      </c>
      <c r="E133" s="6" t="s">
        <v>367</v>
      </c>
      <c r="F133" s="6" t="s">
        <v>131</v>
      </c>
      <c r="G133" s="6" t="s">
        <v>764</v>
      </c>
      <c r="H133" s="7" t="s">
        <v>133</v>
      </c>
      <c r="I133" s="5"/>
      <c r="J133" s="5" t="s">
        <v>136</v>
      </c>
      <c r="K133" s="5"/>
      <c r="L133" s="5"/>
      <c r="M133" s="5"/>
      <c r="N133" s="5"/>
      <c r="O133" s="5"/>
      <c r="P133" s="5"/>
      <c r="Q133" s="5"/>
      <c r="R133" s="5"/>
      <c r="S133" s="5"/>
      <c r="T133" s="5"/>
      <c r="U133" s="5"/>
      <c r="V133" s="5"/>
      <c r="W133" s="5"/>
      <c r="X133" s="5"/>
      <c r="Y133" s="5"/>
      <c r="Z133" s="5"/>
      <c r="AA133" s="5"/>
      <c r="AB133" s="5" t="str">
        <f>IFERROR(IF(VLOOKUP(D133,Revistas!$A$21:$C$400,3,FALSE)=0,"",VLOOKUP(D133,Revistas!$A$21:$C$400,3,FALSE)),"")</f>
        <v/>
      </c>
      <c r="AC133" s="5"/>
      <c r="AD133" s="5"/>
      <c r="AE133" s="5"/>
    </row>
    <row r="134" ht="15.75" customHeight="1">
      <c r="A134" s="6" t="s">
        <v>765</v>
      </c>
      <c r="B134" s="6">
        <v>2256.0</v>
      </c>
      <c r="C134" s="6" t="s">
        <v>766</v>
      </c>
      <c r="D134" s="6" t="s">
        <v>124</v>
      </c>
      <c r="E134" s="6" t="s">
        <v>336</v>
      </c>
      <c r="F134" s="6" t="s">
        <v>131</v>
      </c>
      <c r="G134" s="6" t="s">
        <v>767</v>
      </c>
      <c r="H134" s="7" t="s">
        <v>133</v>
      </c>
      <c r="I134" s="5"/>
      <c r="J134" s="5" t="s">
        <v>136</v>
      </c>
      <c r="K134" s="5"/>
      <c r="L134" s="5"/>
      <c r="M134" s="5"/>
      <c r="N134" s="5"/>
      <c r="O134" s="5"/>
      <c r="P134" s="5"/>
      <c r="Q134" s="5"/>
      <c r="R134" s="5"/>
      <c r="S134" s="5"/>
      <c r="T134" s="5"/>
      <c r="U134" s="5"/>
      <c r="V134" s="5"/>
      <c r="W134" s="5"/>
      <c r="X134" s="5"/>
      <c r="Y134" s="5"/>
      <c r="Z134" s="5"/>
      <c r="AA134" s="5"/>
      <c r="AB134" s="5" t="str">
        <f>IFERROR(IF(VLOOKUP(D134,Revistas!$A$21:$C$400,3,FALSE)=0,"",VLOOKUP(D134,Revistas!$A$21:$C$400,3,FALSE)),"")</f>
        <v/>
      </c>
      <c r="AC134" s="5"/>
      <c r="AD134" s="5"/>
      <c r="AE134" s="5"/>
    </row>
    <row r="135" ht="15.75" customHeight="1">
      <c r="A135" s="6" t="s">
        <v>768</v>
      </c>
      <c r="B135" s="6">
        <v>2259.0</v>
      </c>
      <c r="C135" s="6" t="s">
        <v>769</v>
      </c>
      <c r="D135" s="6" t="s">
        <v>250</v>
      </c>
      <c r="E135" s="6" t="s">
        <v>336</v>
      </c>
      <c r="F135" s="6" t="s">
        <v>131</v>
      </c>
      <c r="G135" s="6" t="s">
        <v>770</v>
      </c>
      <c r="H135" s="7" t="s">
        <v>133</v>
      </c>
      <c r="I135" s="5"/>
      <c r="J135" s="5" t="s">
        <v>136</v>
      </c>
      <c r="K135" s="5"/>
      <c r="L135" s="5"/>
      <c r="M135" s="5"/>
      <c r="N135" s="5"/>
      <c r="O135" s="5"/>
      <c r="P135" s="5"/>
      <c r="Q135" s="5"/>
      <c r="R135" s="5"/>
      <c r="S135" s="5"/>
      <c r="T135" s="5"/>
      <c r="U135" s="5"/>
      <c r="V135" s="5"/>
      <c r="W135" s="5"/>
      <c r="X135" s="5"/>
      <c r="Y135" s="5"/>
      <c r="Z135" s="5"/>
      <c r="AA135" s="5"/>
      <c r="AB135" s="5" t="str">
        <f>IFERROR(IF(VLOOKUP(D135,Revistas!$A$21:$C$400,3,FALSE)=0,"",VLOOKUP(D135,Revistas!$A$21:$C$400,3,FALSE)),"")</f>
        <v/>
      </c>
      <c r="AC135" s="5"/>
      <c r="AD135" s="5"/>
      <c r="AE135" s="5"/>
    </row>
    <row r="136" ht="15.75" customHeight="1">
      <c r="A136" s="6" t="s">
        <v>771</v>
      </c>
      <c r="B136" s="6">
        <v>2304.0</v>
      </c>
      <c r="C136" s="6" t="s">
        <v>772</v>
      </c>
      <c r="D136" s="6" t="s">
        <v>396</v>
      </c>
      <c r="E136" s="6" t="s">
        <v>336</v>
      </c>
      <c r="F136" s="6" t="s">
        <v>131</v>
      </c>
      <c r="G136" s="6" t="s">
        <v>773</v>
      </c>
      <c r="H136" s="7" t="s">
        <v>133</v>
      </c>
      <c r="I136" s="5"/>
      <c r="J136" s="5" t="s">
        <v>136</v>
      </c>
      <c r="K136" s="5"/>
      <c r="L136" s="5"/>
      <c r="M136" s="5"/>
      <c r="N136" s="5"/>
      <c r="O136" s="5"/>
      <c r="P136" s="5"/>
      <c r="Q136" s="5"/>
      <c r="R136" s="5"/>
      <c r="S136" s="5"/>
      <c r="T136" s="5"/>
      <c r="U136" s="5"/>
      <c r="V136" s="5"/>
      <c r="W136" s="5"/>
      <c r="X136" s="5"/>
      <c r="Y136" s="5"/>
      <c r="Z136" s="5"/>
      <c r="AA136" s="5"/>
      <c r="AB136" s="5" t="str">
        <f>IFERROR(IF(VLOOKUP(D136,Revistas!$A$21:$C$400,3,FALSE)=0,"",VLOOKUP(D136,Revistas!$A$21:$C$400,3,FALSE)),"")</f>
        <v/>
      </c>
      <c r="AC136" s="5"/>
      <c r="AD136" s="5"/>
      <c r="AE136" s="5"/>
    </row>
    <row r="137" ht="15.75" customHeight="1">
      <c r="A137" s="6" t="s">
        <v>774</v>
      </c>
      <c r="B137" s="6">
        <v>2313.0</v>
      </c>
      <c r="C137" s="6" t="s">
        <v>775</v>
      </c>
      <c r="D137" s="6" t="s">
        <v>269</v>
      </c>
      <c r="E137" s="6" t="s">
        <v>336</v>
      </c>
      <c r="F137" s="6" t="s">
        <v>131</v>
      </c>
      <c r="G137" s="6" t="s">
        <v>776</v>
      </c>
      <c r="H137" s="7" t="s">
        <v>133</v>
      </c>
      <c r="I137" s="5"/>
      <c r="J137" s="5" t="s">
        <v>136</v>
      </c>
      <c r="K137" s="5"/>
      <c r="L137" s="5"/>
      <c r="M137" s="5"/>
      <c r="N137" s="5"/>
      <c r="O137" s="5"/>
      <c r="P137" s="5"/>
      <c r="Q137" s="5"/>
      <c r="R137" s="5"/>
      <c r="S137" s="5"/>
      <c r="T137" s="5"/>
      <c r="U137" s="5"/>
      <c r="V137" s="5"/>
      <c r="W137" s="5"/>
      <c r="X137" s="5"/>
      <c r="Y137" s="5"/>
      <c r="Z137" s="5"/>
      <c r="AA137" s="5"/>
      <c r="AB137" s="5" t="str">
        <f>IFERROR(IF(VLOOKUP(D137,Revistas!$A$21:$C$400,3,FALSE)=0,"",VLOOKUP(D137,Revistas!$A$21:$C$400,3,FALSE)),"")</f>
        <v>medio</v>
      </c>
      <c r="AC137" s="5"/>
      <c r="AD137" s="5"/>
      <c r="AE137" s="5"/>
    </row>
    <row r="138" ht="15.75" customHeight="1">
      <c r="A138" s="6" t="s">
        <v>777</v>
      </c>
      <c r="B138" s="6">
        <v>2743.0</v>
      </c>
      <c r="C138" s="6" t="s">
        <v>778</v>
      </c>
      <c r="D138" s="6" t="s">
        <v>391</v>
      </c>
      <c r="E138" s="6" t="s">
        <v>709</v>
      </c>
      <c r="F138" s="6" t="s">
        <v>131</v>
      </c>
      <c r="G138" s="6" t="s">
        <v>779</v>
      </c>
      <c r="H138" s="7" t="s">
        <v>133</v>
      </c>
      <c r="I138" s="5"/>
      <c r="J138" s="5" t="s">
        <v>136</v>
      </c>
      <c r="K138" s="5"/>
      <c r="L138" s="5"/>
      <c r="M138" s="5"/>
      <c r="N138" s="5"/>
      <c r="O138" s="5"/>
      <c r="P138" s="5"/>
      <c r="Q138" s="5"/>
      <c r="R138" s="5"/>
      <c r="S138" s="5"/>
      <c r="T138" s="5"/>
      <c r="U138" s="5"/>
      <c r="V138" s="5"/>
      <c r="W138" s="5"/>
      <c r="X138" s="5"/>
      <c r="Y138" s="5"/>
      <c r="Z138" s="5"/>
      <c r="AA138" s="5"/>
      <c r="AB138" s="5" t="str">
        <f>IFERROR(IF(VLOOKUP(D138,Revistas!$A$21:$C$400,3,FALSE)=0,"",VLOOKUP(D138,Revistas!$A$21:$C$400,3,FALSE)),"")</f>
        <v/>
      </c>
      <c r="AC138" s="5"/>
      <c r="AD138" s="5"/>
      <c r="AE138" s="5"/>
    </row>
    <row r="139" ht="15.75" customHeight="1">
      <c r="A139" s="6" t="s">
        <v>780</v>
      </c>
      <c r="B139" s="6">
        <v>2744.0</v>
      </c>
      <c r="C139" s="6" t="s">
        <v>781</v>
      </c>
      <c r="D139" s="6" t="s">
        <v>323</v>
      </c>
      <c r="E139" s="6" t="s">
        <v>709</v>
      </c>
      <c r="F139" s="6" t="s">
        <v>131</v>
      </c>
      <c r="G139" s="6" t="s">
        <v>782</v>
      </c>
      <c r="H139" s="7" t="s">
        <v>133</v>
      </c>
      <c r="I139" s="5"/>
      <c r="J139" s="5" t="s">
        <v>136</v>
      </c>
      <c r="K139" s="5"/>
      <c r="L139" s="5"/>
      <c r="M139" s="5"/>
      <c r="N139" s="5"/>
      <c r="O139" s="5"/>
      <c r="P139" s="5"/>
      <c r="Q139" s="5"/>
      <c r="R139" s="5"/>
      <c r="S139" s="5"/>
      <c r="T139" s="5"/>
      <c r="U139" s="5"/>
      <c r="V139" s="5"/>
      <c r="W139" s="5"/>
      <c r="X139" s="5"/>
      <c r="Y139" s="5"/>
      <c r="Z139" s="5"/>
      <c r="AA139" s="5"/>
      <c r="AB139" s="5" t="str">
        <f>IFERROR(IF(VLOOKUP(D139,Revistas!$A$21:$C$400,3,FALSE)=0,"",VLOOKUP(D139,Revistas!$A$21:$C$400,3,FALSE)),"")</f>
        <v/>
      </c>
      <c r="AC139" s="5"/>
      <c r="AD139" s="5"/>
      <c r="AE139" s="5"/>
    </row>
    <row r="140" ht="15.75" customHeight="1">
      <c r="A140" s="6" t="s">
        <v>783</v>
      </c>
      <c r="B140" s="6">
        <v>2904.0</v>
      </c>
      <c r="C140" s="6" t="s">
        <v>784</v>
      </c>
      <c r="D140" s="6" t="s">
        <v>127</v>
      </c>
      <c r="E140" s="6" t="s">
        <v>307</v>
      </c>
      <c r="F140" s="6" t="s">
        <v>131</v>
      </c>
      <c r="G140" s="6" t="s">
        <v>785</v>
      </c>
      <c r="H140" s="7" t="s">
        <v>133</v>
      </c>
      <c r="I140" s="5"/>
      <c r="J140" s="5" t="s">
        <v>136</v>
      </c>
      <c r="K140" s="5"/>
      <c r="L140" s="5"/>
      <c r="M140" s="5"/>
      <c r="N140" s="5"/>
      <c r="O140" s="5"/>
      <c r="P140" s="5"/>
      <c r="Q140" s="5"/>
      <c r="R140" s="5"/>
      <c r="S140" s="5"/>
      <c r="T140" s="5"/>
      <c r="U140" s="5"/>
      <c r="V140" s="5"/>
      <c r="W140" s="5"/>
      <c r="X140" s="5"/>
      <c r="Y140" s="5"/>
      <c r="Z140" s="5"/>
      <c r="AA140" s="5"/>
      <c r="AB140" s="5" t="str">
        <f>IFERROR(IF(VLOOKUP(D140,Revistas!$A$21:$C$400,3,FALSE)=0,"",VLOOKUP(D140,Revistas!$A$21:$C$400,3,FALSE)),"")</f>
        <v/>
      </c>
      <c r="AC140" s="5"/>
      <c r="AD140" s="5"/>
      <c r="AE140" s="5"/>
    </row>
    <row r="141" ht="15.75" customHeight="1">
      <c r="A141" s="6" t="s">
        <v>786</v>
      </c>
      <c r="B141" s="6">
        <v>2929.0</v>
      </c>
      <c r="C141" s="6" t="s">
        <v>787</v>
      </c>
      <c r="D141" s="6" t="s">
        <v>358</v>
      </c>
      <c r="E141" s="6" t="s">
        <v>225</v>
      </c>
      <c r="F141" s="6" t="s">
        <v>131</v>
      </c>
      <c r="G141" s="6" t="s">
        <v>788</v>
      </c>
      <c r="H141" s="7" t="s">
        <v>133</v>
      </c>
      <c r="I141" s="5"/>
      <c r="J141" s="5" t="s">
        <v>136</v>
      </c>
      <c r="K141" s="5"/>
      <c r="L141" s="5"/>
      <c r="M141" s="5"/>
      <c r="N141" s="5"/>
      <c r="O141" s="5"/>
      <c r="P141" s="5"/>
      <c r="Q141" s="5"/>
      <c r="R141" s="5"/>
      <c r="S141" s="5"/>
      <c r="T141" s="5"/>
      <c r="U141" s="5"/>
      <c r="V141" s="5"/>
      <c r="W141" s="5"/>
      <c r="X141" s="5"/>
      <c r="Y141" s="5"/>
      <c r="Z141" s="5"/>
      <c r="AA141" s="5"/>
      <c r="AB141" s="5" t="str">
        <f>IFERROR(IF(VLOOKUP(D141,Revistas!$A$21:$C$400,3,FALSE)=0,"",VLOOKUP(D141,Revistas!$A$21:$C$400,3,FALSE)),"")</f>
        <v/>
      </c>
      <c r="AC141" s="5"/>
      <c r="AD141" s="5"/>
      <c r="AE141" s="5"/>
    </row>
    <row r="142" ht="15.75" customHeight="1">
      <c r="A142" s="6" t="s">
        <v>789</v>
      </c>
      <c r="B142" s="6">
        <v>2998.0</v>
      </c>
      <c r="C142" s="6" t="s">
        <v>790</v>
      </c>
      <c r="D142" s="6" t="s">
        <v>359</v>
      </c>
      <c r="E142" s="6" t="s">
        <v>129</v>
      </c>
      <c r="F142" s="6" t="s">
        <v>131</v>
      </c>
      <c r="G142" s="6" t="s">
        <v>791</v>
      </c>
      <c r="H142" s="7" t="s">
        <v>133</v>
      </c>
      <c r="I142" s="5"/>
      <c r="J142" s="5" t="s">
        <v>136</v>
      </c>
      <c r="K142" s="5"/>
      <c r="L142" s="5"/>
      <c r="M142" s="5"/>
      <c r="N142" s="5"/>
      <c r="O142" s="5"/>
      <c r="P142" s="5"/>
      <c r="Q142" s="5"/>
      <c r="R142" s="5"/>
      <c r="S142" s="5"/>
      <c r="T142" s="5"/>
      <c r="U142" s="5"/>
      <c r="V142" s="5"/>
      <c r="W142" s="5"/>
      <c r="X142" s="5"/>
      <c r="Y142" s="5"/>
      <c r="Z142" s="5"/>
      <c r="AA142" s="5"/>
      <c r="AB142" s="5" t="str">
        <f>IFERROR(IF(VLOOKUP(D142,Revistas!$A$21:$C$400,3,FALSE)=0,"",VLOOKUP(D142,Revistas!$A$21:$C$400,3,FALSE)),"")</f>
        <v/>
      </c>
      <c r="AC142" s="5"/>
      <c r="AD142" s="5"/>
      <c r="AE142" s="5"/>
    </row>
    <row r="143" ht="15.75" customHeight="1">
      <c r="A143" s="6" t="s">
        <v>792</v>
      </c>
      <c r="B143" s="6">
        <v>3020.0</v>
      </c>
      <c r="C143" s="6" t="s">
        <v>793</v>
      </c>
      <c r="D143" s="6" t="s">
        <v>397</v>
      </c>
      <c r="E143" s="6" t="s">
        <v>129</v>
      </c>
      <c r="F143" s="6" t="s">
        <v>131</v>
      </c>
      <c r="G143" s="6" t="s">
        <v>794</v>
      </c>
      <c r="H143" s="7" t="s">
        <v>133</v>
      </c>
      <c r="I143" s="5"/>
      <c r="J143" s="5" t="s">
        <v>136</v>
      </c>
      <c r="K143" s="5"/>
      <c r="L143" s="5"/>
      <c r="M143" s="5"/>
      <c r="N143" s="5"/>
      <c r="O143" s="5"/>
      <c r="P143" s="5"/>
      <c r="Q143" s="5"/>
      <c r="R143" s="5"/>
      <c r="S143" s="5"/>
      <c r="T143" s="5"/>
      <c r="U143" s="5"/>
      <c r="V143" s="5"/>
      <c r="W143" s="5"/>
      <c r="X143" s="5"/>
      <c r="Y143" s="5"/>
      <c r="Z143" s="5"/>
      <c r="AA143" s="5"/>
      <c r="AB143" s="5" t="str">
        <f>IFERROR(IF(VLOOKUP(D143,Revistas!$A$21:$C$400,3,FALSE)=0,"",VLOOKUP(D143,Revistas!$A$21:$C$400,3,FALSE)),"")</f>
        <v/>
      </c>
      <c r="AC143" s="5"/>
      <c r="AD143" s="5"/>
      <c r="AE143" s="5"/>
    </row>
    <row r="144" ht="15.75" customHeight="1">
      <c r="A144" s="6" t="s">
        <v>795</v>
      </c>
      <c r="B144" s="6">
        <v>3128.0</v>
      </c>
      <c r="C144" s="6" t="s">
        <v>796</v>
      </c>
      <c r="D144" s="6" t="s">
        <v>797</v>
      </c>
      <c r="E144" s="6" t="s">
        <v>367</v>
      </c>
      <c r="F144" s="6" t="s">
        <v>131</v>
      </c>
      <c r="G144" s="6" t="s">
        <v>798</v>
      </c>
      <c r="H144" s="7" t="s">
        <v>133</v>
      </c>
      <c r="I144" s="5"/>
      <c r="J144" s="5" t="s">
        <v>136</v>
      </c>
      <c r="K144" s="5"/>
      <c r="L144" s="5"/>
      <c r="M144" s="5"/>
      <c r="N144" s="5"/>
      <c r="O144" s="5"/>
      <c r="P144" s="5"/>
      <c r="Q144" s="5"/>
      <c r="R144" s="5"/>
      <c r="S144" s="5"/>
      <c r="T144" s="5"/>
      <c r="U144" s="5"/>
      <c r="V144" s="5"/>
      <c r="W144" s="5"/>
      <c r="X144" s="5"/>
      <c r="Y144" s="5"/>
      <c r="Z144" s="5"/>
      <c r="AA144" s="5"/>
      <c r="AB144" s="5" t="str">
        <f>IFERROR(IF(VLOOKUP(D144,Revistas!$A$21:$C$400,3,FALSE)=0,"",VLOOKUP(D144,Revistas!$A$21:$C$400,3,FALSE)),"")</f>
        <v/>
      </c>
      <c r="AC144" s="5"/>
      <c r="AD144" s="5"/>
      <c r="AE144" s="5"/>
    </row>
    <row r="145" ht="15.75" customHeight="1">
      <c r="A145" s="6" t="s">
        <v>799</v>
      </c>
      <c r="B145" s="6">
        <v>3311.0</v>
      </c>
      <c r="C145" s="6" t="s">
        <v>800</v>
      </c>
      <c r="D145" s="6" t="s">
        <v>268</v>
      </c>
      <c r="E145" s="6" t="s">
        <v>151</v>
      </c>
      <c r="F145" s="6" t="s">
        <v>131</v>
      </c>
      <c r="G145" s="6" t="s">
        <v>801</v>
      </c>
      <c r="H145" s="7" t="s">
        <v>133</v>
      </c>
      <c r="I145" s="5"/>
      <c r="J145" s="5" t="s">
        <v>136</v>
      </c>
      <c r="K145" s="5"/>
      <c r="L145" s="5"/>
      <c r="M145" s="5"/>
      <c r="N145" s="5"/>
      <c r="O145" s="5"/>
      <c r="P145" s="5"/>
      <c r="Q145" s="5"/>
      <c r="R145" s="5"/>
      <c r="S145" s="5"/>
      <c r="T145" s="5"/>
      <c r="U145" s="5"/>
      <c r="V145" s="5"/>
      <c r="W145" s="5"/>
      <c r="X145" s="5"/>
      <c r="Y145" s="5"/>
      <c r="Z145" s="5"/>
      <c r="AA145" s="5"/>
      <c r="AB145" s="5" t="str">
        <f>IFERROR(IF(VLOOKUP(D145,Revistas!$A$21:$C$400,3,FALSE)=0,"",VLOOKUP(D145,Revistas!$A$21:$C$400,3,FALSE)),"")</f>
        <v/>
      </c>
      <c r="AC145" s="5"/>
      <c r="AD145" s="5"/>
      <c r="AE145" s="5"/>
    </row>
    <row r="146" ht="15.75" customHeight="1">
      <c r="A146" s="6" t="s">
        <v>802</v>
      </c>
      <c r="B146" s="6">
        <v>3346.0</v>
      </c>
      <c r="C146" s="6" t="s">
        <v>803</v>
      </c>
      <c r="D146" s="6" t="s">
        <v>93</v>
      </c>
      <c r="E146" s="6" t="s">
        <v>151</v>
      </c>
      <c r="F146" s="6" t="s">
        <v>131</v>
      </c>
      <c r="G146" s="6" t="s">
        <v>804</v>
      </c>
      <c r="H146" s="7" t="s">
        <v>133</v>
      </c>
      <c r="I146" s="5"/>
      <c r="J146" s="5" t="s">
        <v>136</v>
      </c>
      <c r="K146" s="5"/>
      <c r="L146" s="5"/>
      <c r="M146" s="5"/>
      <c r="N146" s="5"/>
      <c r="O146" s="5"/>
      <c r="P146" s="5"/>
      <c r="Q146" s="5"/>
      <c r="R146" s="5"/>
      <c r="S146" s="5"/>
      <c r="T146" s="5"/>
      <c r="U146" s="5"/>
      <c r="V146" s="5"/>
      <c r="W146" s="5"/>
      <c r="X146" s="5"/>
      <c r="Y146" s="5"/>
      <c r="Z146" s="5"/>
      <c r="AA146" s="5"/>
      <c r="AB146" s="5" t="str">
        <f>IFERROR(IF(VLOOKUP(D146,Revistas!$A$21:$C$400,3,FALSE)=0,"",VLOOKUP(D146,Revistas!$A$21:$C$400,3,FALSE)),"")</f>
        <v>medio</v>
      </c>
      <c r="AC146" s="5"/>
      <c r="AD146" s="5"/>
      <c r="AE146" s="5"/>
    </row>
    <row r="147" ht="15.75" customHeight="1">
      <c r="A147" s="6" t="s">
        <v>805</v>
      </c>
      <c r="B147" s="6">
        <v>3688.0</v>
      </c>
      <c r="C147" s="6" t="s">
        <v>806</v>
      </c>
      <c r="D147" s="6" t="s">
        <v>376</v>
      </c>
      <c r="E147" s="6" t="s">
        <v>273</v>
      </c>
      <c r="F147" s="6" t="s">
        <v>131</v>
      </c>
      <c r="G147" s="6" t="s">
        <v>807</v>
      </c>
      <c r="H147" s="7" t="s">
        <v>133</v>
      </c>
      <c r="I147" s="5"/>
      <c r="J147" s="5" t="s">
        <v>136</v>
      </c>
      <c r="K147" s="5"/>
      <c r="L147" s="5"/>
      <c r="M147" s="5"/>
      <c r="N147" s="5"/>
      <c r="O147" s="5"/>
      <c r="P147" s="5"/>
      <c r="Q147" s="5"/>
      <c r="R147" s="5"/>
      <c r="S147" s="5"/>
      <c r="T147" s="5"/>
      <c r="U147" s="5"/>
      <c r="V147" s="5"/>
      <c r="W147" s="5"/>
      <c r="X147" s="5"/>
      <c r="Y147" s="5"/>
      <c r="Z147" s="5"/>
      <c r="AA147" s="5"/>
      <c r="AB147" s="5" t="str">
        <f>IFERROR(IF(VLOOKUP(D147,Revistas!$A$21:$C$400,3,FALSE)=0,"",VLOOKUP(D147,Revistas!$A$21:$C$400,3,FALSE)),"")</f>
        <v/>
      </c>
      <c r="AC147" s="5"/>
      <c r="AD147" s="5"/>
      <c r="AE147" s="5"/>
    </row>
    <row r="148" ht="15.75" customHeight="1">
      <c r="A148" s="6" t="s">
        <v>808</v>
      </c>
      <c r="B148" s="6">
        <v>3870.0</v>
      </c>
      <c r="C148" s="6" t="s">
        <v>809</v>
      </c>
      <c r="D148" s="6" t="s">
        <v>314</v>
      </c>
      <c r="E148" s="6" t="s">
        <v>345</v>
      </c>
      <c r="F148" s="6" t="s">
        <v>131</v>
      </c>
      <c r="G148" s="6" t="s">
        <v>810</v>
      </c>
      <c r="H148" s="7" t="s">
        <v>133</v>
      </c>
      <c r="I148" s="5"/>
      <c r="J148" s="5" t="s">
        <v>136</v>
      </c>
      <c r="K148" s="5"/>
      <c r="L148" s="5"/>
      <c r="M148" s="5"/>
      <c r="N148" s="5"/>
      <c r="O148" s="5"/>
      <c r="P148" s="5"/>
      <c r="Q148" s="5"/>
      <c r="R148" s="5"/>
      <c r="S148" s="5"/>
      <c r="T148" s="5"/>
      <c r="U148" s="5"/>
      <c r="V148" s="5"/>
      <c r="W148" s="5"/>
      <c r="X148" s="5"/>
      <c r="Y148" s="5"/>
      <c r="Z148" s="5"/>
      <c r="AA148" s="5"/>
      <c r="AB148" s="5" t="str">
        <f>IFERROR(IF(VLOOKUP(D148,Revistas!$A$21:$C$400,3,FALSE)=0,"",VLOOKUP(D148,Revistas!$A$21:$C$400,3,FALSE)),"")</f>
        <v/>
      </c>
      <c r="AC148" s="5"/>
      <c r="AD148" s="5"/>
      <c r="AE148" s="5"/>
    </row>
    <row r="149" ht="15.75" customHeight="1">
      <c r="A149" s="6" t="s">
        <v>811</v>
      </c>
      <c r="B149" s="6">
        <v>3891.0</v>
      </c>
      <c r="C149" s="6" t="s">
        <v>812</v>
      </c>
      <c r="D149" s="6" t="s">
        <v>321</v>
      </c>
      <c r="E149" s="6" t="s">
        <v>345</v>
      </c>
      <c r="F149" s="6" t="s">
        <v>131</v>
      </c>
      <c r="G149" s="6" t="s">
        <v>813</v>
      </c>
      <c r="H149" s="7" t="s">
        <v>133</v>
      </c>
      <c r="I149" s="5"/>
      <c r="J149" s="5" t="s">
        <v>136</v>
      </c>
      <c r="K149" s="5"/>
      <c r="L149" s="5"/>
      <c r="M149" s="5"/>
      <c r="N149" s="5"/>
      <c r="O149" s="5"/>
      <c r="P149" s="5"/>
      <c r="Q149" s="5"/>
      <c r="R149" s="5"/>
      <c r="S149" s="5"/>
      <c r="T149" s="5"/>
      <c r="U149" s="5"/>
      <c r="V149" s="5"/>
      <c r="W149" s="5"/>
      <c r="X149" s="5"/>
      <c r="Y149" s="5"/>
      <c r="Z149" s="5"/>
      <c r="AA149" s="5"/>
      <c r="AB149" s="5" t="str">
        <f>IFERROR(IF(VLOOKUP(D149,Revistas!$A$21:$C$400,3,FALSE)=0,"",VLOOKUP(D149,Revistas!$A$21:$C$400,3,FALSE)),"")</f>
        <v/>
      </c>
      <c r="AC149" s="5"/>
      <c r="AD149" s="5"/>
      <c r="AE149" s="5"/>
    </row>
    <row r="150" ht="15.75" customHeight="1">
      <c r="A150" s="6" t="s">
        <v>814</v>
      </c>
      <c r="B150" s="6">
        <v>4039.0</v>
      </c>
      <c r="C150" s="6" t="s">
        <v>815</v>
      </c>
      <c r="D150" s="6" t="s">
        <v>354</v>
      </c>
      <c r="E150" s="6" t="s">
        <v>225</v>
      </c>
      <c r="F150" s="6" t="s">
        <v>581</v>
      </c>
      <c r="G150" s="6" t="s">
        <v>816</v>
      </c>
      <c r="H150" s="7" t="s">
        <v>133</v>
      </c>
      <c r="I150" s="5"/>
      <c r="J150" s="5" t="s">
        <v>136</v>
      </c>
      <c r="K150" s="5"/>
      <c r="L150" s="5"/>
      <c r="M150" s="5"/>
      <c r="N150" s="5"/>
      <c r="O150" s="5"/>
      <c r="P150" s="5"/>
      <c r="Q150" s="5"/>
      <c r="R150" s="5"/>
      <c r="S150" s="5"/>
      <c r="T150" s="5"/>
      <c r="U150" s="5"/>
      <c r="V150" s="5"/>
      <c r="W150" s="5"/>
      <c r="X150" s="5"/>
      <c r="Y150" s="5"/>
      <c r="Z150" s="5"/>
      <c r="AA150" s="5"/>
      <c r="AB150" s="5" t="str">
        <f>IFERROR(IF(VLOOKUP(D150,Revistas!$A$21:$C$400,3,FALSE)=0,"",VLOOKUP(D150,Revistas!$A$21:$C$400,3,FALSE)),"")</f>
        <v/>
      </c>
      <c r="AC150" s="5"/>
      <c r="AD150" s="5"/>
      <c r="AE150" s="5"/>
    </row>
    <row r="151" ht="15.75" customHeight="1">
      <c r="A151" s="6" t="s">
        <v>817</v>
      </c>
      <c r="B151" s="6">
        <v>4229.0</v>
      </c>
      <c r="C151" s="6" t="s">
        <v>818</v>
      </c>
      <c r="D151" s="6" t="s">
        <v>364</v>
      </c>
      <c r="E151" s="6" t="s">
        <v>336</v>
      </c>
      <c r="F151" s="6" t="s">
        <v>131</v>
      </c>
      <c r="G151" s="6" t="s">
        <v>819</v>
      </c>
      <c r="H151" s="7" t="s">
        <v>133</v>
      </c>
      <c r="I151" s="5"/>
      <c r="J151" s="5" t="s">
        <v>136</v>
      </c>
      <c r="K151" s="5"/>
      <c r="L151" s="5"/>
      <c r="M151" s="5"/>
      <c r="N151" s="5"/>
      <c r="O151" s="5"/>
      <c r="P151" s="5"/>
      <c r="Q151" s="5"/>
      <c r="R151" s="5"/>
      <c r="S151" s="5"/>
      <c r="T151" s="5"/>
      <c r="U151" s="5"/>
      <c r="V151" s="5"/>
      <c r="W151" s="5"/>
      <c r="X151" s="5"/>
      <c r="Y151" s="5"/>
      <c r="Z151" s="5"/>
      <c r="AA151" s="5"/>
      <c r="AB151" s="5" t="str">
        <f>IFERROR(IF(VLOOKUP(D151,Revistas!$A$21:$C$400,3,FALSE)=0,"",VLOOKUP(D151,Revistas!$A$21:$C$400,3,FALSE)),"")</f>
        <v/>
      </c>
      <c r="AC151" s="5"/>
      <c r="AD151" s="5"/>
      <c r="AE151" s="5"/>
    </row>
    <row r="152" ht="15.75" customHeight="1">
      <c r="A152" s="6" t="s">
        <v>820</v>
      </c>
      <c r="B152" s="6">
        <v>4805.0</v>
      </c>
      <c r="C152" s="6" t="s">
        <v>821</v>
      </c>
      <c r="D152" s="6" t="s">
        <v>262</v>
      </c>
      <c r="E152" s="6" t="s">
        <v>709</v>
      </c>
      <c r="F152" s="6" t="s">
        <v>131</v>
      </c>
      <c r="G152" s="6" t="s">
        <v>822</v>
      </c>
      <c r="H152" s="7" t="s">
        <v>133</v>
      </c>
      <c r="I152" s="5"/>
      <c r="J152" s="5" t="s">
        <v>136</v>
      </c>
      <c r="K152" s="5"/>
      <c r="L152" s="5"/>
      <c r="M152" s="5"/>
      <c r="N152" s="5"/>
      <c r="O152" s="5"/>
      <c r="P152" s="5"/>
      <c r="Q152" s="5"/>
      <c r="R152" s="5"/>
      <c r="S152" s="5"/>
      <c r="T152" s="5"/>
      <c r="U152" s="5"/>
      <c r="V152" s="5"/>
      <c r="W152" s="5"/>
      <c r="X152" s="5"/>
      <c r="Y152" s="5"/>
      <c r="Z152" s="5"/>
      <c r="AA152" s="5"/>
      <c r="AB152" s="5" t="str">
        <f>IFERROR(IF(VLOOKUP(D152,Revistas!$A$21:$C$400,3,FALSE)=0,"",VLOOKUP(D152,Revistas!$A$21:$C$400,3,FALSE)),"")</f>
        <v/>
      </c>
      <c r="AC152" s="5"/>
      <c r="AD152" s="5"/>
      <c r="AE152" s="5"/>
    </row>
    <row r="153" ht="15.75" customHeight="1">
      <c r="A153" s="6" t="s">
        <v>823</v>
      </c>
      <c r="B153" s="6">
        <v>5002.0</v>
      </c>
      <c r="C153" s="6" t="s">
        <v>824</v>
      </c>
      <c r="D153" s="6" t="s">
        <v>374</v>
      </c>
      <c r="E153" s="6" t="s">
        <v>307</v>
      </c>
      <c r="F153" s="6" t="s">
        <v>131</v>
      </c>
      <c r="G153" s="6" t="s">
        <v>825</v>
      </c>
      <c r="H153" s="7" t="s">
        <v>133</v>
      </c>
      <c r="I153" s="5"/>
      <c r="J153" s="5" t="s">
        <v>136</v>
      </c>
      <c r="K153" s="5"/>
      <c r="L153" s="5"/>
      <c r="M153" s="5"/>
      <c r="N153" s="5"/>
      <c r="O153" s="5"/>
      <c r="P153" s="5"/>
      <c r="Q153" s="5"/>
      <c r="R153" s="5"/>
      <c r="S153" s="5"/>
      <c r="T153" s="5"/>
      <c r="U153" s="5"/>
      <c r="V153" s="5"/>
      <c r="W153" s="5"/>
      <c r="X153" s="5"/>
      <c r="Y153" s="5"/>
      <c r="Z153" s="5"/>
      <c r="AA153" s="5"/>
      <c r="AB153" s="5" t="str">
        <f>IFERROR(IF(VLOOKUP(D153,Revistas!$A$21:$C$400,3,FALSE)=0,"",VLOOKUP(D153,Revistas!$A$21:$C$400,3,FALSE)),"")</f>
        <v/>
      </c>
      <c r="AC153" s="5"/>
      <c r="AD153" s="5"/>
      <c r="AE153" s="5"/>
    </row>
    <row r="154" ht="15.75" customHeight="1">
      <c r="A154" s="6" t="s">
        <v>826</v>
      </c>
      <c r="B154" s="6">
        <v>5019.0</v>
      </c>
      <c r="C154" s="6" t="s">
        <v>827</v>
      </c>
      <c r="D154" s="6" t="s">
        <v>253</v>
      </c>
      <c r="E154" s="6" t="s">
        <v>307</v>
      </c>
      <c r="F154" s="6" t="s">
        <v>131</v>
      </c>
      <c r="G154" s="6" t="s">
        <v>828</v>
      </c>
      <c r="H154" s="7" t="s">
        <v>133</v>
      </c>
      <c r="I154" s="5"/>
      <c r="J154" s="5" t="s">
        <v>136</v>
      </c>
      <c r="K154" s="5"/>
      <c r="L154" s="5"/>
      <c r="M154" s="5"/>
      <c r="N154" s="5"/>
      <c r="O154" s="5"/>
      <c r="P154" s="5"/>
      <c r="Q154" s="5"/>
      <c r="R154" s="5"/>
      <c r="S154" s="5"/>
      <c r="T154" s="5"/>
      <c r="U154" s="5"/>
      <c r="V154" s="5"/>
      <c r="W154" s="5"/>
      <c r="X154" s="5"/>
      <c r="Y154" s="5"/>
      <c r="Z154" s="5"/>
      <c r="AA154" s="5"/>
      <c r="AB154" s="5" t="str">
        <f>IFERROR(IF(VLOOKUP(D154,Revistas!$A$21:$C$400,3,FALSE)=0,"",VLOOKUP(D154,Revistas!$A$21:$C$400,3,FALSE)),"")</f>
        <v/>
      </c>
      <c r="AC154" s="5"/>
      <c r="AD154" s="5"/>
      <c r="AE154" s="5"/>
    </row>
    <row r="155" ht="15.75" customHeight="1">
      <c r="A155" s="6" t="s">
        <v>829</v>
      </c>
      <c r="B155" s="6">
        <v>5177.0</v>
      </c>
      <c r="C155" s="6" t="s">
        <v>830</v>
      </c>
      <c r="D155" s="6" t="s">
        <v>797</v>
      </c>
      <c r="E155" s="6" t="s">
        <v>225</v>
      </c>
      <c r="F155" s="6" t="s">
        <v>131</v>
      </c>
      <c r="G155" s="6" t="s">
        <v>831</v>
      </c>
      <c r="H155" s="7" t="s">
        <v>133</v>
      </c>
      <c r="I155" s="5"/>
      <c r="J155" s="5" t="s">
        <v>136</v>
      </c>
      <c r="K155" s="5"/>
      <c r="L155" s="5"/>
      <c r="M155" s="5"/>
      <c r="N155" s="5"/>
      <c r="O155" s="5"/>
      <c r="P155" s="5"/>
      <c r="Q155" s="5"/>
      <c r="R155" s="5"/>
      <c r="S155" s="5"/>
      <c r="T155" s="5"/>
      <c r="U155" s="5"/>
      <c r="V155" s="5"/>
      <c r="W155" s="5"/>
      <c r="X155" s="5"/>
      <c r="Y155" s="5"/>
      <c r="Z155" s="5"/>
      <c r="AA155" s="5"/>
      <c r="AB155" s="5" t="str">
        <f>IFERROR(IF(VLOOKUP(D155,Revistas!$A$21:$C$400,3,FALSE)=0,"",VLOOKUP(D155,Revistas!$A$21:$C$400,3,FALSE)),"")</f>
        <v/>
      </c>
      <c r="AC155" s="5"/>
      <c r="AD155" s="5"/>
      <c r="AE155" s="5"/>
    </row>
    <row r="156" ht="15.75" customHeight="1">
      <c r="A156" s="6" t="s">
        <v>832</v>
      </c>
      <c r="B156" s="6">
        <v>5203.0</v>
      </c>
      <c r="C156" s="6" t="s">
        <v>833</v>
      </c>
      <c r="D156" s="6" t="s">
        <v>257</v>
      </c>
      <c r="E156" s="6" t="s">
        <v>225</v>
      </c>
      <c r="F156" s="6" t="s">
        <v>131</v>
      </c>
      <c r="G156" s="6" t="s">
        <v>834</v>
      </c>
      <c r="H156" s="7" t="s">
        <v>133</v>
      </c>
      <c r="I156" s="5"/>
      <c r="J156" s="5" t="s">
        <v>136</v>
      </c>
      <c r="K156" s="5"/>
      <c r="L156" s="5"/>
      <c r="M156" s="5"/>
      <c r="N156" s="5"/>
      <c r="O156" s="5"/>
      <c r="P156" s="5"/>
      <c r="Q156" s="5"/>
      <c r="R156" s="5"/>
      <c r="S156" s="5"/>
      <c r="T156" s="5"/>
      <c r="U156" s="5"/>
      <c r="V156" s="5"/>
      <c r="W156" s="5"/>
      <c r="X156" s="5"/>
      <c r="Y156" s="5"/>
      <c r="Z156" s="5"/>
      <c r="AA156" s="5"/>
      <c r="AB156" s="5" t="str">
        <f>IFERROR(IF(VLOOKUP(D156,Revistas!$A$21:$C$400,3,FALSE)=0,"",VLOOKUP(D156,Revistas!$A$21:$C$400,3,FALSE)),"")</f>
        <v/>
      </c>
      <c r="AC156" s="5"/>
      <c r="AD156" s="5"/>
      <c r="AE156" s="5"/>
    </row>
    <row r="157" ht="15.75" customHeight="1">
      <c r="A157" s="6" t="s">
        <v>835</v>
      </c>
      <c r="B157" s="6">
        <v>5448.0</v>
      </c>
      <c r="C157" s="6" t="s">
        <v>836</v>
      </c>
      <c r="D157" s="6" t="s">
        <v>377</v>
      </c>
      <c r="E157" s="6" t="s">
        <v>367</v>
      </c>
      <c r="F157" s="6" t="s">
        <v>131</v>
      </c>
      <c r="G157" s="6" t="s">
        <v>837</v>
      </c>
      <c r="H157" s="7" t="s">
        <v>133</v>
      </c>
      <c r="I157" s="5"/>
      <c r="J157" s="5" t="s">
        <v>136</v>
      </c>
      <c r="K157" s="5"/>
      <c r="L157" s="5"/>
      <c r="M157" s="5"/>
      <c r="N157" s="5"/>
      <c r="O157" s="5"/>
      <c r="P157" s="5"/>
      <c r="Q157" s="5"/>
      <c r="R157" s="5"/>
      <c r="S157" s="5"/>
      <c r="T157" s="5"/>
      <c r="U157" s="5"/>
      <c r="V157" s="5"/>
      <c r="W157" s="5"/>
      <c r="X157" s="5"/>
      <c r="Y157" s="5"/>
      <c r="Z157" s="5"/>
      <c r="AA157" s="5"/>
      <c r="AB157" s="5" t="str">
        <f>IFERROR(IF(VLOOKUP(D157,Revistas!$A$21:$C$400,3,FALSE)=0,"",VLOOKUP(D157,Revistas!$A$21:$C$400,3,FALSE)),"")</f>
        <v/>
      </c>
      <c r="AC157" s="5"/>
      <c r="AD157" s="5"/>
      <c r="AE157" s="5"/>
    </row>
    <row r="158" ht="15.75" customHeight="1">
      <c r="A158" s="6" t="s">
        <v>838</v>
      </c>
      <c r="B158" s="6">
        <v>5672.0</v>
      </c>
      <c r="C158" s="6" t="s">
        <v>839</v>
      </c>
      <c r="D158" s="6" t="s">
        <v>515</v>
      </c>
      <c r="E158" s="6" t="s">
        <v>151</v>
      </c>
      <c r="F158" s="6" t="s">
        <v>131</v>
      </c>
      <c r="G158" s="6" t="s">
        <v>840</v>
      </c>
      <c r="H158" s="7" t="s">
        <v>133</v>
      </c>
      <c r="I158" s="5"/>
      <c r="J158" s="5" t="s">
        <v>136</v>
      </c>
      <c r="K158" s="5"/>
      <c r="L158" s="5"/>
      <c r="M158" s="5"/>
      <c r="N158" s="5"/>
      <c r="O158" s="5"/>
      <c r="P158" s="5"/>
      <c r="Q158" s="5"/>
      <c r="R158" s="5"/>
      <c r="S158" s="5"/>
      <c r="T158" s="5"/>
      <c r="U158" s="5"/>
      <c r="V158" s="5"/>
      <c r="W158" s="5"/>
      <c r="X158" s="5"/>
      <c r="Y158" s="5"/>
      <c r="Z158" s="5"/>
      <c r="AA158" s="5"/>
      <c r="AB158" s="5" t="str">
        <f>IFERROR(IF(VLOOKUP(D158,Revistas!$A$21:$C$400,3,FALSE)=0,"",VLOOKUP(D158,Revistas!$A$21:$C$400,3,FALSE)),"")</f>
        <v>medio</v>
      </c>
      <c r="AC158" s="5"/>
      <c r="AD158" s="5"/>
      <c r="AE158" s="5"/>
    </row>
    <row r="159" ht="15.75" customHeight="1">
      <c r="A159" s="6" t="s">
        <v>841</v>
      </c>
      <c r="B159" s="6">
        <v>5731.0</v>
      </c>
      <c r="C159" s="6" t="s">
        <v>842</v>
      </c>
      <c r="D159" s="6" t="s">
        <v>250</v>
      </c>
      <c r="E159" s="6" t="s">
        <v>336</v>
      </c>
      <c r="F159" s="6" t="s">
        <v>131</v>
      </c>
      <c r="G159" s="6" t="s">
        <v>843</v>
      </c>
      <c r="H159" s="7" t="s">
        <v>133</v>
      </c>
      <c r="I159" s="5"/>
      <c r="J159" s="5" t="s">
        <v>136</v>
      </c>
      <c r="K159" s="5"/>
      <c r="L159" s="5"/>
      <c r="M159" s="5"/>
      <c r="N159" s="5"/>
      <c r="O159" s="5"/>
      <c r="P159" s="5"/>
      <c r="Q159" s="5"/>
      <c r="R159" s="5"/>
      <c r="S159" s="5"/>
      <c r="T159" s="5"/>
      <c r="U159" s="5"/>
      <c r="V159" s="5"/>
      <c r="W159" s="5"/>
      <c r="X159" s="5"/>
      <c r="Y159" s="5"/>
      <c r="Z159" s="5"/>
      <c r="AA159" s="5"/>
      <c r="AB159" s="5" t="str">
        <f>IFERROR(IF(VLOOKUP(D159,Revistas!$A$21:$C$400,3,FALSE)=0,"",VLOOKUP(D159,Revistas!$A$21:$C$400,3,FALSE)),"")</f>
        <v/>
      </c>
      <c r="AC159" s="5"/>
      <c r="AD159" s="5"/>
      <c r="AE159" s="5"/>
    </row>
    <row r="160" ht="15.75" customHeight="1">
      <c r="A160" s="6" t="s">
        <v>844</v>
      </c>
      <c r="B160" s="6">
        <v>6759.0</v>
      </c>
      <c r="C160" s="6" t="s">
        <v>845</v>
      </c>
      <c r="D160" s="6" t="s">
        <v>372</v>
      </c>
      <c r="E160" s="6" t="s">
        <v>495</v>
      </c>
      <c r="F160" s="6" t="s">
        <v>131</v>
      </c>
      <c r="G160" s="6" t="s">
        <v>846</v>
      </c>
      <c r="H160" s="7" t="s">
        <v>133</v>
      </c>
      <c r="I160" s="5"/>
      <c r="J160" s="5" t="s">
        <v>136</v>
      </c>
      <c r="K160" s="5"/>
      <c r="L160" s="5"/>
      <c r="M160" s="5"/>
      <c r="N160" s="5"/>
      <c r="O160" s="5"/>
      <c r="P160" s="5"/>
      <c r="Q160" s="5"/>
      <c r="R160" s="5"/>
      <c r="S160" s="5"/>
      <c r="T160" s="5"/>
      <c r="U160" s="5"/>
      <c r="V160" s="5"/>
      <c r="W160" s="5"/>
      <c r="X160" s="5"/>
      <c r="Y160" s="5"/>
      <c r="Z160" s="5"/>
      <c r="AA160" s="5"/>
      <c r="AB160" s="5" t="str">
        <f>IFERROR(IF(VLOOKUP(D160,Revistas!$A$21:$C$400,3,FALSE)=0,"",VLOOKUP(D160,Revistas!$A$21:$C$400,3,FALSE)),"")</f>
        <v/>
      </c>
      <c r="AC160" s="5"/>
      <c r="AD160" s="5"/>
      <c r="AE160" s="5"/>
    </row>
    <row r="161" ht="15.75" customHeight="1">
      <c r="A161" s="6" t="s">
        <v>847</v>
      </c>
      <c r="B161" s="6">
        <v>7588.0</v>
      </c>
      <c r="C161" s="6" t="s">
        <v>848</v>
      </c>
      <c r="D161" s="6" t="s">
        <v>127</v>
      </c>
      <c r="E161" s="6" t="s">
        <v>307</v>
      </c>
      <c r="F161" s="6" t="s">
        <v>131</v>
      </c>
      <c r="G161" s="6" t="s">
        <v>849</v>
      </c>
      <c r="H161" s="7" t="s">
        <v>133</v>
      </c>
      <c r="I161" s="5"/>
      <c r="J161" s="5" t="s">
        <v>136</v>
      </c>
      <c r="K161" s="5"/>
      <c r="L161" s="5"/>
      <c r="M161" s="5"/>
      <c r="N161" s="5"/>
      <c r="O161" s="5"/>
      <c r="P161" s="5"/>
      <c r="Q161" s="5"/>
      <c r="R161" s="5"/>
      <c r="S161" s="5"/>
      <c r="T161" s="5"/>
      <c r="U161" s="5"/>
      <c r="V161" s="5"/>
      <c r="W161" s="5"/>
      <c r="X161" s="5"/>
      <c r="Y161" s="5"/>
      <c r="Z161" s="5"/>
      <c r="AA161" s="5"/>
      <c r="AB161" s="5" t="str">
        <f>IFERROR(IF(VLOOKUP(D161,Revistas!$A$21:$C$400,3,FALSE)=0,"",VLOOKUP(D161,Revistas!$A$21:$C$400,3,FALSE)),"")</f>
        <v/>
      </c>
      <c r="AC161" s="5"/>
      <c r="AD161" s="5"/>
      <c r="AE161" s="5"/>
    </row>
    <row r="162" ht="15.75" customHeight="1">
      <c r="A162" s="6" t="s">
        <v>850</v>
      </c>
      <c r="B162" s="6">
        <v>7911.0</v>
      </c>
      <c r="C162" s="6" t="s">
        <v>851</v>
      </c>
      <c r="D162" s="6" t="s">
        <v>293</v>
      </c>
      <c r="E162" s="6" t="s">
        <v>225</v>
      </c>
      <c r="F162" s="6" t="s">
        <v>131</v>
      </c>
      <c r="G162" s="6" t="s">
        <v>852</v>
      </c>
      <c r="H162" s="7" t="s">
        <v>133</v>
      </c>
      <c r="I162" s="5"/>
      <c r="J162" s="5" t="s">
        <v>136</v>
      </c>
      <c r="K162" s="5"/>
      <c r="L162" s="5"/>
      <c r="M162" s="5"/>
      <c r="N162" s="5"/>
      <c r="O162" s="5"/>
      <c r="P162" s="5"/>
      <c r="Q162" s="5"/>
      <c r="R162" s="5"/>
      <c r="S162" s="5"/>
      <c r="T162" s="5"/>
      <c r="U162" s="5"/>
      <c r="V162" s="5"/>
      <c r="W162" s="5"/>
      <c r="X162" s="5"/>
      <c r="Y162" s="5"/>
      <c r="Z162" s="5"/>
      <c r="AA162" s="5"/>
      <c r="AB162" s="5" t="str">
        <f>IFERROR(IF(VLOOKUP(D162,Revistas!$A$21:$C$400,3,FALSE)=0,"",VLOOKUP(D162,Revistas!$A$21:$C$400,3,FALSE)),"")</f>
        <v/>
      </c>
      <c r="AC162" s="5"/>
      <c r="AD162" s="5"/>
      <c r="AE162" s="5"/>
    </row>
    <row r="163" ht="15.75" customHeight="1">
      <c r="A163" s="6" t="s">
        <v>853</v>
      </c>
      <c r="B163" s="6">
        <v>7950.0</v>
      </c>
      <c r="C163" s="6" t="s">
        <v>854</v>
      </c>
      <c r="D163" s="6" t="s">
        <v>294</v>
      </c>
      <c r="E163" s="6" t="s">
        <v>225</v>
      </c>
      <c r="F163" s="6" t="s">
        <v>131</v>
      </c>
      <c r="G163" s="6" t="s">
        <v>855</v>
      </c>
      <c r="H163" s="7" t="s">
        <v>133</v>
      </c>
      <c r="I163" s="5"/>
      <c r="J163" s="5" t="s">
        <v>136</v>
      </c>
      <c r="K163" s="5"/>
      <c r="L163" s="5"/>
      <c r="M163" s="5"/>
      <c r="N163" s="5"/>
      <c r="O163" s="5"/>
      <c r="P163" s="5"/>
      <c r="Q163" s="5"/>
      <c r="R163" s="5"/>
      <c r="S163" s="5"/>
      <c r="T163" s="5"/>
      <c r="U163" s="5"/>
      <c r="V163" s="5"/>
      <c r="W163" s="5"/>
      <c r="X163" s="5"/>
      <c r="Y163" s="5"/>
      <c r="Z163" s="5"/>
      <c r="AA163" s="5"/>
      <c r="AB163" s="5" t="str">
        <f>IFERROR(IF(VLOOKUP(D163,Revistas!$A$21:$C$400,3,FALSE)=0,"",VLOOKUP(D163,Revistas!$A$21:$C$400,3,FALSE)),"")</f>
        <v/>
      </c>
      <c r="AC163" s="5"/>
      <c r="AD163" s="5"/>
      <c r="AE163" s="5"/>
    </row>
    <row r="164" ht="15.75" customHeight="1">
      <c r="A164" s="6" t="s">
        <v>856</v>
      </c>
      <c r="B164" s="6">
        <v>8714.0</v>
      </c>
      <c r="C164" s="6" t="s">
        <v>857</v>
      </c>
      <c r="D164" s="6" t="s">
        <v>64</v>
      </c>
      <c r="E164" s="6" t="s">
        <v>367</v>
      </c>
      <c r="F164" s="6" t="s">
        <v>131</v>
      </c>
      <c r="G164" s="6" t="s">
        <v>858</v>
      </c>
      <c r="H164" s="7" t="s">
        <v>133</v>
      </c>
      <c r="I164" s="5"/>
      <c r="J164" s="5" t="s">
        <v>136</v>
      </c>
      <c r="K164" s="5"/>
      <c r="L164" s="5"/>
      <c r="M164" s="5"/>
      <c r="N164" s="5"/>
      <c r="O164" s="5"/>
      <c r="P164" s="5"/>
      <c r="Q164" s="5"/>
      <c r="R164" s="5"/>
      <c r="S164" s="5"/>
      <c r="T164" s="5"/>
      <c r="U164" s="5"/>
      <c r="V164" s="5"/>
      <c r="W164" s="5"/>
      <c r="X164" s="5"/>
      <c r="Y164" s="5"/>
      <c r="Z164" s="5"/>
      <c r="AA164" s="5"/>
      <c r="AB164" s="5" t="str">
        <f>IFERROR(IF(VLOOKUP(D164,Revistas!$A$21:$C$400,3,FALSE)=0,"",VLOOKUP(D164,Revistas!$A$21:$C$400,3,FALSE)),"")</f>
        <v>medio</v>
      </c>
      <c r="AC164" s="5"/>
      <c r="AD164" s="5"/>
      <c r="AE164" s="5"/>
    </row>
    <row r="165" ht="15.75" customHeight="1">
      <c r="A165" s="6" t="s">
        <v>859</v>
      </c>
      <c r="B165" s="6">
        <v>10811.0</v>
      </c>
      <c r="C165" s="6" t="s">
        <v>860</v>
      </c>
      <c r="D165" s="6" t="s">
        <v>115</v>
      </c>
      <c r="E165" s="6" t="s">
        <v>151</v>
      </c>
      <c r="F165" s="6" t="s">
        <v>131</v>
      </c>
      <c r="G165" s="6" t="s">
        <v>861</v>
      </c>
      <c r="H165" s="7" t="s">
        <v>133</v>
      </c>
      <c r="I165" s="5"/>
      <c r="J165" s="5" t="s">
        <v>136</v>
      </c>
      <c r="K165" s="5"/>
      <c r="L165" s="5"/>
      <c r="M165" s="5"/>
      <c r="N165" s="5"/>
      <c r="O165" s="5"/>
      <c r="P165" s="5"/>
      <c r="Q165" s="5"/>
      <c r="R165" s="5"/>
      <c r="S165" s="5"/>
      <c r="T165" s="5"/>
      <c r="U165" s="5"/>
      <c r="V165" s="5"/>
      <c r="W165" s="5"/>
      <c r="X165" s="5"/>
      <c r="Y165" s="5"/>
      <c r="Z165" s="5"/>
      <c r="AA165" s="5"/>
      <c r="AB165" s="5" t="str">
        <f>IFERROR(IF(VLOOKUP(D165,Revistas!$A$21:$C$400,3,FALSE)=0,"",VLOOKUP(D165,Revistas!$A$21:$C$400,3,FALSE)),"")</f>
        <v/>
      </c>
      <c r="AC165" s="5"/>
      <c r="AD165" s="5"/>
      <c r="AE165" s="5"/>
    </row>
    <row r="166" ht="15.75" customHeight="1">
      <c r="K166" s="2"/>
      <c r="L166" s="2"/>
      <c r="M166" s="2"/>
      <c r="N166" s="2"/>
      <c r="O166" s="2"/>
      <c r="P166" s="2"/>
      <c r="Q166" s="2"/>
      <c r="R166" s="2"/>
      <c r="Z166" s="2"/>
    </row>
    <row r="167" ht="15.75" customHeight="1">
      <c r="K167" s="2"/>
      <c r="L167" s="2"/>
      <c r="M167" s="2"/>
      <c r="N167" s="2"/>
      <c r="O167" s="2"/>
      <c r="P167" s="2"/>
      <c r="Q167" s="2"/>
      <c r="R167" s="2"/>
      <c r="Z167" s="2"/>
    </row>
    <row r="168" ht="15.75" customHeight="1">
      <c r="K168" s="2"/>
      <c r="L168" s="2"/>
      <c r="M168" s="2"/>
      <c r="N168" s="2"/>
      <c r="O168" s="2"/>
      <c r="P168" s="2"/>
      <c r="Q168" s="2"/>
      <c r="R168" s="2"/>
      <c r="Z168" s="2"/>
    </row>
    <row r="169" ht="15.75" customHeight="1">
      <c r="K169" s="2"/>
      <c r="L169" s="2"/>
      <c r="M169" s="2"/>
      <c r="N169" s="2"/>
      <c r="O169" s="2"/>
      <c r="P169" s="2"/>
      <c r="Q169" s="2"/>
      <c r="R169" s="2"/>
      <c r="Z169" s="2"/>
    </row>
    <row r="170" ht="15.75" customHeight="1">
      <c r="K170" s="2"/>
      <c r="L170" s="2"/>
      <c r="M170" s="2"/>
      <c r="N170" s="2"/>
      <c r="O170" s="2"/>
      <c r="P170" s="2"/>
      <c r="Q170" s="2"/>
      <c r="R170" s="2"/>
      <c r="Z170" s="2"/>
    </row>
    <row r="171" ht="15.75" customHeight="1">
      <c r="K171" s="2"/>
      <c r="L171" s="2"/>
      <c r="M171" s="2"/>
      <c r="N171" s="2"/>
      <c r="O171" s="2"/>
      <c r="P171" s="2"/>
      <c r="Q171" s="2"/>
      <c r="R171" s="2"/>
      <c r="Z171" s="2"/>
    </row>
    <row r="172" ht="15.75" customHeight="1">
      <c r="K172" s="2"/>
      <c r="L172" s="2"/>
      <c r="M172" s="2"/>
      <c r="N172" s="2"/>
      <c r="O172" s="2"/>
      <c r="P172" s="2"/>
      <c r="Q172" s="2"/>
      <c r="R172" s="2"/>
      <c r="Z172" s="2"/>
    </row>
    <row r="173" ht="15.75" customHeight="1">
      <c r="K173" s="2"/>
      <c r="L173" s="2"/>
      <c r="M173" s="2"/>
      <c r="N173" s="2"/>
      <c r="O173" s="2"/>
      <c r="P173" s="2"/>
      <c r="Q173" s="2"/>
      <c r="R173" s="2"/>
      <c r="Z173" s="2"/>
    </row>
    <row r="174" ht="15.75" customHeight="1">
      <c r="K174" s="2"/>
      <c r="L174" s="2"/>
      <c r="M174" s="2"/>
      <c r="N174" s="2"/>
      <c r="O174" s="2"/>
      <c r="P174" s="2"/>
      <c r="Q174" s="2"/>
      <c r="R174" s="2"/>
      <c r="Z174" s="2"/>
    </row>
    <row r="175" ht="15.75" customHeight="1">
      <c r="K175" s="2"/>
      <c r="L175" s="2"/>
      <c r="M175" s="2"/>
      <c r="N175" s="2"/>
      <c r="O175" s="2"/>
      <c r="P175" s="2"/>
      <c r="Q175" s="2"/>
      <c r="R175" s="2"/>
      <c r="Z175" s="2"/>
    </row>
    <row r="176" ht="15.75" customHeight="1">
      <c r="K176" s="2"/>
      <c r="L176" s="2"/>
      <c r="M176" s="2"/>
      <c r="N176" s="2"/>
      <c r="O176" s="2"/>
      <c r="P176" s="2"/>
      <c r="Q176" s="2"/>
      <c r="R176" s="2"/>
      <c r="Z176" s="2"/>
    </row>
    <row r="177" ht="15.75" customHeight="1">
      <c r="K177" s="2"/>
      <c r="L177" s="2"/>
      <c r="M177" s="2"/>
      <c r="N177" s="2"/>
      <c r="O177" s="2"/>
      <c r="P177" s="2"/>
      <c r="Q177" s="2"/>
      <c r="R177" s="2"/>
      <c r="Z177" s="2"/>
    </row>
    <row r="178" ht="15.75" customHeight="1">
      <c r="K178" s="2"/>
      <c r="L178" s="2"/>
      <c r="M178" s="2"/>
      <c r="N178" s="2"/>
      <c r="O178" s="2"/>
      <c r="P178" s="2"/>
      <c r="Q178" s="2"/>
      <c r="R178" s="2"/>
      <c r="Z178" s="2"/>
    </row>
    <row r="179" ht="15.75" customHeight="1">
      <c r="K179" s="2"/>
      <c r="L179" s="2"/>
      <c r="M179" s="2"/>
      <c r="N179" s="2"/>
      <c r="O179" s="2"/>
      <c r="P179" s="2"/>
      <c r="Q179" s="2"/>
      <c r="R179" s="2"/>
      <c r="Z179" s="2"/>
    </row>
    <row r="180" ht="15.75" customHeight="1">
      <c r="K180" s="2"/>
      <c r="L180" s="2"/>
      <c r="M180" s="2"/>
      <c r="N180" s="2"/>
      <c r="O180" s="2"/>
      <c r="P180" s="2"/>
      <c r="Q180" s="2"/>
      <c r="R180" s="2"/>
      <c r="Z180" s="2"/>
    </row>
    <row r="181" ht="15.75" customHeight="1">
      <c r="K181" s="2"/>
      <c r="L181" s="2"/>
      <c r="M181" s="2"/>
      <c r="N181" s="2"/>
      <c r="O181" s="2"/>
      <c r="P181" s="2"/>
      <c r="Q181" s="2"/>
      <c r="R181" s="2"/>
      <c r="Z181" s="2"/>
    </row>
    <row r="182" ht="15.75" customHeight="1">
      <c r="K182" s="2"/>
      <c r="L182" s="2"/>
      <c r="M182" s="2"/>
      <c r="N182" s="2"/>
      <c r="O182" s="2"/>
      <c r="P182" s="2"/>
      <c r="Q182" s="2"/>
      <c r="R182" s="2"/>
      <c r="Z182" s="2"/>
    </row>
    <row r="183" ht="15.75" customHeight="1">
      <c r="K183" s="2"/>
      <c r="L183" s="2"/>
      <c r="M183" s="2"/>
      <c r="N183" s="2"/>
      <c r="O183" s="2"/>
      <c r="P183" s="2"/>
      <c r="Q183" s="2"/>
      <c r="R183" s="2"/>
      <c r="Z183" s="2"/>
    </row>
    <row r="184" ht="15.75" customHeight="1">
      <c r="K184" s="2"/>
      <c r="L184" s="2"/>
      <c r="M184" s="2"/>
      <c r="N184" s="2"/>
      <c r="O184" s="2"/>
      <c r="P184" s="2"/>
      <c r="Q184" s="2"/>
      <c r="R184" s="2"/>
      <c r="Z184" s="2"/>
    </row>
    <row r="185" ht="15.75" customHeight="1">
      <c r="K185" s="2"/>
      <c r="L185" s="2"/>
      <c r="M185" s="2"/>
      <c r="N185" s="2"/>
      <c r="O185" s="2"/>
      <c r="P185" s="2"/>
      <c r="Q185" s="2"/>
      <c r="R185" s="2"/>
      <c r="Z185" s="2"/>
    </row>
    <row r="186" ht="15.75" customHeight="1">
      <c r="K186" s="2"/>
      <c r="L186" s="2"/>
      <c r="M186" s="2"/>
      <c r="N186" s="2"/>
      <c r="O186" s="2"/>
      <c r="P186" s="2"/>
      <c r="Q186" s="2"/>
      <c r="R186" s="2"/>
      <c r="Z186" s="2"/>
    </row>
    <row r="187" ht="15.75" customHeight="1">
      <c r="K187" s="2"/>
      <c r="L187" s="2"/>
      <c r="M187" s="2"/>
      <c r="N187" s="2"/>
      <c r="O187" s="2"/>
      <c r="P187" s="2"/>
      <c r="Q187" s="2"/>
      <c r="R187" s="2"/>
      <c r="Z187" s="2"/>
    </row>
    <row r="188" ht="15.75" customHeight="1">
      <c r="K188" s="2"/>
      <c r="L188" s="2"/>
      <c r="M188" s="2"/>
      <c r="N188" s="2"/>
      <c r="O188" s="2"/>
      <c r="P188" s="2"/>
      <c r="Q188" s="2"/>
      <c r="R188" s="2"/>
      <c r="Z188" s="2"/>
    </row>
    <row r="189" ht="15.75" customHeight="1">
      <c r="K189" s="2"/>
      <c r="L189" s="2"/>
      <c r="M189" s="2"/>
      <c r="N189" s="2"/>
      <c r="O189" s="2"/>
      <c r="P189" s="2"/>
      <c r="Q189" s="2"/>
      <c r="R189" s="2"/>
      <c r="Z189" s="2"/>
    </row>
    <row r="190" ht="15.75" customHeight="1">
      <c r="K190" s="2"/>
      <c r="L190" s="2"/>
      <c r="M190" s="2"/>
      <c r="N190" s="2"/>
      <c r="O190" s="2"/>
      <c r="P190" s="2"/>
      <c r="Q190" s="2"/>
      <c r="R190" s="2"/>
      <c r="Z190" s="2"/>
    </row>
    <row r="191" ht="15.75" customHeight="1">
      <c r="K191" s="2"/>
      <c r="L191" s="2"/>
      <c r="M191" s="2"/>
      <c r="N191" s="2"/>
      <c r="O191" s="2"/>
      <c r="P191" s="2"/>
      <c r="Q191" s="2"/>
      <c r="R191" s="2"/>
      <c r="Z191" s="2"/>
    </row>
    <row r="192" ht="15.75" customHeight="1">
      <c r="K192" s="2"/>
      <c r="L192" s="2"/>
      <c r="M192" s="2"/>
      <c r="N192" s="2"/>
      <c r="O192" s="2"/>
      <c r="P192" s="2"/>
      <c r="Q192" s="2"/>
      <c r="R192" s="2"/>
      <c r="Z192" s="2"/>
    </row>
    <row r="193" ht="15.75" customHeight="1">
      <c r="K193" s="2"/>
      <c r="L193" s="2"/>
      <c r="M193" s="2"/>
      <c r="N193" s="2"/>
      <c r="O193" s="2"/>
      <c r="P193" s="2"/>
      <c r="Q193" s="2"/>
      <c r="R193" s="2"/>
      <c r="Z193" s="2"/>
    </row>
    <row r="194" ht="15.75" customHeight="1">
      <c r="K194" s="2"/>
      <c r="L194" s="2"/>
      <c r="M194" s="2"/>
      <c r="N194" s="2"/>
      <c r="O194" s="2"/>
      <c r="P194" s="2"/>
      <c r="Q194" s="2"/>
      <c r="R194" s="2"/>
      <c r="Z194" s="2"/>
    </row>
    <row r="195" ht="15.75" customHeight="1">
      <c r="K195" s="2"/>
      <c r="L195" s="2"/>
      <c r="M195" s="2"/>
      <c r="N195" s="2"/>
      <c r="O195" s="2"/>
      <c r="P195" s="2"/>
      <c r="Q195" s="2"/>
      <c r="R195" s="2"/>
      <c r="Z195" s="2"/>
    </row>
    <row r="196" ht="15.75" customHeight="1">
      <c r="K196" s="2"/>
      <c r="L196" s="2"/>
      <c r="M196" s="2"/>
      <c r="N196" s="2"/>
      <c r="O196" s="2"/>
      <c r="P196" s="2"/>
      <c r="Q196" s="2"/>
      <c r="R196" s="2"/>
      <c r="Z196" s="2"/>
    </row>
    <row r="197" ht="15.75" customHeight="1">
      <c r="K197" s="2"/>
      <c r="L197" s="2"/>
      <c r="M197" s="2"/>
      <c r="N197" s="2"/>
      <c r="O197" s="2"/>
      <c r="P197" s="2"/>
      <c r="Q197" s="2"/>
      <c r="R197" s="2"/>
      <c r="Z197" s="2"/>
    </row>
    <row r="198" ht="15.75" customHeight="1">
      <c r="K198" s="2"/>
      <c r="L198" s="2"/>
      <c r="M198" s="2"/>
      <c r="N198" s="2"/>
      <c r="O198" s="2"/>
      <c r="P198" s="2"/>
      <c r="Q198" s="2"/>
      <c r="R198" s="2"/>
      <c r="Z198" s="2"/>
    </row>
    <row r="199" ht="15.75" customHeight="1">
      <c r="K199" s="2"/>
      <c r="L199" s="2"/>
      <c r="M199" s="2"/>
      <c r="N199" s="2"/>
      <c r="O199" s="2"/>
      <c r="P199" s="2"/>
      <c r="Q199" s="2"/>
      <c r="R199" s="2"/>
      <c r="Z199" s="2"/>
    </row>
    <row r="200" ht="15.75" customHeight="1">
      <c r="K200" s="2"/>
      <c r="L200" s="2"/>
      <c r="M200" s="2"/>
      <c r="N200" s="2"/>
      <c r="O200" s="2"/>
      <c r="P200" s="2"/>
      <c r="Q200" s="2"/>
      <c r="R200" s="2"/>
      <c r="Z200" s="2"/>
    </row>
    <row r="201" ht="15.75" customHeight="1">
      <c r="K201" s="2"/>
      <c r="L201" s="2"/>
      <c r="M201" s="2"/>
      <c r="N201" s="2"/>
      <c r="O201" s="2"/>
      <c r="P201" s="2"/>
      <c r="Q201" s="2"/>
      <c r="R201" s="2"/>
      <c r="Z201" s="2"/>
    </row>
    <row r="202" ht="15.75" customHeight="1">
      <c r="K202" s="2"/>
      <c r="L202" s="2"/>
      <c r="M202" s="2"/>
      <c r="N202" s="2"/>
      <c r="O202" s="2"/>
      <c r="P202" s="2"/>
      <c r="Q202" s="2"/>
      <c r="R202" s="2"/>
      <c r="Z202" s="2"/>
    </row>
    <row r="203" ht="15.75" customHeight="1">
      <c r="K203" s="2"/>
      <c r="L203" s="2"/>
      <c r="M203" s="2"/>
      <c r="N203" s="2"/>
      <c r="O203" s="2"/>
      <c r="P203" s="2"/>
      <c r="Q203" s="2"/>
      <c r="R203" s="2"/>
      <c r="Z203" s="2"/>
    </row>
    <row r="204" ht="15.75" customHeight="1">
      <c r="K204" s="2"/>
      <c r="L204" s="2"/>
      <c r="M204" s="2"/>
      <c r="N204" s="2"/>
      <c r="O204" s="2"/>
      <c r="P204" s="2"/>
      <c r="Q204" s="2"/>
      <c r="R204" s="2"/>
      <c r="Z204" s="2"/>
    </row>
    <row r="205" ht="15.75" customHeight="1">
      <c r="K205" s="2"/>
      <c r="L205" s="2"/>
      <c r="M205" s="2"/>
      <c r="N205" s="2"/>
      <c r="O205" s="2"/>
      <c r="P205" s="2"/>
      <c r="Q205" s="2"/>
      <c r="R205" s="2"/>
      <c r="Z205" s="2"/>
    </row>
    <row r="206" ht="15.75" customHeight="1">
      <c r="K206" s="2"/>
      <c r="L206" s="2"/>
      <c r="M206" s="2"/>
      <c r="N206" s="2"/>
      <c r="O206" s="2"/>
      <c r="P206" s="2"/>
      <c r="Q206" s="2"/>
      <c r="R206" s="2"/>
      <c r="Z206" s="2"/>
    </row>
    <row r="207" ht="15.75" customHeight="1">
      <c r="K207" s="2"/>
      <c r="L207" s="2"/>
      <c r="M207" s="2"/>
      <c r="N207" s="2"/>
      <c r="O207" s="2"/>
      <c r="P207" s="2"/>
      <c r="Q207" s="2"/>
      <c r="R207" s="2"/>
      <c r="Z207" s="2"/>
    </row>
    <row r="208" ht="15.75" customHeight="1">
      <c r="K208" s="2"/>
      <c r="L208" s="2"/>
      <c r="M208" s="2"/>
      <c r="N208" s="2"/>
      <c r="O208" s="2"/>
      <c r="P208" s="2"/>
      <c r="Q208" s="2"/>
      <c r="R208" s="2"/>
      <c r="Z208" s="2"/>
    </row>
    <row r="209" ht="15.75" customHeight="1">
      <c r="K209" s="2"/>
      <c r="L209" s="2"/>
      <c r="M209" s="2"/>
      <c r="N209" s="2"/>
      <c r="O209" s="2"/>
      <c r="P209" s="2"/>
      <c r="Q209" s="2"/>
      <c r="R209" s="2"/>
      <c r="Z209" s="2"/>
    </row>
    <row r="210" ht="15.75" customHeight="1">
      <c r="K210" s="2"/>
      <c r="L210" s="2"/>
      <c r="M210" s="2"/>
      <c r="N210" s="2"/>
      <c r="O210" s="2"/>
      <c r="P210" s="2"/>
      <c r="Q210" s="2"/>
      <c r="R210" s="2"/>
      <c r="Z210" s="2"/>
    </row>
    <row r="211" ht="15.75" customHeight="1">
      <c r="K211" s="2"/>
      <c r="L211" s="2"/>
      <c r="M211" s="2"/>
      <c r="N211" s="2"/>
      <c r="O211" s="2"/>
      <c r="P211" s="2"/>
      <c r="Q211" s="2"/>
      <c r="R211" s="2"/>
      <c r="Z211" s="2"/>
    </row>
    <row r="212" ht="15.75" customHeight="1">
      <c r="K212" s="2"/>
      <c r="L212" s="2"/>
      <c r="M212" s="2"/>
      <c r="N212" s="2"/>
      <c r="O212" s="2"/>
      <c r="P212" s="2"/>
      <c r="Q212" s="2"/>
      <c r="R212" s="2"/>
      <c r="Z212" s="2"/>
    </row>
    <row r="213" ht="15.75" customHeight="1">
      <c r="K213" s="2"/>
      <c r="L213" s="2"/>
      <c r="M213" s="2"/>
      <c r="N213" s="2"/>
      <c r="O213" s="2"/>
      <c r="P213" s="2"/>
      <c r="Q213" s="2"/>
      <c r="R213" s="2"/>
      <c r="Z213" s="2"/>
    </row>
    <row r="214" ht="15.75" customHeight="1">
      <c r="K214" s="2"/>
      <c r="L214" s="2"/>
      <c r="M214" s="2"/>
      <c r="N214" s="2"/>
      <c r="O214" s="2"/>
      <c r="P214" s="2"/>
      <c r="Q214" s="2"/>
      <c r="R214" s="2"/>
      <c r="Z214" s="2"/>
    </row>
    <row r="215" ht="15.75" customHeight="1">
      <c r="K215" s="2"/>
      <c r="L215" s="2"/>
      <c r="M215" s="2"/>
      <c r="N215" s="2"/>
      <c r="O215" s="2"/>
      <c r="P215" s="2"/>
      <c r="Q215" s="2"/>
      <c r="R215" s="2"/>
      <c r="Z215" s="2"/>
    </row>
    <row r="216" ht="15.75" customHeight="1">
      <c r="K216" s="2"/>
      <c r="L216" s="2"/>
      <c r="M216" s="2"/>
      <c r="N216" s="2"/>
      <c r="O216" s="2"/>
      <c r="P216" s="2"/>
      <c r="Q216" s="2"/>
      <c r="R216" s="2"/>
      <c r="Z216" s="2"/>
    </row>
    <row r="217" ht="15.75" customHeight="1">
      <c r="K217" s="2"/>
      <c r="L217" s="2"/>
      <c r="M217" s="2"/>
      <c r="N217" s="2"/>
      <c r="O217" s="2"/>
      <c r="P217" s="2"/>
      <c r="Q217" s="2"/>
      <c r="R217" s="2"/>
      <c r="Z217" s="2"/>
    </row>
    <row r="218" ht="15.75" customHeight="1">
      <c r="K218" s="2"/>
      <c r="L218" s="2"/>
      <c r="M218" s="2"/>
      <c r="N218" s="2"/>
      <c r="O218" s="2"/>
      <c r="P218" s="2"/>
      <c r="Q218" s="2"/>
      <c r="R218" s="2"/>
      <c r="Z218" s="2"/>
    </row>
    <row r="219" ht="15.75" customHeight="1">
      <c r="K219" s="2"/>
      <c r="L219" s="2"/>
      <c r="M219" s="2"/>
      <c r="N219" s="2"/>
      <c r="O219" s="2"/>
      <c r="P219" s="2"/>
      <c r="Q219" s="2"/>
      <c r="R219" s="2"/>
      <c r="Z219" s="2"/>
    </row>
    <row r="220" ht="15.75" customHeight="1">
      <c r="K220" s="2"/>
      <c r="L220" s="2"/>
      <c r="M220" s="2"/>
      <c r="N220" s="2"/>
      <c r="O220" s="2"/>
      <c r="P220" s="2"/>
      <c r="Q220" s="2"/>
      <c r="R220" s="2"/>
      <c r="Z220" s="2"/>
    </row>
    <row r="221" ht="15.75" customHeight="1">
      <c r="K221" s="2"/>
      <c r="L221" s="2"/>
      <c r="M221" s="2"/>
      <c r="N221" s="2"/>
      <c r="O221" s="2"/>
      <c r="P221" s="2"/>
      <c r="Q221" s="2"/>
      <c r="R221" s="2"/>
      <c r="Z221" s="2"/>
    </row>
    <row r="222" ht="15.75" customHeight="1">
      <c r="K222" s="2"/>
      <c r="L222" s="2"/>
      <c r="M222" s="2"/>
      <c r="N222" s="2"/>
      <c r="O222" s="2"/>
      <c r="P222" s="2"/>
      <c r="Q222" s="2"/>
      <c r="R222" s="2"/>
      <c r="Z222" s="2"/>
    </row>
    <row r="223" ht="15.75" customHeight="1">
      <c r="K223" s="2"/>
      <c r="L223" s="2"/>
      <c r="M223" s="2"/>
      <c r="N223" s="2"/>
      <c r="O223" s="2"/>
      <c r="P223" s="2"/>
      <c r="Q223" s="2"/>
      <c r="R223" s="2"/>
      <c r="Z223" s="2"/>
    </row>
    <row r="224" ht="15.75" customHeight="1">
      <c r="K224" s="2"/>
      <c r="L224" s="2"/>
      <c r="M224" s="2"/>
      <c r="N224" s="2"/>
      <c r="O224" s="2"/>
      <c r="P224" s="2"/>
      <c r="Q224" s="2"/>
      <c r="R224" s="2"/>
      <c r="Z224" s="2"/>
    </row>
    <row r="225" ht="15.75" customHeight="1">
      <c r="K225" s="2"/>
      <c r="L225" s="2"/>
      <c r="M225" s="2"/>
      <c r="N225" s="2"/>
      <c r="O225" s="2"/>
      <c r="P225" s="2"/>
      <c r="Q225" s="2"/>
      <c r="R225" s="2"/>
      <c r="Z225" s="2"/>
    </row>
    <row r="226" ht="15.75" customHeight="1">
      <c r="K226" s="2"/>
      <c r="L226" s="2"/>
      <c r="M226" s="2"/>
      <c r="N226" s="2"/>
      <c r="O226" s="2"/>
      <c r="P226" s="2"/>
      <c r="Q226" s="2"/>
      <c r="R226" s="2"/>
      <c r="Z226" s="2"/>
    </row>
    <row r="227" ht="15.75" customHeight="1">
      <c r="K227" s="2"/>
      <c r="L227" s="2"/>
      <c r="M227" s="2"/>
      <c r="N227" s="2"/>
      <c r="O227" s="2"/>
      <c r="P227" s="2"/>
      <c r="Q227" s="2"/>
      <c r="R227" s="2"/>
      <c r="Z227" s="2"/>
    </row>
    <row r="228" ht="15.75" customHeight="1">
      <c r="K228" s="2"/>
      <c r="L228" s="2"/>
      <c r="M228" s="2"/>
      <c r="N228" s="2"/>
      <c r="O228" s="2"/>
      <c r="P228" s="2"/>
      <c r="Q228" s="2"/>
      <c r="R228" s="2"/>
      <c r="Z228" s="2"/>
    </row>
    <row r="229" ht="15.75" customHeight="1">
      <c r="K229" s="2"/>
      <c r="L229" s="2"/>
      <c r="M229" s="2"/>
      <c r="N229" s="2"/>
      <c r="O229" s="2"/>
      <c r="P229" s="2"/>
      <c r="Q229" s="2"/>
      <c r="R229" s="2"/>
      <c r="Z229" s="2"/>
    </row>
    <row r="230" ht="15.75" customHeight="1">
      <c r="K230" s="2"/>
      <c r="L230" s="2"/>
      <c r="M230" s="2"/>
      <c r="N230" s="2"/>
      <c r="O230" s="2"/>
      <c r="P230" s="2"/>
      <c r="Q230" s="2"/>
      <c r="R230" s="2"/>
      <c r="Z230" s="2"/>
    </row>
    <row r="231" ht="15.75" customHeight="1">
      <c r="K231" s="2"/>
      <c r="L231" s="2"/>
      <c r="M231" s="2"/>
      <c r="N231" s="2"/>
      <c r="O231" s="2"/>
      <c r="P231" s="2"/>
      <c r="Q231" s="2"/>
      <c r="R231" s="2"/>
      <c r="Z231" s="2"/>
    </row>
    <row r="232" ht="15.75" customHeight="1">
      <c r="K232" s="2"/>
      <c r="L232" s="2"/>
      <c r="M232" s="2"/>
      <c r="N232" s="2"/>
      <c r="O232" s="2"/>
      <c r="P232" s="2"/>
      <c r="Q232" s="2"/>
      <c r="R232" s="2"/>
      <c r="Z232" s="2"/>
    </row>
    <row r="233" ht="15.75" customHeight="1">
      <c r="K233" s="2"/>
      <c r="L233" s="2"/>
      <c r="M233" s="2"/>
      <c r="N233" s="2"/>
      <c r="O233" s="2"/>
      <c r="P233" s="2"/>
      <c r="Q233" s="2"/>
      <c r="R233" s="2"/>
      <c r="Z233" s="2"/>
    </row>
    <row r="234" ht="15.75" customHeight="1">
      <c r="K234" s="2"/>
      <c r="L234" s="2"/>
      <c r="M234" s="2"/>
      <c r="N234" s="2"/>
      <c r="O234" s="2"/>
      <c r="P234" s="2"/>
      <c r="Q234" s="2"/>
      <c r="R234" s="2"/>
      <c r="Z234" s="2"/>
    </row>
    <row r="235" ht="15.75" customHeight="1">
      <c r="K235" s="2"/>
      <c r="L235" s="2"/>
      <c r="M235" s="2"/>
      <c r="N235" s="2"/>
      <c r="O235" s="2"/>
      <c r="P235" s="2"/>
      <c r="Q235" s="2"/>
      <c r="R235" s="2"/>
      <c r="Z235" s="2"/>
    </row>
    <row r="236" ht="15.75" customHeight="1">
      <c r="K236" s="2"/>
      <c r="L236" s="2"/>
      <c r="M236" s="2"/>
      <c r="N236" s="2"/>
      <c r="O236" s="2"/>
      <c r="P236" s="2"/>
      <c r="Q236" s="2"/>
      <c r="R236" s="2"/>
      <c r="Z236" s="2"/>
    </row>
    <row r="237" ht="15.75" customHeight="1">
      <c r="K237" s="2"/>
      <c r="L237" s="2"/>
      <c r="M237" s="2"/>
      <c r="N237" s="2"/>
      <c r="O237" s="2"/>
      <c r="P237" s="2"/>
      <c r="Q237" s="2"/>
      <c r="R237" s="2"/>
      <c r="Z237" s="2"/>
    </row>
    <row r="238" ht="15.75" customHeight="1">
      <c r="K238" s="2"/>
      <c r="L238" s="2"/>
      <c r="M238" s="2"/>
      <c r="N238" s="2"/>
      <c r="O238" s="2"/>
      <c r="P238" s="2"/>
      <c r="Q238" s="2"/>
      <c r="R238" s="2"/>
      <c r="Z238" s="2"/>
    </row>
    <row r="239" ht="15.75" customHeight="1">
      <c r="K239" s="2"/>
      <c r="L239" s="2"/>
      <c r="M239" s="2"/>
      <c r="N239" s="2"/>
      <c r="O239" s="2"/>
      <c r="P239" s="2"/>
      <c r="Q239" s="2"/>
      <c r="R239" s="2"/>
      <c r="Z239" s="2"/>
    </row>
    <row r="240" ht="15.75" customHeight="1">
      <c r="K240" s="2"/>
      <c r="L240" s="2"/>
      <c r="M240" s="2"/>
      <c r="N240" s="2"/>
      <c r="O240" s="2"/>
      <c r="P240" s="2"/>
      <c r="Q240" s="2"/>
      <c r="R240" s="2"/>
      <c r="Z240" s="2"/>
    </row>
    <row r="241" ht="15.75" customHeight="1">
      <c r="K241" s="2"/>
      <c r="L241" s="2"/>
      <c r="M241" s="2"/>
      <c r="N241" s="2"/>
      <c r="O241" s="2"/>
      <c r="P241" s="2"/>
      <c r="Q241" s="2"/>
      <c r="R241" s="2"/>
      <c r="Z241" s="2"/>
    </row>
    <row r="242" ht="15.75" customHeight="1">
      <c r="K242" s="2"/>
      <c r="L242" s="2"/>
      <c r="M242" s="2"/>
      <c r="N242" s="2"/>
      <c r="O242" s="2"/>
      <c r="P242" s="2"/>
      <c r="Q242" s="2"/>
      <c r="R242" s="2"/>
      <c r="Z242" s="2"/>
    </row>
    <row r="243" ht="15.75" customHeight="1">
      <c r="K243" s="2"/>
      <c r="L243" s="2"/>
      <c r="M243" s="2"/>
      <c r="N243" s="2"/>
      <c r="O243" s="2"/>
      <c r="P243" s="2"/>
      <c r="Q243" s="2"/>
      <c r="R243" s="2"/>
      <c r="Z243" s="2"/>
    </row>
    <row r="244" ht="15.75" customHeight="1">
      <c r="K244" s="2"/>
      <c r="L244" s="2"/>
      <c r="M244" s="2"/>
      <c r="N244" s="2"/>
      <c r="O244" s="2"/>
      <c r="P244" s="2"/>
      <c r="Q244" s="2"/>
      <c r="R244" s="2"/>
      <c r="Z244" s="2"/>
    </row>
    <row r="245" ht="15.75" customHeight="1">
      <c r="K245" s="2"/>
      <c r="L245" s="2"/>
      <c r="M245" s="2"/>
      <c r="N245" s="2"/>
      <c r="O245" s="2"/>
      <c r="P245" s="2"/>
      <c r="Q245" s="2"/>
      <c r="R245" s="2"/>
      <c r="Z245" s="2"/>
    </row>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dataValidations>
    <dataValidation type="list" allowBlank="1" sqref="R2:R245">
      <formula1>"COMPLETA,PARCIAL,INCOMPLETA"</formula1>
    </dataValidation>
    <dataValidation type="list" allowBlank="1" sqref="K2:K245">
      <formula1>"solo Pseudomonas,mixto con subgrupo de Pseudomonas"</formula1>
    </dataValidation>
    <dataValidation type="list" allowBlank="1" sqref="M2:M245">
      <formula1>"declarado por el autor,verificado de forma independiente,no clasificable"</formula1>
    </dataValidation>
    <dataValidation type="list" allowBlank="1" sqref="N2:N245">
      <formula1>"si,no,no derivable"</formula1>
    </dataValidation>
    <dataValidation type="list" allowBlank="1" sqref="Z2:Z245">
      <formula1>"2006,2007,2008,2009,2010,2011,2012,2013,2014,2015,2016,2017,2018,2019,2020,2021,2022,2023,2024,2025,2026"</formula1>
    </dataValidation>
    <dataValidation type="list" allowBlank="1" sqref="O2:O245">
      <formula1>"IV,inhalada/nebulizada,topica/local,oral,intravesical,intraarticular,otra,NA"</formula1>
    </dataValidation>
    <dataValidation type="list" allowBlank="1" sqref="P2:P245">
      <formula1>"fago en monoterapia,fago + antibiotico,fago + otro,NA"</formula1>
    </dataValidation>
    <dataValidation type="list" allowBlank="1" sqref="L2:L245">
      <formula1>"MDR,XDR,PDR,por debajo del umbral MDR,no clasificable"</formula1>
    </dataValidation>
    <dataValidation type="list" allowBlank="1" sqref="Q2:Q245">
      <formula1>"ECA,caso clinico,serie de casos,cohorte retrospectiva,cohorte prospectiva,ensayo no aleatorizado,otra"</formula1>
    </dataValidation>
  </dataValidations>
  <hyperlinks>
    <hyperlink r:id="rId2" ref="H2"/>
    <hyperlink r:id="rId3" ref="H3"/>
    <hyperlink r:id="rId4" ref="H4"/>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2"/>
    <hyperlink r:id="rId23" ref="H23"/>
    <hyperlink r:id="rId24" ref="H24"/>
    <hyperlink r:id="rId25" ref="H25"/>
    <hyperlink r:id="rId26" ref="H26"/>
    <hyperlink r:id="rId27" ref="H27"/>
    <hyperlink r:id="rId28" ref="H28"/>
    <hyperlink r:id="rId29" ref="H29"/>
    <hyperlink r:id="rId30" ref="H30"/>
    <hyperlink r:id="rId31" ref="H31"/>
    <hyperlink r:id="rId32" ref="H32"/>
    <hyperlink r:id="rId33" ref="H33"/>
    <hyperlink r:id="rId34" ref="H34"/>
    <hyperlink r:id="rId35" ref="H35"/>
    <hyperlink r:id="rId36" ref="H36"/>
    <hyperlink r:id="rId37" ref="H37"/>
    <hyperlink r:id="rId38" ref="H38"/>
    <hyperlink r:id="rId39" ref="H39"/>
    <hyperlink r:id="rId40" ref="H40"/>
    <hyperlink r:id="rId41" ref="H41"/>
    <hyperlink r:id="rId42" ref="H42"/>
    <hyperlink r:id="rId43" ref="H43"/>
    <hyperlink r:id="rId44" ref="H44"/>
    <hyperlink r:id="rId45" ref="H45"/>
    <hyperlink r:id="rId46" ref="H46"/>
    <hyperlink r:id="rId47" ref="H47"/>
    <hyperlink r:id="rId48" ref="H48"/>
    <hyperlink r:id="rId49" ref="H49"/>
    <hyperlink r:id="rId50" ref="H50"/>
    <hyperlink r:id="rId51" ref="H51"/>
    <hyperlink r:id="rId52" ref="H52"/>
    <hyperlink r:id="rId53" ref="H53"/>
    <hyperlink r:id="rId54" ref="H54"/>
    <hyperlink r:id="rId55" ref="H55"/>
    <hyperlink r:id="rId56" ref="H56"/>
    <hyperlink r:id="rId57" ref="H57"/>
    <hyperlink r:id="rId58" ref="H58"/>
    <hyperlink r:id="rId59" ref="H59"/>
    <hyperlink r:id="rId60" ref="H60"/>
    <hyperlink r:id="rId61" ref="H61"/>
    <hyperlink r:id="rId62" ref="H62"/>
    <hyperlink r:id="rId63" ref="H63"/>
    <hyperlink r:id="rId64" ref="H64"/>
    <hyperlink r:id="rId65" ref="H65"/>
    <hyperlink r:id="rId66" ref="H66"/>
    <hyperlink r:id="rId67" ref="H67"/>
    <hyperlink r:id="rId68" ref="H68"/>
    <hyperlink r:id="rId69" ref="H69"/>
    <hyperlink r:id="rId70" ref="H70"/>
    <hyperlink r:id="rId71" ref="H71"/>
    <hyperlink r:id="rId72" ref="H72"/>
    <hyperlink r:id="rId73" ref="H73"/>
    <hyperlink r:id="rId74" ref="H74"/>
    <hyperlink r:id="rId75" ref="H75"/>
    <hyperlink r:id="rId76" ref="H76"/>
    <hyperlink r:id="rId77" ref="H77"/>
    <hyperlink r:id="rId78" ref="H78"/>
    <hyperlink r:id="rId79" ref="H79"/>
    <hyperlink r:id="rId80" ref="H80"/>
    <hyperlink r:id="rId81" ref="H81"/>
    <hyperlink r:id="rId82" ref="H82"/>
    <hyperlink r:id="rId83" ref="H83"/>
    <hyperlink r:id="rId84" ref="H84"/>
    <hyperlink r:id="rId85" ref="H85"/>
    <hyperlink r:id="rId86" ref="H86"/>
    <hyperlink r:id="rId87" ref="H87"/>
    <hyperlink r:id="rId88" ref="H88"/>
    <hyperlink r:id="rId89" ref="H89"/>
    <hyperlink r:id="rId90" ref="H90"/>
    <hyperlink r:id="rId91" ref="H91"/>
    <hyperlink r:id="rId92" ref="H92"/>
    <hyperlink r:id="rId93" ref="H93"/>
    <hyperlink r:id="rId94" ref="H94"/>
    <hyperlink r:id="rId95" ref="H95"/>
    <hyperlink r:id="rId96" ref="H96"/>
    <hyperlink r:id="rId97" ref="H97"/>
    <hyperlink r:id="rId98" ref="H98"/>
    <hyperlink r:id="rId99" ref="H99"/>
    <hyperlink r:id="rId100" ref="H100"/>
    <hyperlink r:id="rId101" ref="H101"/>
    <hyperlink r:id="rId102" ref="H102"/>
    <hyperlink r:id="rId103" ref="H103"/>
    <hyperlink r:id="rId104" ref="H104"/>
    <hyperlink r:id="rId105" ref="H105"/>
    <hyperlink r:id="rId106" ref="H106"/>
    <hyperlink r:id="rId107" ref="H107"/>
    <hyperlink r:id="rId108" ref="H108"/>
    <hyperlink r:id="rId109" ref="H109"/>
    <hyperlink r:id="rId110" ref="H110"/>
    <hyperlink r:id="rId111" ref="H111"/>
    <hyperlink r:id="rId112" ref="H112"/>
    <hyperlink r:id="rId113" ref="H113"/>
    <hyperlink r:id="rId114" ref="H114"/>
    <hyperlink r:id="rId115" ref="H115"/>
    <hyperlink r:id="rId116" ref="H116"/>
    <hyperlink r:id="rId117" ref="H117"/>
    <hyperlink r:id="rId118" ref="H118"/>
    <hyperlink r:id="rId119" ref="H119"/>
    <hyperlink r:id="rId120" ref="H120"/>
    <hyperlink r:id="rId121" ref="H121"/>
    <hyperlink r:id="rId122" ref="H122"/>
    <hyperlink r:id="rId123" ref="H123"/>
    <hyperlink r:id="rId124" ref="H124"/>
    <hyperlink r:id="rId125" ref="H125"/>
    <hyperlink r:id="rId126" ref="H126"/>
    <hyperlink r:id="rId127" ref="H127"/>
    <hyperlink r:id="rId128" ref="H128"/>
    <hyperlink r:id="rId129" ref="H129"/>
    <hyperlink r:id="rId130" ref="H130"/>
    <hyperlink r:id="rId131" ref="H131"/>
    <hyperlink r:id="rId132" ref="H132"/>
    <hyperlink r:id="rId133" ref="H133"/>
    <hyperlink r:id="rId134" ref="H134"/>
    <hyperlink r:id="rId135" ref="H135"/>
    <hyperlink r:id="rId136" ref="H136"/>
    <hyperlink r:id="rId137" ref="H137"/>
    <hyperlink r:id="rId138" ref="H138"/>
    <hyperlink r:id="rId139" ref="H139"/>
    <hyperlink r:id="rId140" ref="H140"/>
    <hyperlink r:id="rId141" ref="H141"/>
    <hyperlink r:id="rId142" ref="H142"/>
    <hyperlink r:id="rId143" ref="H143"/>
    <hyperlink r:id="rId144" ref="H144"/>
    <hyperlink r:id="rId145" ref="H145"/>
    <hyperlink r:id="rId146" ref="H146"/>
    <hyperlink r:id="rId147" ref="H147"/>
    <hyperlink r:id="rId148" ref="H148"/>
    <hyperlink r:id="rId149" ref="H149"/>
    <hyperlink r:id="rId150" ref="H150"/>
    <hyperlink r:id="rId151" ref="H151"/>
    <hyperlink r:id="rId152" ref="H152"/>
    <hyperlink r:id="rId153" ref="H153"/>
    <hyperlink r:id="rId154" ref="H154"/>
    <hyperlink r:id="rId155" ref="H155"/>
    <hyperlink r:id="rId156" ref="H156"/>
    <hyperlink r:id="rId157" ref="H157"/>
    <hyperlink r:id="rId158" ref="H158"/>
    <hyperlink r:id="rId159" ref="H159"/>
    <hyperlink r:id="rId160" ref="H160"/>
    <hyperlink r:id="rId161" ref="H161"/>
    <hyperlink r:id="rId162" ref="H162"/>
    <hyperlink r:id="rId163" ref="H163"/>
    <hyperlink r:id="rId164" ref="H164"/>
    <hyperlink r:id="rId165" ref="H165"/>
  </hyperlinks>
  <printOptions/>
  <pageMargins bottom="1.0" footer="0.0" header="0.0" left="0.75" right="0.75" top="1.0"/>
  <pageSetup orientation="landscape"/>
  <drawing r:id="rId166"/>
  <legacyDrawing r:id="rId16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0" topLeftCell="A21" activePane="bottomLeft" state="frozen"/>
      <selection activeCell="B22" sqref="B22" pane="bottomLeft"/>
    </sheetView>
  </sheetViews>
  <sheetFormatPr customHeight="1" defaultColWidth="14.43" defaultRowHeight="15.0"/>
  <cols>
    <col customWidth="1" min="1" max="1" width="56.0"/>
    <col customWidth="1" min="2" max="2" width="10.0"/>
    <col customWidth="1" min="3" max="3" width="16.0"/>
    <col customWidth="1" min="4" max="4" width="22.0"/>
    <col customWidth="1" min="5" max="5" width="26.0"/>
    <col customWidth="1" min="6" max="26" width="8.71"/>
  </cols>
  <sheetData>
    <row r="1">
      <c r="A1" s="1" t="s">
        <v>0</v>
      </c>
    </row>
    <row r="3">
      <c r="A3" s="2" t="s">
        <v>4</v>
      </c>
    </row>
    <row r="4">
      <c r="A4" s="2" t="s">
        <v>6</v>
      </c>
    </row>
    <row r="5">
      <c r="A5" s="2" t="s">
        <v>9</v>
      </c>
    </row>
    <row r="7">
      <c r="A7" s="2" t="s">
        <v>11</v>
      </c>
    </row>
    <row r="8">
      <c r="A8" s="2" t="s">
        <v>14</v>
      </c>
    </row>
    <row r="9">
      <c r="A9" s="2" t="s">
        <v>16</v>
      </c>
    </row>
    <row r="10">
      <c r="A10" s="2" t="s">
        <v>19</v>
      </c>
    </row>
    <row r="11">
      <c r="A11" s="2" t="s">
        <v>21</v>
      </c>
    </row>
    <row r="12">
      <c r="A12" s="2" t="s">
        <v>25</v>
      </c>
    </row>
    <row r="14">
      <c r="A14" s="2" t="s">
        <v>29</v>
      </c>
    </row>
    <row r="15">
      <c r="A15" s="2" t="s">
        <v>33</v>
      </c>
    </row>
    <row r="17">
      <c r="A17" s="2" t="s">
        <v>36</v>
      </c>
    </row>
    <row r="18">
      <c r="A18" s="2" t="s">
        <v>38</v>
      </c>
    </row>
    <row r="20">
      <c r="A20" s="4" t="s">
        <v>26</v>
      </c>
      <c r="B20" s="4" t="s">
        <v>49</v>
      </c>
      <c r="C20" s="4" t="s">
        <v>52</v>
      </c>
      <c r="D20" s="4" t="s">
        <v>55</v>
      </c>
      <c r="E20" s="4" t="s">
        <v>59</v>
      </c>
    </row>
    <row r="21" ht="15.75" customHeight="1">
      <c r="A21" s="2" t="s">
        <v>64</v>
      </c>
      <c r="B21" s="2">
        <v>9.0</v>
      </c>
      <c r="C21" s="2" t="s">
        <v>65</v>
      </c>
      <c r="E21" s="2" t="s">
        <v>89</v>
      </c>
    </row>
    <row r="22" ht="15.75" customHeight="1">
      <c r="A22" s="2" t="s">
        <v>93</v>
      </c>
      <c r="B22" s="2">
        <v>9.0</v>
      </c>
      <c r="C22" s="2" t="s">
        <v>65</v>
      </c>
      <c r="E22" s="2" t="s">
        <v>89</v>
      </c>
    </row>
    <row r="23" ht="15.75" customHeight="1">
      <c r="A23" s="2" t="s">
        <v>101</v>
      </c>
      <c r="B23" s="2">
        <v>8.0</v>
      </c>
      <c r="C23" s="2" t="s">
        <v>60</v>
      </c>
      <c r="E23" s="2" t="s">
        <v>89</v>
      </c>
    </row>
    <row r="24" ht="15.75" customHeight="1">
      <c r="A24" s="2" t="s">
        <v>109</v>
      </c>
      <c r="B24" s="2">
        <v>6.0</v>
      </c>
      <c r="C24" s="2" t="s">
        <v>65</v>
      </c>
      <c r="E24" s="2" t="s">
        <v>89</v>
      </c>
    </row>
    <row r="25" ht="15.75" customHeight="1">
      <c r="A25" s="2" t="s">
        <v>115</v>
      </c>
      <c r="B25" s="2">
        <v>4.0</v>
      </c>
      <c r="C25" s="5"/>
      <c r="E25" s="2" t="s">
        <v>122</v>
      </c>
    </row>
    <row r="26" ht="15.75" customHeight="1">
      <c r="A26" s="2" t="s">
        <v>124</v>
      </c>
      <c r="B26" s="2">
        <v>4.0</v>
      </c>
      <c r="C26" s="5"/>
      <c r="D26" s="2" t="s">
        <v>65</v>
      </c>
      <c r="E26" s="2" t="s">
        <v>126</v>
      </c>
    </row>
    <row r="27" ht="15.75" customHeight="1">
      <c r="A27" s="2" t="s">
        <v>127</v>
      </c>
      <c r="B27" s="2">
        <v>4.0</v>
      </c>
      <c r="C27" s="5"/>
      <c r="E27" s="2" t="s">
        <v>122</v>
      </c>
    </row>
    <row r="28" ht="15.75" customHeight="1">
      <c r="A28" s="2" t="s">
        <v>130</v>
      </c>
      <c r="B28" s="2">
        <v>3.0</v>
      </c>
      <c r="C28" s="5"/>
      <c r="E28" s="2" t="s">
        <v>122</v>
      </c>
    </row>
    <row r="29" ht="15.75" customHeight="1">
      <c r="A29" s="2" t="s">
        <v>134</v>
      </c>
      <c r="B29" s="2">
        <v>3.0</v>
      </c>
      <c r="C29" s="5"/>
      <c r="D29" s="2" t="s">
        <v>65</v>
      </c>
      <c r="E29" s="2" t="s">
        <v>126</v>
      </c>
    </row>
    <row r="30" ht="15.75" customHeight="1">
      <c r="A30" s="2" t="s">
        <v>187</v>
      </c>
      <c r="B30" s="2">
        <v>3.0</v>
      </c>
      <c r="C30" s="2" t="s">
        <v>60</v>
      </c>
      <c r="E30" s="2" t="s">
        <v>89</v>
      </c>
    </row>
    <row r="31" ht="15.75" customHeight="1">
      <c r="A31" s="2" t="s">
        <v>249</v>
      </c>
      <c r="B31" s="2">
        <v>3.0</v>
      </c>
      <c r="C31" s="2" t="s">
        <v>65</v>
      </c>
      <c r="E31" s="2" t="s">
        <v>89</v>
      </c>
    </row>
    <row r="32" ht="15.75" customHeight="1">
      <c r="A32" s="2" t="s">
        <v>250</v>
      </c>
      <c r="B32" s="2">
        <v>3.0</v>
      </c>
      <c r="C32" s="5"/>
      <c r="E32" s="2" t="s">
        <v>122</v>
      </c>
    </row>
    <row r="33" ht="15.75" customHeight="1">
      <c r="A33" s="2" t="s">
        <v>251</v>
      </c>
      <c r="B33" s="2">
        <v>3.0</v>
      </c>
      <c r="C33" s="2" t="s">
        <v>60</v>
      </c>
      <c r="E33" s="2" t="s">
        <v>89</v>
      </c>
    </row>
    <row r="34" ht="15.75" customHeight="1">
      <c r="A34" s="2" t="s">
        <v>252</v>
      </c>
      <c r="B34" s="2">
        <v>3.0</v>
      </c>
      <c r="C34" s="5"/>
      <c r="E34" s="2" t="s">
        <v>122</v>
      </c>
    </row>
    <row r="35" ht="15.75" customHeight="1">
      <c r="A35" s="2" t="s">
        <v>253</v>
      </c>
      <c r="B35" s="2">
        <v>2.0</v>
      </c>
      <c r="C35" s="5"/>
      <c r="E35" s="2" t="s">
        <v>122</v>
      </c>
    </row>
    <row r="36" ht="15.75" customHeight="1">
      <c r="A36" s="2" t="s">
        <v>254</v>
      </c>
      <c r="B36" s="2">
        <v>2.0</v>
      </c>
      <c r="C36" s="2" t="s">
        <v>65</v>
      </c>
      <c r="E36" s="2" t="s">
        <v>89</v>
      </c>
    </row>
    <row r="37" ht="15.75" customHeight="1">
      <c r="A37" s="2" t="s">
        <v>255</v>
      </c>
      <c r="B37" s="2">
        <v>2.0</v>
      </c>
      <c r="C37" s="2" t="s">
        <v>65</v>
      </c>
      <c r="E37" s="2" t="s">
        <v>89</v>
      </c>
    </row>
    <row r="38" ht="15.75" customHeight="1">
      <c r="A38" s="2" t="s">
        <v>256</v>
      </c>
      <c r="B38" s="2">
        <v>2.0</v>
      </c>
      <c r="C38" s="2" t="s">
        <v>60</v>
      </c>
      <c r="E38" s="2" t="s">
        <v>89</v>
      </c>
    </row>
    <row r="39" ht="15.75" customHeight="1">
      <c r="A39" s="2" t="s">
        <v>257</v>
      </c>
      <c r="B39" s="2">
        <v>2.0</v>
      </c>
      <c r="C39" s="5"/>
      <c r="E39" s="2" t="s">
        <v>122</v>
      </c>
    </row>
    <row r="40" ht="15.75" customHeight="1">
      <c r="A40" s="2" t="s">
        <v>258</v>
      </c>
      <c r="B40" s="2">
        <v>2.0</v>
      </c>
      <c r="C40" s="2" t="s">
        <v>65</v>
      </c>
      <c r="E40" s="2" t="s">
        <v>89</v>
      </c>
    </row>
    <row r="41" ht="15.75" customHeight="1">
      <c r="A41" s="2" t="s">
        <v>259</v>
      </c>
      <c r="B41" s="2">
        <v>2.0</v>
      </c>
      <c r="C41" s="8" t="s">
        <v>65</v>
      </c>
      <c r="D41" s="2" t="s">
        <v>65</v>
      </c>
      <c r="E41" s="2" t="s">
        <v>126</v>
      </c>
    </row>
    <row r="42" ht="15.75" customHeight="1">
      <c r="A42" s="2" t="s">
        <v>261</v>
      </c>
      <c r="B42" s="2">
        <v>2.0</v>
      </c>
      <c r="C42" s="5"/>
      <c r="E42" s="2" t="s">
        <v>122</v>
      </c>
    </row>
    <row r="43" ht="15.75" customHeight="1">
      <c r="A43" s="2" t="s">
        <v>262</v>
      </c>
      <c r="B43" s="2">
        <v>2.0</v>
      </c>
      <c r="C43" s="5"/>
      <c r="E43" s="2" t="s">
        <v>122</v>
      </c>
    </row>
    <row r="44" ht="15.75" customHeight="1">
      <c r="A44" s="2" t="s">
        <v>263</v>
      </c>
      <c r="B44" s="2">
        <v>2.0</v>
      </c>
      <c r="C44" s="2" t="s">
        <v>60</v>
      </c>
      <c r="E44" s="2" t="s">
        <v>89</v>
      </c>
    </row>
    <row r="45" ht="15.75" customHeight="1">
      <c r="A45" s="2" t="s">
        <v>264</v>
      </c>
      <c r="B45" s="2">
        <v>2.0</v>
      </c>
      <c r="C45" s="8" t="s">
        <v>60</v>
      </c>
      <c r="D45" s="2" t="s">
        <v>60</v>
      </c>
      <c r="E45" s="2" t="s">
        <v>126</v>
      </c>
    </row>
    <row r="46" ht="15.75" customHeight="1">
      <c r="A46" s="2" t="s">
        <v>265</v>
      </c>
      <c r="B46" s="2">
        <v>2.0</v>
      </c>
      <c r="C46" s="5"/>
      <c r="E46" s="2" t="s">
        <v>122</v>
      </c>
    </row>
    <row r="47" ht="15.75" customHeight="1">
      <c r="A47" s="2" t="s">
        <v>266</v>
      </c>
      <c r="B47" s="2">
        <v>1.0</v>
      </c>
      <c r="C47" s="2" t="s">
        <v>60</v>
      </c>
      <c r="E47" s="2" t="s">
        <v>89</v>
      </c>
    </row>
    <row r="48" ht="15.75" customHeight="1">
      <c r="A48" s="2" t="s">
        <v>267</v>
      </c>
      <c r="B48" s="2">
        <v>1.0</v>
      </c>
      <c r="C48" s="2" t="s">
        <v>60</v>
      </c>
      <c r="E48" s="2" t="s">
        <v>89</v>
      </c>
    </row>
    <row r="49" ht="15.75" customHeight="1">
      <c r="A49" s="2" t="s">
        <v>268</v>
      </c>
      <c r="B49" s="2">
        <v>1.0</v>
      </c>
      <c r="C49" s="5"/>
      <c r="E49" s="2" t="s">
        <v>122</v>
      </c>
    </row>
    <row r="50" ht="15.75" customHeight="1">
      <c r="A50" s="2" t="s">
        <v>269</v>
      </c>
      <c r="B50" s="2">
        <v>1.0</v>
      </c>
      <c r="C50" s="8" t="s">
        <v>65</v>
      </c>
      <c r="D50" s="2" t="s">
        <v>65</v>
      </c>
      <c r="E50" s="2" t="s">
        <v>126</v>
      </c>
    </row>
    <row r="51" ht="15.75" customHeight="1">
      <c r="A51" s="2" t="s">
        <v>274</v>
      </c>
      <c r="B51" s="2">
        <v>1.0</v>
      </c>
      <c r="C51" s="8" t="s">
        <v>65</v>
      </c>
      <c r="D51" s="2" t="s">
        <v>65</v>
      </c>
      <c r="E51" s="2" t="s">
        <v>126</v>
      </c>
    </row>
    <row r="52" ht="15.75" customHeight="1">
      <c r="A52" s="2" t="s">
        <v>276</v>
      </c>
      <c r="B52" s="2">
        <v>1.0</v>
      </c>
      <c r="C52" s="2" t="s">
        <v>65</v>
      </c>
      <c r="E52" s="2" t="s">
        <v>89</v>
      </c>
    </row>
    <row r="53" ht="15.75" customHeight="1">
      <c r="A53" s="2" t="s">
        <v>277</v>
      </c>
      <c r="B53" s="2">
        <v>1.0</v>
      </c>
      <c r="C53" s="8" t="s">
        <v>65</v>
      </c>
      <c r="D53" s="2" t="s">
        <v>65</v>
      </c>
      <c r="E53" s="2" t="s">
        <v>126</v>
      </c>
    </row>
    <row r="54" ht="15.75" customHeight="1">
      <c r="A54" s="2" t="s">
        <v>278</v>
      </c>
      <c r="B54" s="2">
        <v>1.0</v>
      </c>
      <c r="C54" s="8" t="s">
        <v>65</v>
      </c>
      <c r="D54" s="2" t="s">
        <v>65</v>
      </c>
      <c r="E54" s="2" t="s">
        <v>126</v>
      </c>
    </row>
    <row r="55" ht="15.75" customHeight="1">
      <c r="A55" s="2" t="s">
        <v>279</v>
      </c>
      <c r="B55" s="2">
        <v>1.0</v>
      </c>
      <c r="C55" s="8" t="s">
        <v>69</v>
      </c>
      <c r="D55" s="2" t="s">
        <v>69</v>
      </c>
      <c r="E55" s="2" t="s">
        <v>126</v>
      </c>
    </row>
    <row r="56" ht="15.75" customHeight="1">
      <c r="A56" s="2" t="s">
        <v>281</v>
      </c>
      <c r="B56" s="2">
        <v>1.0</v>
      </c>
      <c r="C56" s="2" t="s">
        <v>60</v>
      </c>
      <c r="E56" s="2" t="s">
        <v>89</v>
      </c>
    </row>
    <row r="57" ht="15.75" customHeight="1">
      <c r="A57" s="2" t="s">
        <v>283</v>
      </c>
      <c r="B57" s="2">
        <v>1.0</v>
      </c>
      <c r="C57" s="8" t="s">
        <v>69</v>
      </c>
      <c r="D57" s="2" t="s">
        <v>69</v>
      </c>
      <c r="E57" s="2" t="s">
        <v>126</v>
      </c>
    </row>
    <row r="58" ht="15.75" customHeight="1">
      <c r="A58" s="2" t="s">
        <v>286</v>
      </c>
      <c r="B58" s="2">
        <v>1.0</v>
      </c>
      <c r="C58" s="5"/>
      <c r="E58" s="2" t="s">
        <v>122</v>
      </c>
    </row>
    <row r="59" ht="15.75" customHeight="1">
      <c r="A59" s="2" t="s">
        <v>287</v>
      </c>
      <c r="B59" s="2">
        <v>1.0</v>
      </c>
      <c r="C59" s="8" t="s">
        <v>69</v>
      </c>
      <c r="D59" s="2" t="s">
        <v>65</v>
      </c>
      <c r="E59" s="2" t="s">
        <v>126</v>
      </c>
    </row>
    <row r="60" ht="15.75" customHeight="1">
      <c r="A60" s="2" t="s">
        <v>288</v>
      </c>
      <c r="B60" s="2">
        <v>1.0</v>
      </c>
      <c r="C60" s="2" t="s">
        <v>65</v>
      </c>
      <c r="E60" s="2" t="s">
        <v>89</v>
      </c>
    </row>
    <row r="61" ht="15.75" customHeight="1">
      <c r="A61" s="2" t="s">
        <v>290</v>
      </c>
      <c r="B61" s="2">
        <v>1.0</v>
      </c>
      <c r="C61" s="5"/>
      <c r="D61" s="2" t="s">
        <v>65</v>
      </c>
      <c r="E61" s="2" t="s">
        <v>126</v>
      </c>
    </row>
    <row r="62" ht="15.75" customHeight="1">
      <c r="A62" s="2" t="s">
        <v>293</v>
      </c>
      <c r="B62" s="2">
        <v>1.0</v>
      </c>
      <c r="C62" s="5"/>
      <c r="D62" s="2" t="s">
        <v>60</v>
      </c>
      <c r="E62" s="2" t="s">
        <v>126</v>
      </c>
    </row>
    <row r="63" ht="15.75" customHeight="1">
      <c r="A63" s="2" t="s">
        <v>294</v>
      </c>
      <c r="B63" s="2">
        <v>1.0</v>
      </c>
      <c r="C63" s="5"/>
      <c r="D63" s="2" t="s">
        <v>60</v>
      </c>
      <c r="E63" s="2" t="s">
        <v>126</v>
      </c>
    </row>
    <row r="64" ht="15.75" customHeight="1">
      <c r="A64" s="2" t="s">
        <v>295</v>
      </c>
      <c r="B64" s="2">
        <v>1.0</v>
      </c>
      <c r="C64" s="5"/>
      <c r="D64" s="2" t="s">
        <v>65</v>
      </c>
      <c r="E64" s="2" t="s">
        <v>126</v>
      </c>
    </row>
    <row r="65" ht="15.75" customHeight="1">
      <c r="A65" s="2" t="s">
        <v>296</v>
      </c>
      <c r="B65" s="2">
        <v>1.0</v>
      </c>
      <c r="C65" s="2" t="s">
        <v>65</v>
      </c>
      <c r="E65" s="2" t="s">
        <v>89</v>
      </c>
    </row>
    <row r="66" ht="15.75" customHeight="1">
      <c r="A66" s="2" t="s">
        <v>297</v>
      </c>
      <c r="B66" s="2">
        <v>1.0</v>
      </c>
      <c r="C66" s="5"/>
      <c r="D66" s="2" t="s">
        <v>65</v>
      </c>
      <c r="E66" s="2" t="s">
        <v>126</v>
      </c>
    </row>
    <row r="67" ht="15.75" customHeight="1">
      <c r="A67" s="2" t="s">
        <v>298</v>
      </c>
      <c r="B67" s="2">
        <v>1.0</v>
      </c>
      <c r="C67" s="5"/>
      <c r="D67" s="2" t="s">
        <v>65</v>
      </c>
      <c r="E67" s="2" t="s">
        <v>126</v>
      </c>
    </row>
    <row r="68" ht="15.75" customHeight="1">
      <c r="A68" s="2" t="s">
        <v>299</v>
      </c>
      <c r="B68" s="2">
        <v>1.0</v>
      </c>
      <c r="C68" s="5"/>
      <c r="D68" s="2" t="s">
        <v>65</v>
      </c>
      <c r="E68" s="2" t="s">
        <v>126</v>
      </c>
    </row>
    <row r="69" ht="15.75" customHeight="1">
      <c r="A69" s="2" t="s">
        <v>300</v>
      </c>
      <c r="B69" s="2">
        <v>1.0</v>
      </c>
      <c r="C69" s="5"/>
      <c r="D69" s="2" t="s">
        <v>65</v>
      </c>
      <c r="E69" s="2" t="s">
        <v>126</v>
      </c>
    </row>
    <row r="70" ht="15.75" customHeight="1">
      <c r="A70" s="2" t="s">
        <v>301</v>
      </c>
      <c r="B70" s="2">
        <v>1.0</v>
      </c>
      <c r="C70" s="5"/>
      <c r="D70" s="2" t="s">
        <v>65</v>
      </c>
      <c r="E70" s="2" t="s">
        <v>126</v>
      </c>
    </row>
    <row r="71" ht="15.75" customHeight="1">
      <c r="A71" s="2" t="s">
        <v>302</v>
      </c>
      <c r="B71" s="2">
        <v>1.0</v>
      </c>
      <c r="C71" s="2" t="s">
        <v>65</v>
      </c>
      <c r="E71" s="2" t="s">
        <v>89</v>
      </c>
    </row>
    <row r="72" ht="15.75" customHeight="1">
      <c r="A72" s="2" t="s">
        <v>303</v>
      </c>
      <c r="B72" s="2">
        <v>1.0</v>
      </c>
      <c r="C72" s="5"/>
      <c r="E72" s="2" t="s">
        <v>122</v>
      </c>
    </row>
    <row r="73" ht="15.75" customHeight="1">
      <c r="A73" s="2" t="s">
        <v>305</v>
      </c>
      <c r="B73" s="2">
        <v>1.0</v>
      </c>
      <c r="C73" s="2" t="s">
        <v>65</v>
      </c>
      <c r="E73" s="2" t="s">
        <v>89</v>
      </c>
    </row>
    <row r="74" ht="15.75" customHeight="1">
      <c r="A74" s="2" t="s">
        <v>308</v>
      </c>
      <c r="B74" s="2">
        <v>1.0</v>
      </c>
      <c r="C74" s="2" t="s">
        <v>65</v>
      </c>
      <c r="E74" s="2" t="s">
        <v>89</v>
      </c>
    </row>
    <row r="75" ht="15.75" customHeight="1">
      <c r="A75" s="2" t="s">
        <v>310</v>
      </c>
      <c r="B75" s="2">
        <v>1.0</v>
      </c>
      <c r="C75" s="5"/>
      <c r="D75" s="2" t="s">
        <v>69</v>
      </c>
      <c r="E75" s="2" t="s">
        <v>126</v>
      </c>
    </row>
    <row r="76" ht="15.75" customHeight="1">
      <c r="A76" s="2" t="s">
        <v>311</v>
      </c>
      <c r="B76" s="2">
        <v>1.0</v>
      </c>
      <c r="C76" s="5"/>
      <c r="D76" s="2" t="s">
        <v>65</v>
      </c>
      <c r="E76" s="2" t="s">
        <v>126</v>
      </c>
    </row>
    <row r="77" ht="15.75" customHeight="1">
      <c r="A77" s="2" t="s">
        <v>313</v>
      </c>
      <c r="B77" s="2">
        <v>1.0</v>
      </c>
      <c r="C77" s="5"/>
      <c r="D77" s="2" t="s">
        <v>69</v>
      </c>
      <c r="E77" s="2" t="s">
        <v>126</v>
      </c>
    </row>
    <row r="78" ht="15.75" customHeight="1">
      <c r="A78" s="2" t="s">
        <v>314</v>
      </c>
      <c r="B78" s="2">
        <v>1.0</v>
      </c>
      <c r="C78" s="5"/>
      <c r="D78" s="2" t="s">
        <v>65</v>
      </c>
      <c r="E78" s="2" t="s">
        <v>126</v>
      </c>
    </row>
    <row r="79" ht="15.75" customHeight="1">
      <c r="A79" s="2" t="s">
        <v>315</v>
      </c>
      <c r="B79" s="2">
        <v>1.0</v>
      </c>
      <c r="C79" s="5"/>
      <c r="E79" s="2" t="s">
        <v>122</v>
      </c>
    </row>
    <row r="80" ht="15.75" customHeight="1">
      <c r="A80" s="2" t="s">
        <v>316</v>
      </c>
      <c r="B80" s="2">
        <v>1.0</v>
      </c>
      <c r="C80" s="5"/>
      <c r="D80" s="2" t="s">
        <v>65</v>
      </c>
      <c r="E80" s="2" t="s">
        <v>126</v>
      </c>
    </row>
    <row r="81" ht="15.75" customHeight="1">
      <c r="A81" s="2" t="s">
        <v>317</v>
      </c>
      <c r="B81" s="2">
        <v>1.0</v>
      </c>
      <c r="C81" s="5"/>
      <c r="D81" s="2" t="s">
        <v>60</v>
      </c>
      <c r="E81" s="2" t="s">
        <v>126</v>
      </c>
    </row>
    <row r="82" ht="15.75" customHeight="1">
      <c r="A82" s="2" t="s">
        <v>318</v>
      </c>
      <c r="B82" s="2">
        <v>1.0</v>
      </c>
      <c r="C82" s="5"/>
      <c r="D82" s="2" t="s">
        <v>65</v>
      </c>
      <c r="E82" s="2" t="s">
        <v>126</v>
      </c>
    </row>
    <row r="83" ht="15.75" customHeight="1">
      <c r="A83" s="2" t="s">
        <v>319</v>
      </c>
      <c r="B83" s="2">
        <v>1.0</v>
      </c>
      <c r="C83" s="5"/>
      <c r="D83" s="2" t="s">
        <v>65</v>
      </c>
      <c r="E83" s="2" t="s">
        <v>126</v>
      </c>
    </row>
    <row r="84" ht="15.75" customHeight="1">
      <c r="A84" s="2" t="s">
        <v>320</v>
      </c>
      <c r="B84" s="2">
        <v>1.0</v>
      </c>
      <c r="C84" s="2" t="s">
        <v>65</v>
      </c>
      <c r="E84" s="2" t="s">
        <v>89</v>
      </c>
    </row>
    <row r="85" ht="15.75" customHeight="1">
      <c r="A85" s="2" t="s">
        <v>321</v>
      </c>
      <c r="B85" s="2">
        <v>1.0</v>
      </c>
      <c r="C85" s="5"/>
      <c r="D85" s="2" t="s">
        <v>65</v>
      </c>
      <c r="E85" s="2" t="s">
        <v>126</v>
      </c>
    </row>
    <row r="86" ht="15.75" customHeight="1">
      <c r="A86" s="2" t="s">
        <v>322</v>
      </c>
      <c r="B86" s="2">
        <v>1.0</v>
      </c>
      <c r="C86" s="2" t="s">
        <v>65</v>
      </c>
      <c r="E86" s="2" t="s">
        <v>89</v>
      </c>
    </row>
    <row r="87" ht="15.75" customHeight="1">
      <c r="A87" s="2" t="s">
        <v>323</v>
      </c>
      <c r="B87" s="2">
        <v>1.0</v>
      </c>
      <c r="C87" s="5"/>
      <c r="E87" s="2" t="s">
        <v>122</v>
      </c>
    </row>
    <row r="88" ht="15.75" customHeight="1">
      <c r="A88" s="2" t="s">
        <v>324</v>
      </c>
      <c r="B88" s="2">
        <v>1.0</v>
      </c>
      <c r="C88" s="5"/>
      <c r="E88" s="2" t="s">
        <v>122</v>
      </c>
    </row>
    <row r="89" ht="15.75" customHeight="1">
      <c r="A89" s="2" t="s">
        <v>325</v>
      </c>
      <c r="B89" s="2">
        <v>1.0</v>
      </c>
      <c r="C89" s="8" t="s">
        <v>69</v>
      </c>
      <c r="D89" s="2" t="s">
        <v>69</v>
      </c>
      <c r="E89" s="2" t="s">
        <v>126</v>
      </c>
    </row>
    <row r="90" ht="15.75" customHeight="1">
      <c r="A90" s="2" t="s">
        <v>326</v>
      </c>
      <c r="B90" s="2">
        <v>1.0</v>
      </c>
      <c r="C90" s="5"/>
      <c r="D90" s="2" t="s">
        <v>327</v>
      </c>
      <c r="E90" s="2" t="s">
        <v>126</v>
      </c>
    </row>
    <row r="91" ht="15.75" customHeight="1">
      <c r="A91" s="2" t="s">
        <v>328</v>
      </c>
      <c r="B91" s="2">
        <v>1.0</v>
      </c>
      <c r="C91" s="2" t="s">
        <v>65</v>
      </c>
      <c r="E91" s="2" t="s">
        <v>89</v>
      </c>
    </row>
    <row r="92" ht="15.75" customHeight="1">
      <c r="A92" s="2" t="s">
        <v>329</v>
      </c>
      <c r="B92" s="2">
        <v>1.0</v>
      </c>
      <c r="C92" s="2" t="s">
        <v>65</v>
      </c>
      <c r="E92" s="2" t="s">
        <v>89</v>
      </c>
    </row>
    <row r="93" ht="15.75" customHeight="1">
      <c r="A93" s="2" t="s">
        <v>272</v>
      </c>
      <c r="B93" s="2">
        <v>1.0</v>
      </c>
      <c r="C93" s="2" t="s">
        <v>60</v>
      </c>
      <c r="E93" s="2" t="s">
        <v>89</v>
      </c>
    </row>
    <row r="94" ht="15.75" customHeight="1">
      <c r="A94" s="2" t="s">
        <v>330</v>
      </c>
      <c r="B94" s="2">
        <v>1.0</v>
      </c>
      <c r="C94" s="2" t="s">
        <v>60</v>
      </c>
      <c r="E94" s="2" t="s">
        <v>89</v>
      </c>
    </row>
    <row r="95" ht="15.75" customHeight="1">
      <c r="A95" s="2" t="s">
        <v>354</v>
      </c>
      <c r="B95" s="2">
        <v>1.0</v>
      </c>
      <c r="C95" s="5"/>
      <c r="D95" s="2" t="s">
        <v>60</v>
      </c>
      <c r="E95" s="2" t="s">
        <v>126</v>
      </c>
    </row>
    <row r="96" ht="15.75" customHeight="1">
      <c r="A96" s="2" t="s">
        <v>356</v>
      </c>
      <c r="B96" s="2">
        <v>1.0</v>
      </c>
      <c r="C96" s="5"/>
      <c r="E96" s="2" t="s">
        <v>122</v>
      </c>
    </row>
    <row r="97" ht="15.75" customHeight="1">
      <c r="A97" s="2" t="s">
        <v>357</v>
      </c>
      <c r="B97" s="2">
        <v>1.0</v>
      </c>
      <c r="C97" s="5"/>
      <c r="E97" s="2" t="s">
        <v>122</v>
      </c>
    </row>
    <row r="98" ht="15.75" customHeight="1">
      <c r="A98" s="2" t="s">
        <v>358</v>
      </c>
      <c r="B98" s="2">
        <v>1.0</v>
      </c>
      <c r="C98" s="5"/>
      <c r="E98" s="2" t="s">
        <v>122</v>
      </c>
    </row>
    <row r="99" ht="15.75" customHeight="1">
      <c r="A99" s="2" t="s">
        <v>359</v>
      </c>
      <c r="B99" s="2">
        <v>1.0</v>
      </c>
      <c r="C99" s="5"/>
      <c r="E99" s="2" t="s">
        <v>122</v>
      </c>
    </row>
    <row r="100" ht="15.75" customHeight="1">
      <c r="A100" s="2" t="s">
        <v>362</v>
      </c>
      <c r="B100" s="2">
        <v>1.0</v>
      </c>
      <c r="C100" s="2" t="s">
        <v>65</v>
      </c>
      <c r="E100" s="2" t="s">
        <v>89</v>
      </c>
    </row>
    <row r="101" ht="15.75" customHeight="1">
      <c r="A101" s="2" t="s">
        <v>364</v>
      </c>
      <c r="B101" s="2">
        <v>1.0</v>
      </c>
      <c r="C101" s="5"/>
      <c r="E101" s="2" t="s">
        <v>122</v>
      </c>
    </row>
    <row r="102" ht="15.75" customHeight="1">
      <c r="A102" s="2" t="s">
        <v>368</v>
      </c>
      <c r="B102" s="2">
        <v>1.0</v>
      </c>
      <c r="C102" s="5"/>
      <c r="D102" s="2" t="s">
        <v>65</v>
      </c>
      <c r="E102" s="2" t="s">
        <v>126</v>
      </c>
    </row>
    <row r="103" ht="15.75" customHeight="1">
      <c r="A103" s="2" t="s">
        <v>370</v>
      </c>
      <c r="B103" s="2">
        <v>1.0</v>
      </c>
      <c r="C103" s="5"/>
      <c r="E103" s="2" t="s">
        <v>122</v>
      </c>
    </row>
    <row r="104" ht="15.75" customHeight="1">
      <c r="A104" s="2" t="s">
        <v>372</v>
      </c>
      <c r="B104" s="2">
        <v>1.0</v>
      </c>
      <c r="C104" s="5"/>
      <c r="E104" s="2" t="s">
        <v>122</v>
      </c>
    </row>
    <row r="105" ht="15.75" customHeight="1">
      <c r="A105" s="2" t="s">
        <v>373</v>
      </c>
      <c r="B105" s="2">
        <v>1.0</v>
      </c>
      <c r="C105" s="5"/>
      <c r="E105" s="2" t="s">
        <v>122</v>
      </c>
    </row>
    <row r="106" ht="15.75" customHeight="1">
      <c r="A106" s="2" t="s">
        <v>374</v>
      </c>
      <c r="B106" s="2">
        <v>1.0</v>
      </c>
      <c r="C106" s="5"/>
      <c r="E106" s="2" t="s">
        <v>122</v>
      </c>
    </row>
    <row r="107" ht="15.75" customHeight="1">
      <c r="A107" s="2" t="s">
        <v>375</v>
      </c>
      <c r="B107" s="2">
        <v>1.0</v>
      </c>
      <c r="C107" s="5"/>
      <c r="E107" s="2" t="s">
        <v>122</v>
      </c>
    </row>
    <row r="108" ht="15.75" customHeight="1">
      <c r="A108" s="2" t="s">
        <v>376</v>
      </c>
      <c r="B108" s="2">
        <v>1.0</v>
      </c>
      <c r="C108" s="5"/>
      <c r="E108" s="2" t="s">
        <v>122</v>
      </c>
    </row>
    <row r="109" ht="15.75" customHeight="1">
      <c r="A109" s="2" t="s">
        <v>377</v>
      </c>
      <c r="B109" s="2">
        <v>1.0</v>
      </c>
      <c r="C109" s="5"/>
      <c r="E109" s="2" t="s">
        <v>122</v>
      </c>
    </row>
    <row r="110" ht="15.75" customHeight="1">
      <c r="A110" s="2" t="s">
        <v>391</v>
      </c>
      <c r="B110" s="2">
        <v>1.0</v>
      </c>
      <c r="C110" s="5"/>
      <c r="E110" s="2" t="s">
        <v>122</v>
      </c>
    </row>
    <row r="111" ht="15.75" customHeight="1">
      <c r="A111" s="2" t="s">
        <v>392</v>
      </c>
      <c r="B111" s="2">
        <v>1.0</v>
      </c>
      <c r="C111" s="2" t="s">
        <v>65</v>
      </c>
      <c r="E111" s="2" t="s">
        <v>89</v>
      </c>
    </row>
    <row r="112" ht="15.75" customHeight="1">
      <c r="A112" s="2" t="s">
        <v>393</v>
      </c>
      <c r="B112" s="2">
        <v>1.0</v>
      </c>
      <c r="C112" s="2" t="s">
        <v>60</v>
      </c>
      <c r="E112" s="2" t="s">
        <v>89</v>
      </c>
    </row>
    <row r="113" ht="15.75" customHeight="1">
      <c r="A113" s="2" t="s">
        <v>394</v>
      </c>
      <c r="B113" s="2">
        <v>1.0</v>
      </c>
      <c r="C113" s="5"/>
      <c r="D113" s="2" t="s">
        <v>65</v>
      </c>
      <c r="E113" s="2" t="s">
        <v>126</v>
      </c>
    </row>
    <row r="114" ht="15.75" customHeight="1">
      <c r="A114" s="2" t="s">
        <v>395</v>
      </c>
      <c r="B114" s="2">
        <v>1.0</v>
      </c>
      <c r="C114" s="2" t="s">
        <v>65</v>
      </c>
      <c r="E114" s="2" t="s">
        <v>89</v>
      </c>
    </row>
    <row r="115" ht="15.75" customHeight="1">
      <c r="A115" s="2" t="s">
        <v>396</v>
      </c>
      <c r="B115" s="2">
        <v>1.0</v>
      </c>
      <c r="C115" s="5"/>
      <c r="D115" s="2" t="s">
        <v>65</v>
      </c>
      <c r="E115" s="2" t="s">
        <v>126</v>
      </c>
    </row>
    <row r="116" ht="15.75" customHeight="1">
      <c r="A116" s="2" t="s">
        <v>397</v>
      </c>
      <c r="B116" s="2">
        <v>1.0</v>
      </c>
      <c r="C116" s="5"/>
      <c r="E116" s="2" t="s">
        <v>122</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1:C116">
      <formula1>"alto,medio,bajo,solo registro"</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0.0"/>
    <col customWidth="1" min="3" max="3" width="48.0"/>
    <col customWidth="1" min="4" max="26" width="8.71"/>
  </cols>
  <sheetData>
    <row r="1">
      <c r="A1" s="4" t="s">
        <v>3</v>
      </c>
      <c r="B1" s="4" t="s">
        <v>53</v>
      </c>
      <c r="C1" s="4" t="s">
        <v>56</v>
      </c>
    </row>
    <row r="2">
      <c r="A2" s="2" t="s">
        <v>58</v>
      </c>
      <c r="B2" s="2" t="s">
        <v>60</v>
      </c>
      <c r="C2" s="2" t="s">
        <v>61</v>
      </c>
    </row>
    <row r="3">
      <c r="A3" s="2" t="s">
        <v>63</v>
      </c>
      <c r="B3" s="2" t="s">
        <v>65</v>
      </c>
      <c r="C3" s="2" t="s">
        <v>66</v>
      </c>
    </row>
    <row r="4">
      <c r="A4" s="2" t="s">
        <v>68</v>
      </c>
      <c r="B4" s="2" t="s">
        <v>69</v>
      </c>
      <c r="C4" s="2" t="s">
        <v>70</v>
      </c>
    </row>
    <row r="5">
      <c r="A5" s="2" t="s">
        <v>71</v>
      </c>
      <c r="B5" s="2" t="s">
        <v>72</v>
      </c>
      <c r="C5" s="2" t="s">
        <v>73</v>
      </c>
    </row>
    <row r="6">
      <c r="A6" s="2" t="s">
        <v>75</v>
      </c>
      <c r="C6" s="2" t="s">
        <v>76</v>
      </c>
    </row>
    <row r="7">
      <c r="A7" s="2" t="s">
        <v>77</v>
      </c>
      <c r="C7" s="2" t="s">
        <v>78</v>
      </c>
    </row>
    <row r="8">
      <c r="A8" s="2" t="s">
        <v>79</v>
      </c>
      <c r="C8" s="2" t="s">
        <v>81</v>
      </c>
    </row>
    <row r="9">
      <c r="A9" s="2" t="s">
        <v>82</v>
      </c>
      <c r="C9" s="2" t="s">
        <v>83</v>
      </c>
    </row>
    <row r="10">
      <c r="A10" s="2" t="s">
        <v>85</v>
      </c>
    </row>
    <row r="11">
      <c r="A11" s="2" t="s">
        <v>86</v>
      </c>
    </row>
    <row r="12">
      <c r="A12" s="2" t="s">
        <v>88</v>
      </c>
    </row>
    <row r="13">
      <c r="A13" s="2" t="s">
        <v>90</v>
      </c>
    </row>
    <row r="14">
      <c r="A14" s="2" t="s">
        <v>92</v>
      </c>
    </row>
    <row r="15">
      <c r="A15" s="2" t="s">
        <v>94</v>
      </c>
    </row>
    <row r="16">
      <c r="A16" s="2" t="s">
        <v>96</v>
      </c>
    </row>
    <row r="17">
      <c r="A17" s="2" t="s">
        <v>98</v>
      </c>
    </row>
    <row r="18">
      <c r="A18" s="2" t="s">
        <v>99</v>
      </c>
    </row>
    <row r="19">
      <c r="A19" s="2" t="s">
        <v>102</v>
      </c>
    </row>
    <row r="20">
      <c r="A20" s="2" t="s">
        <v>103</v>
      </c>
    </row>
    <row r="21" ht="15.75" customHeight="1">
      <c r="A21" s="2" t="s">
        <v>105</v>
      </c>
    </row>
    <row r="22" ht="15.75" customHeight="1">
      <c r="A22" s="2" t="s">
        <v>106</v>
      </c>
    </row>
    <row r="23" ht="15.75" customHeight="1">
      <c r="A23" s="2" t="s">
        <v>108</v>
      </c>
    </row>
    <row r="24" ht="15.75" customHeight="1">
      <c r="A24" s="2" t="s">
        <v>110</v>
      </c>
    </row>
    <row r="25" ht="15.75" customHeight="1">
      <c r="A25" s="2" t="s">
        <v>112</v>
      </c>
    </row>
    <row r="26" ht="15.75" customHeight="1">
      <c r="A26" s="2" t="s">
        <v>114</v>
      </c>
    </row>
    <row r="27" ht="15.75" customHeight="1">
      <c r="A27" s="2" t="s">
        <v>116</v>
      </c>
    </row>
    <row r="28" ht="15.75" customHeight="1">
      <c r="A28" s="2" t="s">
        <v>118</v>
      </c>
    </row>
    <row r="29" ht="15.75" customHeight="1">
      <c r="A29" s="2" t="s">
        <v>119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8.0"/>
    <col customWidth="1" min="2" max="2" width="86.0"/>
    <col customWidth="1" min="3" max="3" width="52.0"/>
    <col customWidth="1" min="4" max="26" width="8.71"/>
  </cols>
  <sheetData>
    <row r="1">
      <c r="A1" s="4" t="s">
        <v>152</v>
      </c>
      <c r="B1" s="4" t="s">
        <v>154</v>
      </c>
      <c r="C1" s="4" t="s">
        <v>155</v>
      </c>
    </row>
    <row r="2">
      <c r="A2" s="9" t="s">
        <v>45</v>
      </c>
      <c r="B2" s="9" t="s">
        <v>157</v>
      </c>
      <c r="C2" s="9"/>
    </row>
    <row r="3">
      <c r="A3" s="9" t="s">
        <v>48</v>
      </c>
      <c r="B3" s="9" t="s">
        <v>159</v>
      </c>
      <c r="C3" s="9"/>
    </row>
    <row r="4">
      <c r="A4" s="9" t="s">
        <v>51</v>
      </c>
      <c r="B4" s="9" t="s">
        <v>160</v>
      </c>
      <c r="C4" s="9" t="s">
        <v>162</v>
      </c>
    </row>
    <row r="5">
      <c r="A5" s="9" t="s">
        <v>54</v>
      </c>
      <c r="B5" s="9" t="s">
        <v>163</v>
      </c>
      <c r="C5" s="9" t="s">
        <v>164</v>
      </c>
    </row>
    <row r="6">
      <c r="A6" s="9" t="s">
        <v>57</v>
      </c>
      <c r="B6" s="9" t="s">
        <v>166</v>
      </c>
      <c r="C6" s="9" t="s">
        <v>167</v>
      </c>
    </row>
    <row r="7">
      <c r="A7" s="9" t="s">
        <v>62</v>
      </c>
      <c r="B7" s="9" t="s">
        <v>168</v>
      </c>
      <c r="C7" s="9" t="s">
        <v>169</v>
      </c>
    </row>
    <row r="8">
      <c r="A8" s="9" t="s">
        <v>67</v>
      </c>
      <c r="B8" s="9" t="s">
        <v>170</v>
      </c>
      <c r="C8" s="9" t="s">
        <v>171</v>
      </c>
    </row>
    <row r="9">
      <c r="A9" s="9" t="s">
        <v>74</v>
      </c>
      <c r="B9" s="9" t="s">
        <v>172</v>
      </c>
      <c r="C9" s="9" t="s">
        <v>173</v>
      </c>
    </row>
    <row r="10">
      <c r="A10" s="9" t="s">
        <v>80</v>
      </c>
      <c r="B10" s="9" t="s">
        <v>175</v>
      </c>
      <c r="C10" s="9" t="s">
        <v>176</v>
      </c>
    </row>
    <row r="11">
      <c r="A11" s="9" t="s">
        <v>84</v>
      </c>
      <c r="B11" s="9" t="s">
        <v>177</v>
      </c>
      <c r="C11" s="9" t="s">
        <v>178</v>
      </c>
    </row>
    <row r="12">
      <c r="A12" s="9" t="s">
        <v>87</v>
      </c>
      <c r="B12" s="9" t="s">
        <v>179</v>
      </c>
      <c r="C12" s="9"/>
    </row>
    <row r="13">
      <c r="A13" s="9" t="s">
        <v>91</v>
      </c>
      <c r="B13" s="9" t="s">
        <v>180</v>
      </c>
      <c r="C13" s="9"/>
    </row>
    <row r="14">
      <c r="A14" s="9" t="s">
        <v>95</v>
      </c>
      <c r="B14" s="9" t="s">
        <v>181</v>
      </c>
      <c r="C14" s="9"/>
    </row>
    <row r="15">
      <c r="A15" s="9" t="s">
        <v>97</v>
      </c>
      <c r="B15" s="9" t="s">
        <v>182</v>
      </c>
      <c r="C15" s="9"/>
    </row>
    <row r="16">
      <c r="A16" s="9" t="s">
        <v>100</v>
      </c>
      <c r="B16" s="9" t="s">
        <v>183</v>
      </c>
      <c r="C16" s="9"/>
    </row>
    <row r="17">
      <c r="A17" s="9" t="s">
        <v>104</v>
      </c>
      <c r="B17" s="9" t="s">
        <v>185</v>
      </c>
      <c r="C17" s="9"/>
    </row>
    <row r="18">
      <c r="A18" s="9" t="s">
        <v>107</v>
      </c>
      <c r="B18" s="9" t="s">
        <v>188</v>
      </c>
      <c r="C18" s="9"/>
    </row>
    <row r="19">
      <c r="A19" s="9" t="s">
        <v>111</v>
      </c>
      <c r="B19" s="9" t="s">
        <v>190</v>
      </c>
      <c r="C19" s="9"/>
    </row>
    <row r="20">
      <c r="A20" s="9" t="s">
        <v>113</v>
      </c>
      <c r="B20" s="9" t="s">
        <v>191</v>
      </c>
      <c r="C20" s="9"/>
    </row>
    <row r="21" ht="15.75" customHeight="1">
      <c r="A21" s="9" t="s">
        <v>117</v>
      </c>
      <c r="B21" s="9" t="s">
        <v>192</v>
      </c>
      <c r="C21" s="9"/>
    </row>
    <row r="22" ht="15.75" customHeight="1">
      <c r="A22" s="9" t="s">
        <v>120</v>
      </c>
      <c r="B22" s="9" t="s">
        <v>194</v>
      </c>
      <c r="C22" s="9"/>
    </row>
    <row r="23" ht="15.75" customHeight="1">
      <c r="A23" s="9" t="s">
        <v>121</v>
      </c>
      <c r="B23" s="9" t="s">
        <v>199</v>
      </c>
      <c r="C23" s="9"/>
    </row>
    <row r="24" ht="15.75" customHeight="1">
      <c r="A24" s="9" t="s">
        <v>123</v>
      </c>
      <c r="B24" s="9" t="s">
        <v>201</v>
      </c>
      <c r="C24" s="9"/>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0"/>
    <col customWidth="1" min="2" max="2" width="52.0"/>
    <col customWidth="1" min="3" max="3" width="58.0"/>
    <col customWidth="1" min="4" max="26" width="8.71"/>
  </cols>
  <sheetData>
    <row r="1">
      <c r="A1" s="1" t="s">
        <v>193</v>
      </c>
    </row>
    <row r="2">
      <c r="A2" s="2" t="s">
        <v>195</v>
      </c>
    </row>
    <row r="4">
      <c r="A4" s="1" t="s">
        <v>197</v>
      </c>
    </row>
    <row r="5">
      <c r="A5" s="2" t="s">
        <v>198</v>
      </c>
    </row>
    <row r="6">
      <c r="A6" s="2" t="s">
        <v>200</v>
      </c>
    </row>
    <row r="8">
      <c r="A8" s="4" t="s">
        <v>152</v>
      </c>
      <c r="B8" s="4" t="s">
        <v>202</v>
      </c>
      <c r="C8" s="4" t="s">
        <v>203</v>
      </c>
    </row>
    <row r="9">
      <c r="A9" s="2" t="s">
        <v>45</v>
      </c>
      <c r="B9" s="5" t="s">
        <v>204</v>
      </c>
      <c r="C9" s="2" t="s">
        <v>205</v>
      </c>
    </row>
    <row r="10">
      <c r="A10" s="2" t="s">
        <v>48</v>
      </c>
      <c r="B10" s="5" t="s">
        <v>136</v>
      </c>
      <c r="C10" s="2" t="s">
        <v>206</v>
      </c>
    </row>
    <row r="11">
      <c r="A11" s="2" t="s">
        <v>87</v>
      </c>
      <c r="B11" s="5" t="s">
        <v>207</v>
      </c>
      <c r="C11" s="2" t="s">
        <v>208</v>
      </c>
    </row>
    <row r="12">
      <c r="A12" s="2" t="s">
        <v>51</v>
      </c>
      <c r="B12" s="5" t="s">
        <v>137</v>
      </c>
    </row>
    <row r="13">
      <c r="A13" s="2" t="s">
        <v>54</v>
      </c>
      <c r="B13" s="5" t="s">
        <v>210</v>
      </c>
      <c r="C13" s="2" t="s">
        <v>211</v>
      </c>
    </row>
    <row r="14">
      <c r="A14" s="2" t="s">
        <v>57</v>
      </c>
      <c r="B14" s="5" t="s">
        <v>212</v>
      </c>
      <c r="C14" s="2" t="s">
        <v>213</v>
      </c>
    </row>
    <row r="15">
      <c r="A15" s="2" t="s">
        <v>62</v>
      </c>
      <c r="B15" s="5" t="s">
        <v>214</v>
      </c>
      <c r="C15" s="2" t="s">
        <v>215</v>
      </c>
    </row>
    <row r="16">
      <c r="A16" s="2" t="s">
        <v>67</v>
      </c>
      <c r="B16" s="5" t="s">
        <v>216</v>
      </c>
    </row>
    <row r="17">
      <c r="A17" s="2" t="s">
        <v>74</v>
      </c>
      <c r="B17" s="5" t="s">
        <v>142</v>
      </c>
    </row>
    <row r="18">
      <c r="A18" s="2" t="s">
        <v>91</v>
      </c>
      <c r="B18" s="5" t="s">
        <v>207</v>
      </c>
      <c r="C18" s="2" t="s">
        <v>218</v>
      </c>
    </row>
    <row r="19">
      <c r="A19" s="2" t="s">
        <v>113</v>
      </c>
      <c r="B19" s="5" t="s">
        <v>219</v>
      </c>
      <c r="C19" s="2" t="s">
        <v>220</v>
      </c>
    </row>
    <row r="20">
      <c r="A20" s="2" t="s">
        <v>95</v>
      </c>
      <c r="B20" s="5" t="s">
        <v>221</v>
      </c>
      <c r="C20" s="2" t="s">
        <v>222</v>
      </c>
    </row>
    <row r="21" ht="15.75" customHeight="1">
      <c r="A21" s="2" t="s">
        <v>97</v>
      </c>
      <c r="B21" s="5" t="s">
        <v>207</v>
      </c>
    </row>
    <row r="22" ht="15.75" customHeight="1">
      <c r="A22" s="2" t="s">
        <v>100</v>
      </c>
      <c r="B22" s="5" t="s">
        <v>221</v>
      </c>
    </row>
    <row r="23" ht="15.75" customHeight="1">
      <c r="A23" s="2" t="s">
        <v>104</v>
      </c>
      <c r="B23" s="5" t="s">
        <v>61</v>
      </c>
      <c r="C23" s="2" t="s">
        <v>223</v>
      </c>
    </row>
    <row r="24" ht="15.75" customHeight="1">
      <c r="A24" s="2" t="s">
        <v>107</v>
      </c>
      <c r="B24" s="5" t="s">
        <v>61</v>
      </c>
      <c r="C24" s="2" t="s">
        <v>223</v>
      </c>
    </row>
    <row r="25" ht="15.75" customHeight="1">
      <c r="A25" s="2" t="s">
        <v>80</v>
      </c>
      <c r="B25" s="5" t="s">
        <v>143</v>
      </c>
    </row>
    <row r="26" ht="15.75" customHeight="1">
      <c r="A26" s="2" t="s">
        <v>111</v>
      </c>
      <c r="B26" s="5" t="s">
        <v>225</v>
      </c>
    </row>
    <row r="27" ht="15.75" customHeight="1">
      <c r="A27" s="2" t="s">
        <v>117</v>
      </c>
      <c r="B27" s="5" t="s">
        <v>226</v>
      </c>
    </row>
    <row r="28" ht="15.75" customHeight="1">
      <c r="A28" s="2" t="s">
        <v>120</v>
      </c>
      <c r="B28" s="5" t="s">
        <v>227</v>
      </c>
    </row>
    <row r="29" ht="15.75" customHeight="1">
      <c r="A29" s="2" t="s">
        <v>121</v>
      </c>
      <c r="B29" s="5" t="s">
        <v>228</v>
      </c>
      <c r="C29" s="2" t="s">
        <v>229</v>
      </c>
    </row>
    <row r="30" ht="15.75" customHeight="1">
      <c r="A30" s="2" t="s">
        <v>84</v>
      </c>
      <c r="B30" s="5" t="s">
        <v>165</v>
      </c>
    </row>
    <row r="31" ht="15.75" customHeight="1">
      <c r="A31" s="2" t="s">
        <v>123</v>
      </c>
      <c r="B31" s="5" t="s">
        <v>61</v>
      </c>
    </row>
    <row r="32" ht="15.75" customHeight="1"/>
    <row r="33" ht="15.75" customHeight="1">
      <c r="A33" s="1" t="s">
        <v>230</v>
      </c>
    </row>
    <row r="34" ht="15.75" customHeight="1">
      <c r="A34" s="2" t="s">
        <v>231</v>
      </c>
    </row>
    <row r="35" ht="15.75" customHeight="1">
      <c r="A35" s="1" t="s">
        <v>232</v>
      </c>
    </row>
    <row r="36" ht="15.75" customHeight="1">
      <c r="A36" s="2" t="s">
        <v>233</v>
      </c>
    </row>
    <row r="37" ht="15.75" customHeight="1">
      <c r="A37" s="2" t="s">
        <v>234</v>
      </c>
    </row>
    <row r="38" ht="15.75" customHeight="1">
      <c r="A38" s="2" t="s">
        <v>235</v>
      </c>
    </row>
    <row r="39" ht="15.75" customHeight="1"/>
    <row r="40" ht="15.75" customHeight="1">
      <c r="A40" s="4" t="s">
        <v>48</v>
      </c>
      <c r="B40" s="4" t="s">
        <v>54</v>
      </c>
      <c r="C40" s="4" t="s">
        <v>236</v>
      </c>
      <c r="D40" s="4" t="s">
        <v>237</v>
      </c>
      <c r="E40" s="4" t="s">
        <v>238</v>
      </c>
      <c r="F40" s="4" t="s">
        <v>239</v>
      </c>
    </row>
    <row r="41" ht="15.75" customHeight="1">
      <c r="A41" s="5" t="s">
        <v>136</v>
      </c>
      <c r="B41" s="5" t="s">
        <v>210</v>
      </c>
      <c r="C41" s="5">
        <v>7.0</v>
      </c>
      <c r="D41" s="5">
        <v>6.0</v>
      </c>
      <c r="E41" s="5">
        <v>2.0</v>
      </c>
      <c r="F41" s="5">
        <v>2.0</v>
      </c>
    </row>
    <row r="42" ht="15.75" customHeight="1">
      <c r="A42" s="5" t="s">
        <v>240</v>
      </c>
      <c r="B42" s="5" t="s">
        <v>158</v>
      </c>
      <c r="C42" s="5">
        <v>23.0</v>
      </c>
      <c r="D42" s="5">
        <v>16.0</v>
      </c>
      <c r="E42" s="5">
        <v>4.0</v>
      </c>
      <c r="F42" s="5">
        <v>2.0</v>
      </c>
    </row>
    <row r="43" ht="15.75" customHeight="1">
      <c r="A43" s="5" t="s">
        <v>242</v>
      </c>
      <c r="B43" s="5" t="s">
        <v>243</v>
      </c>
      <c r="C43" s="5">
        <v>2.0</v>
      </c>
      <c r="D43" s="5">
        <v>1.0</v>
      </c>
      <c r="E43" s="5">
        <v>0.0</v>
      </c>
      <c r="F43" s="5">
        <v>0.0</v>
      </c>
    </row>
    <row r="44" ht="15.75" customHeight="1"/>
    <row r="45" ht="15.75" customHeight="1">
      <c r="A45" s="2" t="s">
        <v>244</v>
      </c>
    </row>
    <row r="46" ht="15.75" customHeight="1">
      <c r="A46" s="2" t="s">
        <v>245</v>
      </c>
    </row>
    <row r="47" ht="15.75" customHeight="1">
      <c r="A47" s="2" t="s">
        <v>246</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2026-08-09T02:45:59Z</dcterms:created>
  <dc:creator>openpyxl</dc:creator>
</cp:coreProperties>
</file>