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Extraccion" sheetId="2" r:id="rId5"/>
    <sheet state="visible" name="Revistas" sheetId="3" r:id="rId6"/>
    <sheet state="visible" name="Listas" sheetId="4" r:id="rId7"/>
    <sheet state="visible" name="Diccionario" sheetId="5" r:id="rId8"/>
    <sheet state="visible" name="Ejemplo"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Clave con la que se cruzan las dos extracciones. NO la modifique.</t>
      </text>
    </comment>
    <comment authorId="0" ref="B1">
      <text>
        <t xml:space="preserve">Posición en el pozo cribado.</t>
      </text>
    </comment>
    <comment authorId="0" ref="F1">
      <text>
        <t xml:space="preserve">Artículo, resumen de congreso o ficha de registro.</t>
      </text>
    </comment>
    <comment authorId="0" ref="G1">
      <text>
        <t xml:space="preserve">DOI, PMID o identificador de registro.</t>
      </text>
    </comment>
    <comment authorId="0" ref="H1">
      <text>
        <t xml:space="preserve">Clic para abrirlo en el navegador.</t>
      </text>
    </comment>
    <comment authorId="0" ref="I1">
      <text>
        <t xml:space="preserve">Apellido del primer autor pegado al año: Tkhilaishvili2020. Sin espacios ni tildes.</t>
      </text>
    </comment>
    <comment authorId="0" ref="J1">
      <text>
        <t xml:space="preserve">A si el estudio da un solo grupo de datos. Si separa desenlaces por clase de resistencia, usa A, B, C.</t>
      </text>
    </comment>
    <comment authorId="0" ref="K1">
      <text>
        <t xml:space="preserve">Solo Pseudomonas si todos los pacientes tenían P. aeruginosa. Mixto si había otras bacterias PERO el artículo permite separar los de Pseudomonas.</t>
      </text>
    </comment>
    <comment authorId="0" ref="L1">
      <text>
        <t xml:space="preserve">MDR, XDR o PDR según Magiorakos. Si el antibiograma no alcanza para clasificar, pon 'no clasificable'.</t>
      </text>
    </comment>
    <comment authorId="0" ref="M1">
      <text>
        <t xml:space="preserve">¿Lo dice el autor y lo aceptaste, o lo verificaste tú con el antibiograma? Importa para el riesgo de sesgo.</t>
      </text>
    </comment>
    <comment authorId="0" ref="N1">
      <text>
        <t xml:space="preserve">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text>
    </comment>
    <comment authorId="0" ref="O1">
      <text>
        <t xml:space="preserve">Por dónde se administró el fago. Si fueron varias vías, elige 'otra' y explica en el paréntesis.</t>
      </text>
    </comment>
    <comment authorId="0" ref="P1">
      <text>
        <t xml:space="preserve">¿El fago fue solo, o junto con antibióticos?</t>
      </text>
    </comment>
    <comment authorId="0" ref="Q1">
      <text>
        <t xml:space="preserve">Lo que el artículo ES, no lo que dice ser. Un 'estudio' de un paciente es un caso clínico.</t>
      </text>
    </comment>
    <comment authorId="0" ref="R1">
      <text>
        <t xml:space="preserve">COMPLETA si sacaste todo lo que el artículo daba. PARCIAL o INCOMPLETA si te faltó algo, y explícalo en la última columna.</t>
      </text>
    </comment>
    <comment authorId="0" ref="S1">
      <text>
        <t xml:space="preserve">Cuántos pacientes hay en ESTE brazo, no en todo el estudio.</t>
      </text>
    </comment>
    <comment authorId="0" ref="T1">
      <text>
        <t xml:space="preserve">Cuántos pacientes de este brazo mejoraron, según la definición del propio autor. Si no lo reporta, NA.</t>
      </text>
    </comment>
    <comment authorId="0" ref="U1">
      <text>
        <t xml:space="preserve">Cuántos pacientes tuvieron algún evento adverso. Cero notificados se escribe 0, no NA.</t>
      </text>
    </comment>
    <comment authorId="0" ref="V1">
      <text>
        <t xml:space="preserve">En cuántos desapareció la bacteria en cultivo.</t>
      </text>
    </comment>
    <comment authorId="0" ref="W1">
      <text>
        <t xml:space="preserve">Cuántos fallecieron durante el seguimiento.</t>
      </text>
    </comment>
    <comment authorId="0" ref="X1">
      <text>
        <t xml:space="preserve">Días de hospitalización. Casi ningún caso clínico lo reporta: NA es lo normal aquí.</t>
      </text>
    </comment>
    <comment authorId="0" ref="Y1">
      <text>
        <t xml:space="preserve">En cuántos apareció resistencia al fago durante el tratamiento.</t>
      </text>
    </comment>
    <comment authorId="0" ref="Z1">
      <text>
        <t xml:space="preserve">Año del artículo.</t>
      </text>
    </comment>
    <comment authorId="0" ref="AA1">
      <text>
        <t xml:space="preserve">COPIA la definición del autor, no escribas la tuya. Es lo que después permite ver si todos midieron lo mismo.</t>
      </text>
    </comment>
    <comment authorId="0" ref="AB1">
      <text>
        <t xml:space="preserve">Nombre de la revista, y si es de alto o medio impacto: 'alto (Nature Microbiology)'.</t>
      </text>
    </comment>
    <comment authorId="0" ref="AC1">
      <text>
        <t xml:space="preserve">País y ciudad si consta: 'Alemania (Berlín)'.</t>
      </text>
    </comment>
    <comment authorId="0" ref="AD1">
      <text>
        <t xml:space="preserve">Página, tabla o figura de donde sacaste los números: 'p.3 Results, Tabla 2'. Obligatorio para cualquier cifra.</t>
      </text>
    </comment>
    <comment authorId="0" ref="AE1">
      <text>
        <t xml:space="preserve">Qué faltó y por qué. NA si no faltó nada.</t>
      </text>
    </comment>
  </commentList>
</comments>
</file>

<file path=xl/sharedStrings.xml><?xml version="1.0" encoding="utf-8"?>
<sst xmlns="http://schemas.openxmlformats.org/spreadsheetml/2006/main" count="2150" uniqueCount="878">
  <si>
    <t>Formulario de extracción — Nataly Trelles</t>
  </si>
  <si>
    <t>2026-08-08 · los 159 estudios extraíbles</t>
  </si>
  <si>
    <t>Empiece por la hoja Ejemplo. Son dos estudios ya resueltos.</t>
  </si>
  <si>
    <t>Lo que no debe hacer</t>
  </si>
  <si>
    <t>No abra el formulario del otro revisor ni el archivo de extracción del proyecto.</t>
  </si>
  <si>
    <t>Hay 42 estudios que ya se extrajeron y aun así salen en blanco aquí, a propósito:</t>
  </si>
  <si>
    <t>la comparación posterior solo mide algo si usted no vio lo que puso el otro.</t>
  </si>
  <si>
    <t>Las columnas</t>
  </si>
  <si>
    <t>Grises (A a G): identifican el estudio. No se tocan. La primera, Nº, es la clave</t>
  </si>
  <si>
    <t>con la que se cruzan las dos extracciones; si la cambia, se rompe el cruce.</t>
  </si>
  <si>
    <t>Amarillas: son suyas. Pase el ratón por cada encabezado y sale una nota</t>
  </si>
  <si>
    <t>explicando qué va en esa columna.</t>
  </si>
  <si>
    <t>Una fila por brazo</t>
  </si>
  <si>
    <t>Un brazo es un grupo de pacientes cuyos desenlaces el artículo permite contar</t>
  </si>
  <si>
    <t>aparte. Casi siempre eso significa clase de resistencia, no grupo de tratamiento.</t>
  </si>
  <si>
    <t>Si hay varios: copie la fila entera, péguela debajo, deje el mismo Nº y cambie</t>
  </si>
  <si>
    <t>el Brazo a B, C… Si el artículo no permite separarlos, una sola fila.</t>
  </si>
  <si>
    <t>NA y celda vacía no son lo mismo</t>
  </si>
  <si>
    <t>NA quiere decir que el artículo no lo reporta. Vacío quiere decir que usted</t>
  </si>
  <si>
    <t>todavía no lo ha mirado. El programa que compara los distingue.</t>
  </si>
  <si>
    <t>Los desplegables admiten texto</t>
  </si>
  <si>
    <t>Si ninguna opción encaja, escriba encima: otra (instilación intravesical).</t>
  </si>
  <si>
    <t>Lo que va entre paréntesis no afecta a la concordancia, así que explíquese.</t>
  </si>
  <si>
    <t>Al terminar</t>
  </si>
  <si>
    <t>Guarde el archivo sin cambiarle el nombre y devuélvalo a quien coordina.</t>
  </si>
  <si>
    <t>Nº</t>
  </si>
  <si>
    <t>Pos.</t>
  </si>
  <si>
    <t>Título del artículo</t>
  </si>
  <si>
    <t>Revista</t>
  </si>
  <si>
    <t>Año</t>
  </si>
  <si>
    <t>Tipo</t>
  </si>
  <si>
    <t>Cómo encontrarlo</t>
  </si>
  <si>
    <t>Abrir artículo</t>
  </si>
  <si>
    <t>Id del estudio (Autor+Año)</t>
  </si>
  <si>
    <t>Brazo</t>
  </si>
  <si>
    <t>¿Solo P. aeruginosa o mixto?</t>
  </si>
  <si>
    <t>Clase de resistencia</t>
  </si>
  <si>
    <t>¿De dónde sale esa clase?</t>
  </si>
  <si>
    <t>¿Cumple criterio DTR?</t>
  </si>
  <si>
    <t>Vía de administración</t>
  </si>
  <si>
    <t>¿Fago solo o con antibiótico?</t>
  </si>
  <si>
    <t>Diseño del estudio</t>
  </si>
  <si>
    <t>Estado de esta extracción</t>
  </si>
  <si>
    <t>Pacientes en este brazo</t>
  </si>
  <si>
    <t>Éxito clínico (nº pacientes)</t>
  </si>
  <si>
    <t>Eventos adversos (nº)</t>
  </si>
  <si>
    <t>Erradicación microbiológica (nº)</t>
  </si>
  <si>
    <t>Fallecidos (nº)</t>
  </si>
  <si>
    <t>Estancia hospitalaria (días)</t>
  </si>
  <si>
    <t>Aparición de resistencia al fago (nº)</t>
  </si>
  <si>
    <t>Año de publicación</t>
  </si>
  <si>
    <t>¿Cómo define el AUTOR el éxito clínico?</t>
  </si>
  <si>
    <t>Nivel de la revista</t>
  </si>
  <si>
    <t>País del estudio</t>
  </si>
  <si>
    <t>¿Dónde viste estos datos?</t>
  </si>
  <si>
    <t>Si algo quedó incompleto, ¿por qué?</t>
  </si>
  <si>
    <t>EST-001</t>
  </si>
  <si>
    <t>Case Report: Arthroscopic "Debridement Antibiotics and Implant Retention" With Local Injection of Personalized Phage Therapy to Salvage a Relapsing Pseudomonas Aeruginosa Prostheti</t>
  </si>
  <si>
    <t>Frontiers in medicine</t>
  </si>
  <si>
    <t>2021</t>
  </si>
  <si>
    <t>articulo</t>
  </si>
  <si>
    <t>10.3389/fmed.2021.569159</t>
  </si>
  <si>
    <t>abrir</t>
  </si>
  <si>
    <t>Ferry2021</t>
  </si>
  <si>
    <t>A</t>
  </si>
  <si>
    <t>solo Pseudomonas</t>
  </si>
  <si>
    <t>no clasificable</t>
  </si>
  <si>
    <t>declarado por el autor</t>
  </si>
  <si>
    <t>no</t>
  </si>
  <si>
    <t>intraarticular</t>
  </si>
  <si>
    <t>fago + antibiotico</t>
  </si>
  <si>
    <t>caso clinico</t>
  </si>
  <si>
    <t>COMPLETA</t>
  </si>
  <si>
    <t>NA</t>
  </si>
  <si>
    <t>Los datos actuales sugieren que el procedimiento PhagoDAIR por artroscopia tiene el potencial de utilizarse como terapia de rescate para pacientes con infección periprotésica recurrente por P. aeruginosa , en combinación con terapia antimicrobiana supresora. Se justifica realizar un estudio clínico de fase II para confirmar esta hipótesis.</t>
  </si>
  <si>
    <t xml:space="preserve">Francia </t>
  </si>
  <si>
    <t>informe del caso</t>
  </si>
  <si>
    <t xml:space="preserve">antibiograma </t>
  </si>
  <si>
    <t>EST-002</t>
  </si>
  <si>
    <t>Case report: Analysis of phage therapy failure in a patient with a Pseudomonas aeruginosa prosthetic vascular graft infection.</t>
  </si>
  <si>
    <t>2023</t>
  </si>
  <si>
    <t>10.3389/fmed.2023.1199657</t>
  </si>
  <si>
    <t>Blasco2023</t>
  </si>
  <si>
    <t>MDR</t>
  </si>
  <si>
    <t>IV</t>
  </si>
  <si>
    <t>En conclusión, en infecciones complejas por P. aeruginosa, la elección del tratamiento antibiótico y su duración son cruciales para minimizar la presión antibiótica y el desarrollo de resistencia. Si bien no hemos demostrado la eficacia del tratamiento con fagos en este caso, el estudio de los mecanismos moleculares de resistencia a los fagos y las interacciones bacteria-fago son fundamentales para mejorar la terapia con fagos en un futuro próxim</t>
  </si>
  <si>
    <t xml:space="preserve">España </t>
  </si>
  <si>
    <t>fagograma</t>
  </si>
  <si>
    <t>EST-003</t>
  </si>
  <si>
    <t>Refractory Pseudomonas aeruginosa infections treated with phage PASA16: A compassionate use case series.</t>
  </si>
  <si>
    <t>Med (New York, N.Y.)</t>
  </si>
  <si>
    <t>10.1016/j.medj.2023.07.002</t>
  </si>
  <si>
    <t>Onallah2023</t>
  </si>
  <si>
    <t>otra</t>
  </si>
  <si>
    <t>serie de casos</t>
  </si>
  <si>
    <t>Se ha observado que el tratamiento con PASA16 y antibióticos resulta relativamente eficaz en pacientes en los que los tratamientos tradicionales habían fracasado previamente. Estas cohortes previas a la fase 1 pueden servir de base para posibles protocolos clínicos y facilitar el diseño de futuros ensayos.</t>
  </si>
  <si>
    <t xml:space="preserve">Israel </t>
  </si>
  <si>
    <t>tabla 4</t>
  </si>
  <si>
    <t>EST-003	3</t>
  </si>
  <si>
    <t>B</t>
  </si>
  <si>
    <t>alto</t>
  </si>
  <si>
    <t>C</t>
  </si>
  <si>
    <t>XDR</t>
  </si>
  <si>
    <t>D</t>
  </si>
  <si>
    <t>PDR</t>
  </si>
  <si>
    <t>lalto</t>
  </si>
  <si>
    <t>Refractory Pseudomonas aeruginosa infections treated with phage PASA16: A compassionate use case series.g</t>
  </si>
  <si>
    <t>E</t>
  </si>
  <si>
    <t>EST-004</t>
  </si>
  <si>
    <t>Personalized inhaled bacteriophage therapy for treatment of multidrug-resistant Pseudomonas aeruginosa in cystic fibrosis.</t>
  </si>
  <si>
    <t>Nature medicine</t>
  </si>
  <si>
    <t>2025</t>
  </si>
  <si>
    <t>10.1038/s41591-025-03678-8</t>
  </si>
  <si>
    <t>Chan2025</t>
  </si>
  <si>
    <t>inhalada/nebulizada</t>
  </si>
  <si>
    <t>cohorte prospectiva</t>
  </si>
  <si>
    <t>Estos resultados demuestran que una estrategia de terapia fágica nebulizada personalizada puede afectar a los resultados clínicos y microbiológicos, que deben evaluarse en ensayos clínicos más amplios.</t>
  </si>
  <si>
    <t>EEUU</t>
  </si>
  <si>
    <t>tabla 1</t>
  </si>
  <si>
    <t>Tabla 1</t>
  </si>
  <si>
    <t>EST-005</t>
  </si>
  <si>
    <t>Successful adjunctive use of bacteriophage therapy for treatment of multidrug-resistant Pseudomonas aeruginosa infection in a cystic fibrosis patient.,</t>
  </si>
  <si>
    <t>Infection</t>
  </si>
  <si>
    <t>2019</t>
  </si>
  <si>
    <t>10.1007/s15010-019-01319-0</t>
  </si>
  <si>
    <t>LAW2019</t>
  </si>
  <si>
    <t>fago en monoterapia</t>
  </si>
  <si>
    <t>Dada la preocupación por las infecciones por P. aeruginosa multirresistente en pacientes con fibrosis quística, la BT podría ofrecer un complemento antiinfeccioso viable a la terapia antibiótica tradicional.</t>
  </si>
  <si>
    <t xml:space="preserve">evaluación hospitalaria </t>
  </si>
  <si>
    <t>EST-006</t>
  </si>
  <si>
    <t>Phage Therapy in a Burn Patient Colonized with Extensively Drug-Resistant Pseudomonas aeruginosa Responsible for Relapsing Ventilator-Associated Pneumonia and Bacteriemia.</t>
  </si>
  <si>
    <t>Viruses</t>
  </si>
  <si>
    <t>2024</t>
  </si>
  <si>
    <t>10.3390/v16071080</t>
  </si>
  <si>
    <t>Teney2024</t>
  </si>
  <si>
    <t>La inmunoestimulación también puede influir en el resultado. Facilitar el uso de la fagoterapia por razones humanitarias es el primer paso antes de realizar ensayos clínicos para demostrar su valor añadido en esta indicación. Este tratamiento adaptado al paciente fue posible gracias a la baja respuesta inmunitaria a la infección y a la disponibilidad de los fagos listos para usar, con un fagograma compatible con la cepa de P. aeruginosa del paciente</t>
  </si>
  <si>
    <t xml:space="preserve">Europa </t>
  </si>
  <si>
    <t>figura 1</t>
  </si>
  <si>
    <t>Na</t>
  </si>
  <si>
    <t>EST-007</t>
  </si>
  <si>
    <t>Adjuvant multisite bacteriophage cocktail administration as salvage treatment in a patient with a multidrug-resistant Pseudomonas aeruginosa frontal relapsing complex osteitis.</t>
  </si>
  <si>
    <t>International journal of infectious diseases : IJID : official publication of the International Society for Infectious Diseases</t>
  </si>
  <si>
    <t>2026</t>
  </si>
  <si>
    <t>10.1016/j.ijid.2026.108756</t>
  </si>
  <si>
    <t>Denis2026</t>
  </si>
  <si>
    <t>FA</t>
  </si>
  <si>
    <t>La administración de fagos en múltiples sitios es una estrategia de tratamiento personalizada que puede prevenir la recaída o la aparición de resistencia antimicrobiana adicional en casos complejos, como la osteítis recurrente por P. aeruginosa multirresistente</t>
  </si>
  <si>
    <t>figura 1B</t>
  </si>
  <si>
    <t>EST-009</t>
  </si>
  <si>
    <t>Case Report: Chronic Bacterial Prostatitis Treated With Phage Therapy After Multiple Failed Antibiotic Treatments.</t>
  </si>
  <si>
    <t>Frontiers in pharmacology</t>
  </si>
  <si>
    <t>10.3389/fphar.2021.692614</t>
  </si>
  <si>
    <t>Jhori2021</t>
  </si>
  <si>
    <t xml:space="preserve">Georgia </t>
  </si>
  <si>
    <t>EST-010</t>
  </si>
  <si>
    <t>Personalized bacteriophage therapy to treat pandrug-resistant spinal Pseudomonas aeruginosa infection.</t>
  </si>
  <si>
    <t xml:space="preserve">Nature Communications </t>
  </si>
  <si>
    <t>2022</t>
  </si>
  <si>
    <t>10.1038/s41467-022-31837-9</t>
  </si>
  <si>
    <t>Ferry2022</t>
  </si>
  <si>
    <t>Algunos pacientes fueron tratados con fagos en desarrollo por compañías privadas, y otros fueron tratados por estructuras académicas, debido a la falta de disponibilidad o la falta de actividad de los fagos en desarrollo 8 , 9 , 10 , 11 , 12 , 13 . A pesar de no poder determinar con precisión la contribución relativa de los fagos y los antibióticos en la mejoría del paciente en el presente estudio de caso, creemos que la terapia fágica personalizada es un tratamiento adyuvante potencial para la BJI compleja, en particular debido a P. aeruginosa panresistente</t>
  </si>
  <si>
    <t>EST-008</t>
  </si>
  <si>
    <t>Phage therapy with nebulized cocktail BX004-A for chronic Pseudomonas aeruginosa infections in cystic fibrosis: a randomized first-in-human trial.</t>
  </si>
  <si>
    <t>40593506</t>
  </si>
  <si>
    <t>Weiner2025</t>
  </si>
  <si>
    <t>ECA</t>
  </si>
  <si>
    <t xml:space="preserve">Resultado y discusión </t>
  </si>
  <si>
    <t xml:space="preserve">datos clínicos </t>
  </si>
  <si>
    <t>EST-011</t>
  </si>
  <si>
    <t>A case report of bacteriophage therapy for the treatment of lung infection due to carbapenem-resistant Pseudomonas aeruginosa.</t>
  </si>
  <si>
    <t>Scientific reports</t>
  </si>
  <si>
    <t>10.1038/s41598-025-17510-3</t>
  </si>
  <si>
    <t>Yang2025</t>
  </si>
  <si>
    <t>Esta investigación subraya la importancia de comprender las complejas interacciones entre fagos y bacterias para optimizar las estrategias de terapia fágica.</t>
  </si>
  <si>
    <t xml:space="preserve">China </t>
  </si>
  <si>
    <t xml:space="preserve">Resultados </t>
  </si>
  <si>
    <t>EST-012</t>
  </si>
  <si>
    <t>Chronic suppression of a multidrug-resistant Pseudomonas aeruginosa in prosthetic joint infection using personalized bacteriophage treatment.</t>
  </si>
  <si>
    <t>Nature communications</t>
  </si>
  <si>
    <t>10.1038/s41467-026-74326-z</t>
  </si>
  <si>
    <t>ARya2025</t>
  </si>
  <si>
    <t xml:space="preserve">Después de la terapia con bacteriófagos, una disminución fenotípica en
PAG. aeruginosa
Se observó virulencia. Esto fue
observado por un aumento estadísticamente significativo en
C. elegans
supervivencia y motilidad reducida después de un largo período
tratamiento con fagos. Una pérdida de virulencia resultó en la capacidad del bacteriófago para desarrollar síntomas clínicos.
control de la infección sin erradicación
</t>
  </si>
  <si>
    <t>EST-013</t>
  </si>
  <si>
    <t>Personalized bacteriophage therapy for chronic biliary tract Pseudomonas aeruginosa infections</t>
  </si>
  <si>
    <t>hLife</t>
  </si>
  <si>
    <t>10.1016/j.hlife.2025.03.004</t>
  </si>
  <si>
    <t>Li2025</t>
  </si>
  <si>
    <t>intravesical</t>
  </si>
  <si>
    <t>Si</t>
  </si>
  <si>
    <t>este estudio de caso corrobora la seguridad de la terapia con fagos para las infecciones bacterianas y su capacidad para aliviar los síntomas de la infección, abriendo así nuevas vías en los enfoques terapéuticos. Para las infecciones crónicas y complejas, los bacteriófagos ofrecen una alternativa económica y segura. Este caso también ilustra los diversos desafíos que se presentan durante la terapia con bacteriófagos, lo que subraya la necesidad de seguir investigando para comprender mejor y optimizar su utilidad clínica.</t>
  </si>
  <si>
    <t>EST-014</t>
  </si>
  <si>
    <t>Bacteriophage therapy for empyema caused by carbapenem-resistant Pseudomonas aeruginosa.</t>
  </si>
  <si>
    <t>Bioscience trends</t>
  </si>
  <si>
    <t>10.5582/bst.2022.01147</t>
  </si>
  <si>
    <t>Chen2022</t>
  </si>
  <si>
    <t>Esta experiencia demuestra que un tratamiento antibiótico convencional combinado con terapia de bacteriófagos puede ser eficaz para aliviar una infección bacteriana multirresistente en el empiema asociado a la fístula broncopleural.</t>
  </si>
  <si>
    <t xml:space="preserve">informe breve resultado clínico </t>
  </si>
  <si>
    <t>EST-015</t>
  </si>
  <si>
    <t>Combination of phage therapy and cefiderocol to successfully treat Pseudomonas aeruginosa cranial osteomyelitis.</t>
  </si>
  <si>
    <t>JAC-antimicrobial resistance</t>
  </si>
  <si>
    <t>10.1093/jacamr/dlac046</t>
  </si>
  <si>
    <t>simner2022</t>
  </si>
  <si>
    <t>si</t>
  </si>
  <si>
    <t>Este informe se suma a la creciente bibliografía que indica que la terapia con fagos puede ser un enfoque seguro y eficaz para complementar la terapia antibiótica en pacientes infectados con patógenos resistentes a los medicamentos. Además, resalta la importancia de la familia de β-lactamasas GES en la inactivación de una amplia gama de antibióticos β-lactámicos en P. aeruginosa , incluyendo ceftolozano/tazobactam, ceftazidima/avibactam e imipenem/relebactam</t>
  </si>
  <si>
    <t xml:space="preserve">EEUU </t>
  </si>
  <si>
    <t xml:space="preserve">resultados </t>
  </si>
  <si>
    <t>na</t>
  </si>
  <si>
    <t>EST-016</t>
  </si>
  <si>
    <t>Use of Phage Cocktail BFC 1.10 in Combination With Ceftazidime-Avibactam in the Treatment of Multidrug-Resistant Pseudomonas aeruginosa Femur Osteomyelitis-A Case Report.</t>
  </si>
  <si>
    <t>10.3389/fmed.2022.851310</t>
  </si>
  <si>
    <t>racenis2022</t>
  </si>
  <si>
    <t>En este caso, el desbridamiento de la herida combinado con antibióticos y bacteriófagos resultó en la erradicación bacteriana del segmento femoral proximal, evitando la amputación de la pierna, pero no logró tratar la osteomielitis en el segmento óseo distal. Se realizó una evaluación in vitro de la cepa aislada de P. aeruginosa MDR para la formación de biopelículas y la susceptibilidad a fagos.</t>
  </si>
  <si>
    <t>informe de caso</t>
  </si>
  <si>
    <t>EST-017</t>
  </si>
  <si>
    <t>Successful Treatment of a Patient With Chronic Bronchiectasis Using an Induced Native Phage Cocktail: A Case Report.</t>
  </si>
  <si>
    <t>Cureus</t>
  </si>
  <si>
    <t>10.7759/cureus.77681</t>
  </si>
  <si>
    <t>Jerniga2025</t>
  </si>
  <si>
    <t>EST-018</t>
  </si>
  <si>
    <t>Bacteriophage therapy in clinical practice: case studies of Pseudomonas aeruginosa infections.</t>
  </si>
  <si>
    <t>Journal of chemotherapy (Florence, Italy)</t>
  </si>
  <si>
    <t>10.1080/1120009x.2025.2547147</t>
  </si>
  <si>
    <t>EST-019</t>
  </si>
  <si>
    <t>Neutralizing antibodies after nebulized phage therapy in cystic fibrosis patients.</t>
  </si>
  <si>
    <t>10.1016/j.medj.2024.05.017</t>
  </si>
  <si>
    <t>EST-020</t>
  </si>
  <si>
    <t>Adjunctive phage therapy improves antibiotic treatment of ventilator-associated-pneumonia with Pseudomonas aeruginosa.</t>
  </si>
  <si>
    <t>10.1038/s41467-025-59806-y</t>
  </si>
  <si>
    <t>EST-024</t>
  </si>
  <si>
    <t>Bacteriophage Therapy for Pan-Drug-Resistant Pseudomonas aeruginosa in Two Persons With Cystic Fibrosis.</t>
  </si>
  <si>
    <t>Journal of investigative medicine high impact case reports</t>
  </si>
  <si>
    <t>10.1177/23247096231188243</t>
  </si>
  <si>
    <t>EST-021</t>
  </si>
  <si>
    <t>Efficacy and tolerability of a cocktail of bacteriophages to treat burn wounds infected by Pseudomonas aeruginosa (PhagoBurn): a randomised, controlled, double-blind phase 1/2 tria</t>
  </si>
  <si>
    <t>The Lancet. Infectious diseases</t>
  </si>
  <si>
    <t>30292481</t>
  </si>
  <si>
    <t>EST-027</t>
  </si>
  <si>
    <t>Personalized aerosolised bacteriophage treatment of a chronic lung infection due to multidrug-resistant Pseudomonas aeruginosa.</t>
  </si>
  <si>
    <t>10.1038/s41467-023-39370-z</t>
  </si>
  <si>
    <t>EST-028</t>
  </si>
  <si>
    <t>A feasibility study for personalized phage therapy against drug-resistant bacteria in Japan.</t>
  </si>
  <si>
    <t>Journal of infection and chemotherapy : official journal of the Japan Society of Chemotherapy</t>
  </si>
  <si>
    <t>10.1016/j.jiac.2025.102770</t>
  </si>
  <si>
    <t>EST-029</t>
  </si>
  <si>
    <t>Randomized double-blind study on safety and tolerability of TP-102 phage cocktail in patients with infected and non-infected diabetic foot ulcers.</t>
  </si>
  <si>
    <t>39740667</t>
  </si>
  <si>
    <t>EST-030</t>
  </si>
  <si>
    <t>Clearance of hypermutator XDR Pseudomonas osteomyelitis and hardware infection with adjunctive bacteriophage therapy.</t>
  </si>
  <si>
    <t>ASM case reports</t>
  </si>
  <si>
    <t>10.1128/asmcr.00108-25</t>
  </si>
  <si>
    <t>EST-031</t>
  </si>
  <si>
    <t>Harnessing bacteriophages to combat antibiotic-resistant chronic postoperative infections: A promising case series</t>
  </si>
  <si>
    <t>Medicine in Microecology</t>
  </si>
  <si>
    <t>10.1016/j.medmic.2026.100178</t>
  </si>
  <si>
    <t>EST-032</t>
  </si>
  <si>
    <t>Refractory Pseudomonas Bacteremia in a 2-Year-Old Sterilized by Bacteriophage Therapy.</t>
  </si>
  <si>
    <t>Journal of the Pediatric Infectious Diseases Society</t>
  </si>
  <si>
    <t>2018</t>
  </si>
  <si>
    <t>10.1093/jpids/pix056</t>
  </si>
  <si>
    <t>EST-033</t>
  </si>
  <si>
    <t>Bacteriophage Therapy of Ventilator-associated Pneumonia and Empyema Caused by Pseudomonas aeruginosa.</t>
  </si>
  <si>
    <t>American journal of respiratory and critical care medicine</t>
  </si>
  <si>
    <t>10.1164/rccm.201904-0839le</t>
  </si>
  <si>
    <t>EST-034</t>
  </si>
  <si>
    <t>Lessons Learned From the First 10 Consecutive Cases of Intravenous Bacteriophage Therapy to Treat Multidrug-Resistant Bacterial Infections at a Single Center in the United States.</t>
  </si>
  <si>
    <t>Open forum infectious diseases</t>
  </si>
  <si>
    <t>2020</t>
  </si>
  <si>
    <t>10.1093/ofid/ofaa389</t>
  </si>
  <si>
    <t>EST-035</t>
  </si>
  <si>
    <t>Safety and microbiological activity of phage therapy in persons with cystic fibrosis colonized with Pseudomonas aeruginosa: study protocol for a phase 1b/2, multicenter, randomized</t>
  </si>
  <si>
    <t>Trials</t>
  </si>
  <si>
    <t>36578069</t>
  </si>
  <si>
    <t>EST-037</t>
  </si>
  <si>
    <t>Pan-Resistant Pseudomonas aeruginosa Septic Shock in a Critically Ill Patient: A Case Report.</t>
  </si>
  <si>
    <t xml:space="preserve">Clinical Medicine Insights: Case Reports </t>
  </si>
  <si>
    <t>10.1177/11795476251411094</t>
  </si>
  <si>
    <t>EST-038</t>
  </si>
  <si>
    <t>Phage Therapy Experience at the Eliava Phage Therapy Center: Three Cases of Bacterial Persistence.</t>
  </si>
  <si>
    <t>10.3390/v13101901</t>
  </si>
  <si>
    <t>EST-039</t>
  </si>
  <si>
    <t>Adaptive Phage Therapy for the Prevention of Recurrent Nosocomial Pneumonia: Novel Protocol Description and Case Series</t>
  </si>
  <si>
    <t>Antibiotics</t>
  </si>
  <si>
    <t>10.3390/antibiotics12121734</t>
  </si>
  <si>
    <t>EST-040</t>
  </si>
  <si>
    <t>Refractory Pseudomonas aeruginosa Bronchopulmonary Infection After Lung Transplantation for Common Variable Immunodeficiency Despite Maximal Treatment Including IgM/IgA-Enriched Im</t>
  </si>
  <si>
    <t>Infection and drug resistance</t>
  </si>
  <si>
    <t>10.2147/idr.s413900</t>
  </si>
  <si>
    <t>EST-041</t>
  </si>
  <si>
    <t>Optimized preparation pipeline for emergency phage therapy against Pseudomonas aeruginosa at Yale University.</t>
  </si>
  <si>
    <t>10.1038/s41598-024-52192-3</t>
  </si>
  <si>
    <t>EST-042</t>
  </si>
  <si>
    <t>Phage therapy of perinephric abscess in kidney transplantation recipients caused by drug-resistant Pseudomonas aeruginosa.</t>
  </si>
  <si>
    <t>mLife</t>
  </si>
  <si>
    <t>10.1002/mlf2.70042</t>
  </si>
  <si>
    <t>EST-043</t>
  </si>
  <si>
    <t>Calciphylaxis complicated by NDM-1-producing Pseudomonas aeruginosa: first experience with cefepime-zidebactam alongside phage therapy in the USA.</t>
  </si>
  <si>
    <t>10.1016/s1473-3099(26)00176-3</t>
  </si>
  <si>
    <t>EST-044</t>
  </si>
  <si>
    <t>Successful Bacteriophage Treatment of a Recalcitrant Intra-Abdominal Infection Caused by Multidrug-Resistant Pseudomonas aeruginosa in a 2-Year-Old Child.</t>
  </si>
  <si>
    <t>The Journal of pediatrics</t>
  </si>
  <si>
    <t>10.1016/j.jpeds.2026.115005</t>
  </si>
  <si>
    <t>EST-045</t>
  </si>
  <si>
    <t>Concept of individualized medicine based on personalized phage therapy for intensive care unit patients suffering from healthcare-associated infections</t>
  </si>
  <si>
    <t>Infektsionnye Bolezni</t>
  </si>
  <si>
    <t>2017</t>
  </si>
  <si>
    <t>10.20953/1729-9225-2017-4-49-54</t>
  </si>
  <si>
    <t>EST-046</t>
  </si>
  <si>
    <t>Use of bacteriophages in the treatment of colistin-only-sensitive Pseudomonas aeruginosa septicaemia in a patient with acute kidney injury-a case report.</t>
  </si>
  <si>
    <t>Critical care (London, England)</t>
  </si>
  <si>
    <t>10.1186/s13054-017-1709-y</t>
  </si>
  <si>
    <t>EST-047</t>
  </si>
  <si>
    <t>Bacteriophages as Adjuvant to Antibiotics for the Treatment of Periprosthetic Joint Infection Caused by Multidrug-Resistant Pseudomonas aeruginosa.</t>
  </si>
  <si>
    <t>Antimicrobial agents and chemotherapy</t>
  </si>
  <si>
    <t>10.1128/aac.00924-19</t>
  </si>
  <si>
    <t>EST-048</t>
  </si>
  <si>
    <t>Application of Phage Therapy in a Case of a Chronic Hip-Prosthetic Joint Infection due to Pseudomonas aeruginosa: An Italian Real-Life Experience and In Vitro Analysis.</t>
  </si>
  <si>
    <t>10.1093/ofid/ofad051</t>
  </si>
  <si>
    <t>EST-049</t>
  </si>
  <si>
    <t>Development of Host Immune Response to Bacteriophage in a Lung Transplant Recipient on Adjunctive Phage Therapy for a Multidrug-Resistant Pneumonia.</t>
  </si>
  <si>
    <t>The Journal of infectious diseases</t>
  </si>
  <si>
    <t>10.1093/infdis/jiac368</t>
  </si>
  <si>
    <t>EST-050</t>
  </si>
  <si>
    <t>Access to phage therapy at Hospices Civils de Lyon in 2022: Implementation of the PHAGEinLYON Clinic programme.</t>
  </si>
  <si>
    <t>International journal of antimicrobial agents</t>
  </si>
  <si>
    <t>10.1016/j.ijantimicag.2024.107372</t>
  </si>
  <si>
    <t>EST-051</t>
  </si>
  <si>
    <t>Case report: Local bacteriophage therapy for fracture-related infection with polymicrobial multi-resistant bacteria: hydrogel application and postoperative phage analysis through m</t>
  </si>
  <si>
    <t>Frontiers in Medicine</t>
  </si>
  <si>
    <t>10.3389/fmed.2024.1428432</t>
  </si>
  <si>
    <t>EST-053</t>
  </si>
  <si>
    <t>Phage-Antibiotic Combination Therapy against Recurrent Pseudomonas Septicaemia in a Patient with an Arterial Stent.</t>
  </si>
  <si>
    <t>Antibiotics (Basel, Switzerland)</t>
  </si>
  <si>
    <t>10.3390/antibiotics13100916</t>
  </si>
  <si>
    <t>EST-054</t>
  </si>
  <si>
    <t>Bacteriophage Therapy for Chronic Mastoiditis.</t>
  </si>
  <si>
    <t>Otology &amp; neurotology : official publication of the American Otological Society, American Neurotology Society [and] European Academy of Otology and Neurotology</t>
  </si>
  <si>
    <t>10.1097/mao.0000000000004417</t>
  </si>
  <si>
    <t>EST-055</t>
  </si>
  <si>
    <t>Bacteriophage therapy in women with chronic recurrent cystitis caused by multidrug-resistant bacteria: A prospective, observational, comparative study</t>
  </si>
  <si>
    <t>Current Urology</t>
  </si>
  <si>
    <t>10.1097/cu9.0000000000000268</t>
  </si>
  <si>
    <t>EST-057</t>
  </si>
  <si>
    <t>Phage Therapy as a Rescue Treatment for Recurrent Pseudomonas aeruginosa Bentall Infection.</t>
  </si>
  <si>
    <t>10.3390/v17010123</t>
  </si>
  <si>
    <t>EST-058</t>
  </si>
  <si>
    <t>Resolution of acute rejection in a bilateral double-lung transplanted cystic fibrosis patient following phage intervention.</t>
  </si>
  <si>
    <t>10.1128/asmcr.00058-24</t>
  </si>
  <si>
    <t>EST-059</t>
  </si>
  <si>
    <t>Anti-phage antibody response in phage therapy against healthcare-associated infections (HAIs)</t>
  </si>
  <si>
    <t>10.20953/1729-9225-2017-1-35-40</t>
  </si>
  <si>
    <t>EST-060</t>
  </si>
  <si>
    <t>Clinical Indications and Compassionate Use of Phage Therapy: Personal Experience and Literature Review with a Focus on Osteoarticular Infections.</t>
  </si>
  <si>
    <t>10.3390/v11010018</t>
  </si>
  <si>
    <t>EST-061</t>
  </si>
  <si>
    <t>Early clinical experience of bacteriophage therapy in 3 lung transplant recipients.</t>
  </si>
  <si>
    <t>American journal of transplantation : official journal of the American Society of Transplantation and the American Society of Transplant Surgeons</t>
  </si>
  <si>
    <t>10.1111/ajt.15503</t>
  </si>
  <si>
    <t>EST-062</t>
  </si>
  <si>
    <t>Bacteriophage-antibiotic combination therapy against extensively drug-resistant Pseudomonas aeruginosa infection to allow liver transplantation in a toddler.</t>
  </si>
  <si>
    <t>10.1038/s41467-022-33294-w</t>
  </si>
  <si>
    <t>EST-063</t>
  </si>
  <si>
    <t>Single-arm, open-labelled, safety and tolerability of intrabronchial and nebulised bacteriophage treatment in children with cystic fibrosis and Pseudomonas aeruginosa.</t>
  </si>
  <si>
    <t>BMJ open respiratory research</t>
  </si>
  <si>
    <t>10.1136/bmjresp-2022-001360</t>
  </si>
  <si>
    <t>EST-064</t>
  </si>
  <si>
    <t>Adjunctive bacteriophage therapy for refractory/resistant Pseudomonas aeruginosa infections: Bottlenecks and proposed solutions.</t>
  </si>
  <si>
    <t>10.1016/j.ijantimicag.2025.107629</t>
  </si>
  <si>
    <t>EST-065</t>
  </si>
  <si>
    <t>Successful phage therapy in a patient with prosthetic joint infection; [Tratamiento exitoso con fagoterapia en una paciente con infección periprotésica]</t>
  </si>
  <si>
    <t>Enfermedades Infecciosas y Microbiologia Clinica</t>
  </si>
  <si>
    <t>10.1016/j.eimc.2025.05.008</t>
  </si>
  <si>
    <t>EST-067</t>
  </si>
  <si>
    <t>Adaptive Phage Therapy in the Treatment of Patients with Recurrent Pneumonia (Pilot Study)</t>
  </si>
  <si>
    <t>Obshchaya Reanimatologiya</t>
  </si>
  <si>
    <t>10.15360/1813-9779-2021-6-4-14</t>
  </si>
  <si>
    <t>EST-052</t>
  </si>
  <si>
    <t>CYstic Fibrosis bacterioPHage study at Yale (CYPHY)</t>
  </si>
  <si>
    <t>Journal of cystic fibrosis</t>
  </si>
  <si>
    <t>NCT04684641</t>
  </si>
  <si>
    <t>EST-070</t>
  </si>
  <si>
    <t>Compassionate Use of Bacteriophages for Failed Persistent Infections During the First 5 Years of the Israeli Phage Therapy Center</t>
  </si>
  <si>
    <t>Open Forum Infectious Diseases</t>
  </si>
  <si>
    <t>10.1093/ofid/ofad221</t>
  </si>
  <si>
    <t>EST-073</t>
  </si>
  <si>
    <t>Bacteriophage Therapy of Chronic Nonhealing Wound: Clinical Study.</t>
  </si>
  <si>
    <t>The international journal of lower extremity wounds</t>
  </si>
  <si>
    <t>10.1177/1534734619835115</t>
  </si>
  <si>
    <t>EST-074</t>
  </si>
  <si>
    <t>Bacteriophage Therapy for Critical Infections Related to Cardiothoracic Surgery.</t>
  </si>
  <si>
    <t>10.3390/antibiotics9050232</t>
  </si>
  <si>
    <t>EST-075</t>
  </si>
  <si>
    <t>Phage therapy in antibiotic resistant pneumonia: Immunomodulation or redistribution?; [ФАГОТЕРАПИЯ АНТИБИОТИКОРЕЗИСТЕНТНОЙ ПНЕВМОНИИ: ИММУНОМОДУЛЯЦИЯ ИЛИ ПЕРЕРАСПРЕДЕЛЕНИЕ?]</t>
  </si>
  <si>
    <t>Medical Immunology (Russia)</t>
  </si>
  <si>
    <t>10.15789/1563-0625-pti-2012</t>
  </si>
  <si>
    <t>EST-076</t>
  </si>
  <si>
    <t>Experience Using Adjuvant Bacteriophage Therapy for the Treatment of 10 Recalcitrant Periprosthetic Joint Infections: A Case Series.</t>
  </si>
  <si>
    <t>Clinical infectious diseases : an official publication of the Infectious Diseases Society of America</t>
  </si>
  <si>
    <t>10.1093/cid/ciac694</t>
  </si>
  <si>
    <t>EST-077</t>
  </si>
  <si>
    <t>Pseudomonas aeruginosa ventricular assist device infections: findings from ineffective phage therapies in five cases.</t>
  </si>
  <si>
    <t>10.1128/aac.01728-23</t>
  </si>
  <si>
    <t>EST-078</t>
  </si>
  <si>
    <t>Efficacy of Bacteriophage Therapy in the Treatment of Diabetic Foot Ulcers: a Pilot Study from South India</t>
  </si>
  <si>
    <t>International journal of diabetes in developing countries</t>
  </si>
  <si>
    <t>resumen de congreso</t>
  </si>
  <si>
    <t>cita: Int J Diabetes Dev Ctries 2025</t>
  </si>
  <si>
    <t>EST-079</t>
  </si>
  <si>
    <t>The potential use of phage therapy in the treatment of exacerbated chronic suppurative otitis media; [Возможности фаготерапии в лечении хронического гнойного среднего отита в стади</t>
  </si>
  <si>
    <t>Meditsinskiy Sovet</t>
  </si>
  <si>
    <t>10.21518/ms2025-451</t>
  </si>
  <si>
    <t>EST-080</t>
  </si>
  <si>
    <t>Bacteriophage Therapy as a Potential Management Option for Surgical Wound Infections</t>
  </si>
  <si>
    <t>PHAGE: Therapy, Applications, and Research</t>
  </si>
  <si>
    <t>10.1089/phage.2020.0010</t>
  </si>
  <si>
    <t>EST-081</t>
  </si>
  <si>
    <t>Bacteriophage therapy as a treatment option for transplant infections.</t>
  </si>
  <si>
    <t>Current opinion in infectious diseases</t>
  </si>
  <si>
    <t>10.1097/qco.0000000000000658</t>
  </si>
  <si>
    <t>EST-083</t>
  </si>
  <si>
    <t>Bacteriophage Therapy for Difficult-to-Treat Infections: The Implementation of a Multidisciplinary Phage Task Force (The PHAGEFORCE Study Protocol).</t>
  </si>
  <si>
    <t>10.3390/v13081543</t>
  </si>
  <si>
    <t>EST-085</t>
  </si>
  <si>
    <t>First-in-human application of double-stranded RNA bacteriophage in the treatment of pulmonary Pseudomonas aeruginosa infection.</t>
  </si>
  <si>
    <t>Microbial biotechnology</t>
  </si>
  <si>
    <t>10.1111/1751-7915.14217</t>
  </si>
  <si>
    <t>EST-086</t>
  </si>
  <si>
    <t>Inhalation phage therapy as a new approach to preventing secondary bacterial pneumonia in patients with moderate to severe COVID-19: A double-blind clinical trial study</t>
  </si>
  <si>
    <t>Journal of Drug Delivery Science and Technology</t>
  </si>
  <si>
    <t>10.1016/j.jddst.2023.104486</t>
  </si>
  <si>
    <t>EST-088</t>
  </si>
  <si>
    <t>Case report: Personalized triple phage-antibiotic combination therapy to rescue necrotizing fasciitis caused by Panton-Valentine leukocidin-producing MRSA in a 12-year-old boy.</t>
  </si>
  <si>
    <t>Frontiers in cellular and infection microbiology</t>
  </si>
  <si>
    <t>10.3389/fcimb.2024.1354681</t>
  </si>
  <si>
    <t>EST-089</t>
  </si>
  <si>
    <t>Combined use of light and phage therapy in patients with pharyngeal tonsil hypertrophy</t>
  </si>
  <si>
    <t>Voprosy Prakticheskoi Pediatrii</t>
  </si>
  <si>
    <t>10.20953/1817-7646-2024-2-123-127</t>
  </si>
  <si>
    <t>EST-090</t>
  </si>
  <si>
    <t xml:space="preserve">'Bacteriophage therapy, a solution for increasing antibiotic resistance'. UMC Utrecht treats a patient with bacteriophage for the first time; [IBACTERIOFAAGTH ERAPI E UITKOMST BIJ </t>
  </si>
  <si>
    <t>Pharmaceutisch Weekblad</t>
  </si>
  <si>
    <t>cita: Pharmaceutisch Weekblad 2025</t>
  </si>
  <si>
    <t>EST-091</t>
  </si>
  <si>
    <t>Analysis of Pro- and Anti-Inflammatory Gene Response Patterns in Patients Receiving Phage Therapy.</t>
  </si>
  <si>
    <t>International journal of molecular sciences</t>
  </si>
  <si>
    <t>10.3390/ijms27010172</t>
  </si>
  <si>
    <t>EST-092</t>
  </si>
  <si>
    <t>Phage therapy analysis of effectiveness in comorbid patients with wounds and surgical infections of various etiology based on the results of a comparative clinical study; [Анализ э</t>
  </si>
  <si>
    <t>Pirogov Russian Journal of Surgery</t>
  </si>
  <si>
    <t>40103254</t>
  </si>
  <si>
    <t>EST-093</t>
  </si>
  <si>
    <t>Pharmacodynamic individualization of phage therapy against a KPC-5-producing Pseudomonas aeruginosa.</t>
  </si>
  <si>
    <t>10.1093/jacamr/dlaf257</t>
  </si>
  <si>
    <t>EST-094</t>
  </si>
  <si>
    <t>Timely bespoke phage-antibiotic combination to treat refractory Pseudomonas aeruginosa mediastinitis and vascular graft infection.</t>
  </si>
  <si>
    <t>10.1038/s41467-025-68136-y</t>
  </si>
  <si>
    <t>EST-095</t>
  </si>
  <si>
    <t>Bacterial lysis, autophagy and innate immune responses during adjunctive phage therapy in a child.</t>
  </si>
  <si>
    <t>EMBO molecular medicine</t>
  </si>
  <si>
    <t>10.15252/emmm.202113936</t>
  </si>
  <si>
    <t>EST-096</t>
  </si>
  <si>
    <t>Low immunogenicity of intravesical phage therapy for urogenitary tract infections</t>
  </si>
  <si>
    <t>10.3390/antibiotics10060627</t>
  </si>
  <si>
    <t>EST-098</t>
  </si>
  <si>
    <t>Bacteriophage therapy as a treatment option for complex cardiovascular implant infection: The German Heart Center Berlin experience.</t>
  </si>
  <si>
    <t>The Journal of heart and lung transplantation : the official publication of the International Society for Heart Transplantation</t>
  </si>
  <si>
    <t>10.1016/j.healun.2022.01.018</t>
  </si>
  <si>
    <t>EST-100</t>
  </si>
  <si>
    <t>Personalized phagotherapy in the treatment of healthcare-associated infections caused by multidrug-resistant pathogens</t>
  </si>
  <si>
    <t>10.20953/1729-9225-2024-4-76-85</t>
  </si>
  <si>
    <t>EST-101</t>
  </si>
  <si>
    <t>The Efficacy of Inhaled Phage Cocktail to Prevent Ventilator-Associated Pneumonia in Children: A Double-Blind Clinical Trial</t>
  </si>
  <si>
    <t>Biomedicines</t>
  </si>
  <si>
    <t>10.3390/biomedicines13092103</t>
  </si>
  <si>
    <t>EST-103</t>
  </si>
  <si>
    <t>Phage therapy of purulent wounds: comparative clinical cytomorphological and microbiological analysis of effectiveness; [Фаготерапиягнойныхран:сравнительныйклинико-цитоморфологичес</t>
  </si>
  <si>
    <t>41885494</t>
  </si>
  <si>
    <t>EST-105</t>
  </si>
  <si>
    <t>Innovations for the treatment of a complex bone and joint infection due to XDR Pseudomonas aeruginosa including local application of a selected cocktail of bacteriophages.</t>
  </si>
  <si>
    <t>The Journal of antimicrobial chemotherapy</t>
  </si>
  <si>
    <t>10.1093/jac/dky263</t>
  </si>
  <si>
    <t>EST-106</t>
  </si>
  <si>
    <t>Phage treatment of an aortic graft infected with Pseudomonas aeruginosa.</t>
  </si>
  <si>
    <t>Evolution, medicine, and public health</t>
  </si>
  <si>
    <t>10.1093/emph/eoy005</t>
  </si>
  <si>
    <t>EST-108</t>
  </si>
  <si>
    <t>Personalized bacteriophage therapy outcomes for 100 consecutive cases: a multicentre, multinational, retrospective observational study.</t>
  </si>
  <si>
    <t>Nature microbiology</t>
  </si>
  <si>
    <t>10.1038/s41564-024-01705-x</t>
  </si>
  <si>
    <t>EST-109</t>
  </si>
  <si>
    <t>Prevention of nosocomial pneumonia recurrence using a bacteriophage cocktail in intensive care unit</t>
  </si>
  <si>
    <t>Russian Journal of Anesthesiology and Reanimatology /Anesteziologiya i Reanimatologiya</t>
  </si>
  <si>
    <t>10.17116/anaesthesiology202402139</t>
  </si>
  <si>
    <t>EST-110</t>
  </si>
  <si>
    <t>Successful Use of Phage and Antibiotics Therapy for the Eradication of Two Bacterial Pathogens from the Respiratory Tract of an Infant.</t>
  </si>
  <si>
    <t>Methods in molecular biology (Clifton, N.J.)</t>
  </si>
  <si>
    <t>10.1007/978-1-0716-3523-0_15</t>
  </si>
  <si>
    <t>EST-115</t>
  </si>
  <si>
    <t>Antiphage activity of sera during phage therapy in relation to its outcome.</t>
  </si>
  <si>
    <t>Future microbiology</t>
  </si>
  <si>
    <t>10.2217/fmb-2016-0156</t>
  </si>
  <si>
    <t>EST-116</t>
  </si>
  <si>
    <t>Processing Phage Therapy Requests in a Brussels Military Hospital: Lessons Identified.</t>
  </si>
  <si>
    <t>10.3390/v11030265</t>
  </si>
  <si>
    <t>EST-117</t>
  </si>
  <si>
    <t>Anti-phage serum antibody responses and the outcome of phage therapy.</t>
  </si>
  <si>
    <t>Folia microbiologica</t>
  </si>
  <si>
    <t>10.1007/s12223-020-00835-z</t>
  </si>
  <si>
    <t>EST-118</t>
  </si>
  <si>
    <t>Intravesical bacteriophages for treating urinary tract infections in patients undergoing transurethral resection of the prostate: a randomised, placebo-controlled, double-blind cli</t>
  </si>
  <si>
    <t>32949500</t>
  </si>
  <si>
    <t>EST-120</t>
  </si>
  <si>
    <t>Possibilities of inhalation bacteriophage therapy in treatment of children with acute tonsillitis</t>
  </si>
  <si>
    <t>10.21518/2079-701x-2021-17-86-93</t>
  </si>
  <si>
    <t>EST-121</t>
  </si>
  <si>
    <t>Do Anti-Phage Antibodies Persist after Phage Therapy? A Preliminary Report</t>
  </si>
  <si>
    <t>10.3390/antibiotics11101358</t>
  </si>
  <si>
    <t>EST-122</t>
  </si>
  <si>
    <t>Standardised treatment and monitoring protocol to assess safety and tolerability of bacteriophage therapy for adult and paediatric patients (STAMP study): protocol for an open-labe</t>
  </si>
  <si>
    <t>BMJ open</t>
  </si>
  <si>
    <t>10.1136/bmjopen-2022-065401</t>
  </si>
  <si>
    <t>EST-123</t>
  </si>
  <si>
    <t>INFLUENCE OF INHALED BACTERIOPHAGE THERAPY ON ORAL MUCOSAL IMMUNITY IN CHILDREN WITH ACUTE TONSILLITIS; [ВЛИЯНИЕ ИНГАЛЯЦИОННОЙ БАКТЕРИОФАГТЕРАПИИ НА МУКОЗАЛЬНЫЙ ИММУНИТЕТ РОТОВОЙ П</t>
  </si>
  <si>
    <t>Russian Journal of Infection and Immunity</t>
  </si>
  <si>
    <t>10.15789/2220-7619-ioi-2081</t>
  </si>
  <si>
    <t>EST-124</t>
  </si>
  <si>
    <t>Successful Bacteriophage-Antibiotic Combination Therapy against Multidrug-Resistant Pseudomonas aeruginosa Left Ventricular Assist Device Driveline Infection.</t>
  </si>
  <si>
    <t>10.3390/v15051210</t>
  </si>
  <si>
    <t>EST-125</t>
  </si>
  <si>
    <t>[Phage therapy in overcoming antibiotic resistance in chronic rhinosinusitis].</t>
  </si>
  <si>
    <t>Vestnik otorinolaringologii</t>
  </si>
  <si>
    <t>10.17116/otorino20238806148</t>
  </si>
  <si>
    <t>EST-126</t>
  </si>
  <si>
    <t>Application of bacteriophage therapy in the treatment of children with acute tonsillitis</t>
  </si>
  <si>
    <t xml:space="preserve">International Journal of Pediatrics and Adolescent Medicine </t>
  </si>
  <si>
    <t>10.4103/ijpam.ijpam_1_24</t>
  </si>
  <si>
    <t>EST-127</t>
  </si>
  <si>
    <t>Bacteriophage Therapy for Vaginal Infections Pregnancy as a Way of its Favorable Outcome</t>
  </si>
  <si>
    <t>Reproductive Health Eastern Europe</t>
  </si>
  <si>
    <t>10.34883/pi.2024.14.3.006</t>
  </si>
  <si>
    <t>EST-128</t>
  </si>
  <si>
    <t>Bacteriophages for the treatment of pseudomonas-infected vascular prosthesis; [Bakteriofager til behandling af pseudomonasinficeret karprotese]</t>
  </si>
  <si>
    <t>Ugeskrift for laeger</t>
  </si>
  <si>
    <t>10.61409/v09230617</t>
  </si>
  <si>
    <t>EST-129</t>
  </si>
  <si>
    <t>Phage Therapy for Orthopaedic Infections: The First Three Cases from the United Kingdom</t>
  </si>
  <si>
    <t>10.3390/antibiotics14020114</t>
  </si>
  <si>
    <t>EST-130</t>
  </si>
  <si>
    <t>Prolonged disease remission of the chronic immunological skin disorder hidradenitis suppurativa with adjunctive bacteriophage therapy.</t>
  </si>
  <si>
    <t>10.1038/s41467-025-65939-x</t>
  </si>
  <si>
    <t>EST-131</t>
  </si>
  <si>
    <t>Results of TOR001: An open-label single patient study using targeted bacteriophage therapy for the treatment of a chronic urinary tract infection</t>
  </si>
  <si>
    <t>10.1016/j.ijantimicag.2025.107613</t>
  </si>
  <si>
    <t>EST-132</t>
  </si>
  <si>
    <t>Evaluation of the Potential Efficacy of Bacteriophage Therapy for the Management of Pressure Ulcers and Its Comparison to Conventional Therapy: A Randomized Controlled Trial</t>
  </si>
  <si>
    <t>Indian Journal of Critical Care Medicine</t>
  </si>
  <si>
    <t>10.5005/jp-journals-10071-25143</t>
  </si>
  <si>
    <t>EST-133</t>
  </si>
  <si>
    <t>Phage therapy for the treatment for urinary tract infection: results of in-vitro screenings and in-vivo application using commercially available bacteriophage cocktails</t>
  </si>
  <si>
    <t>European urology, supplements</t>
  </si>
  <si>
    <t>2016</t>
  </si>
  <si>
    <t>cita: Eur Urol Suppl 2016 (informe previo del grupo de Leitner)</t>
  </si>
  <si>
    <t>EST-134</t>
  </si>
  <si>
    <t>Adapted Bacteriophages for Treating Urinary Tract Infections.</t>
  </si>
  <si>
    <t>Frontiers in microbiology</t>
  </si>
  <si>
    <t>30131795</t>
  </si>
  <si>
    <t>EST-135</t>
  </si>
  <si>
    <t>The Potential Innovative Use of Bacteriophages Within the DAC® Hydrogel to Treat Patients With Knee Megaprosthesis Infection Requiring “Debridement Antibiotics and Implant Retentio</t>
  </si>
  <si>
    <t>10.3389/fmed.2020.00342</t>
  </si>
  <si>
    <t>EST-136</t>
  </si>
  <si>
    <t>[Clinical efficiency of polyvalent piobacteriophage in the complex treatment of nosocomial sinusitis].</t>
  </si>
  <si>
    <t>10.17116/otorino20259004133</t>
  </si>
  <si>
    <t>EST-139</t>
  </si>
  <si>
    <t>Hemodynamic aspects of combination treatment using medical ozone and bacteriophages in patients with chronic endometritis</t>
  </si>
  <si>
    <t>Russian Bulletin of Obstetrician-Gynecologist</t>
  </si>
  <si>
    <t>10.17116/rosakush201818475</t>
  </si>
  <si>
    <t>EST-140</t>
  </si>
  <si>
    <t>Novel bacteriophage therapy for treatment of left ventricular assist device infection.</t>
  </si>
  <si>
    <t>10.1016/j.healun.2019.01.001</t>
  </si>
  <si>
    <t>EST-142</t>
  </si>
  <si>
    <t>Bacteriophage therapy for bacterial endophthalmitis</t>
  </si>
  <si>
    <t>Japanese Journal of Clinical Ophthalmology</t>
  </si>
  <si>
    <t>cita: Jpn J Clin Ophthalmol 2021</t>
  </si>
  <si>
    <t>EST-144</t>
  </si>
  <si>
    <t>Results of a clinical study of the drug efficacy and safety for intravesical administration based on bacteriophages in therapy in patients with chronic recurrent cystitis; [Результ</t>
  </si>
  <si>
    <t>Gynecology</t>
  </si>
  <si>
    <t>10.26442/20795696.2021.6.201286</t>
  </si>
  <si>
    <t>EST-145</t>
  </si>
  <si>
    <t>Vacuum Therapy in the Treatment of a Patient with Chronic Periprosthetic Infection after Total Hip Arthroplasty</t>
  </si>
  <si>
    <t>Novosti Khirurgii</t>
  </si>
  <si>
    <t>10.18484/2305-0047.2022.4.401</t>
  </si>
  <si>
    <t>EST-146</t>
  </si>
  <si>
    <t>A Retrospective, Observational Study of 12 Cases of Expanded-Access Customized Phage Therapy: Production, Characteristics, and Clinical Outcomes.</t>
  </si>
  <si>
    <t>10.1093/cid/ciad335</t>
  </si>
  <si>
    <t>EST-147</t>
  </si>
  <si>
    <t>Complex surgical treatment of recurrent post-injection abscess in a patient with systemic autoimmune disease; [Комплексное хирургическое лечение рецидивирующего постинъекционного а</t>
  </si>
  <si>
    <t>10.17116/hirurgia2023121123</t>
  </si>
  <si>
    <t>EST-151</t>
  </si>
  <si>
    <t>[Experience with the use of bacteriophages in patients with neurogenic lower urinary tract dysfunction, complicated by recurrent lower urinary tract infection].</t>
  </si>
  <si>
    <t>Urologiia (Moscow, Russia : 1999)</t>
  </si>
  <si>
    <t>10.18565/urology.2024.1.114-118</t>
  </si>
  <si>
    <t>EST-152</t>
  </si>
  <si>
    <t>The Appearance of Antiphage Antibodies in Sera of Patients Treated with Phages</t>
  </si>
  <si>
    <t>10.3390/antibiotics14010087</t>
  </si>
  <si>
    <t>EST-157</t>
  </si>
  <si>
    <t>A Randomized, Placebo-controlled, Double-blind Clinical Trial of Bacteriophage Cocktails in Chronic Wound Infections.</t>
  </si>
  <si>
    <t>38233034</t>
  </si>
  <si>
    <t>EST-159</t>
  </si>
  <si>
    <t>Bacteriophage-Enriched Galenic for Intrapericardial Ventricular Assist Device Infection</t>
  </si>
  <si>
    <t>10.3390/antibiotics11050602</t>
  </si>
  <si>
    <t>EST-163</t>
  </si>
  <si>
    <t>The use of bacteriophages in therapy of ENT organs in children</t>
  </si>
  <si>
    <t>10.20953/1817-7646-2018-2-49-53</t>
  </si>
  <si>
    <t>EST-164</t>
  </si>
  <si>
    <t>Bacteriophage Application for Difficult-to-treat Musculoskeletal Infections: Development of a Standardized Multidisciplinary Treatment Protocol.</t>
  </si>
  <si>
    <t>10.3390/v11100891</t>
  </si>
  <si>
    <t>EST-165</t>
  </si>
  <si>
    <t>Use of Customized Bacteriophages in the Treatment of Chronic Nonhealing Wounds: A Prospective Study.</t>
  </si>
  <si>
    <t>10.1177/1534734619881076</t>
  </si>
  <si>
    <t>EST-166</t>
  </si>
  <si>
    <t>THE CURRENT STATE OF THE PROBLEM AND A CLINICAL OBSERVATION OF THERAPY FOR OBSTETRIC SEPSIS CAUSED BY ESKAPE PATHOGENS</t>
  </si>
  <si>
    <t>Akusherstvo i Ginekologiya (Russian Federation)</t>
  </si>
  <si>
    <t>10.18565/aig.2022.4.164-175</t>
  </si>
  <si>
    <t>EST-167</t>
  </si>
  <si>
    <t>Biological Therapy on Infected Traumatic Wounds: A Case-Control Study.</t>
  </si>
  <si>
    <t>10.1177/15347346211072779</t>
  </si>
  <si>
    <t>EST-168</t>
  </si>
  <si>
    <t>Combination Therapy for Inflammatory Diseases of the Uterine Appendages as an Alternative to Standard Treatment Regimens</t>
  </si>
  <si>
    <t>10.34883/pi.2024.14.2.005</t>
  </si>
  <si>
    <t>EST-169</t>
  </si>
  <si>
    <t>Safety and tolerability of bronchoscopic and nebulised administration of bacteriophage.</t>
  </si>
  <si>
    <t>Virus research</t>
  </si>
  <si>
    <t>10.1016/j.virusres.2024.199442</t>
  </si>
  <si>
    <t>EST-170</t>
  </si>
  <si>
    <t>Thoracic endovascular aneurysm repair of a ruptured zone 0 mycotic thoracic aortic aneurysm</t>
  </si>
  <si>
    <t>Annals of Vascular Surgery - Brief Reports and Innovations</t>
  </si>
  <si>
    <t>10.1016/j.avsurg.2024.100302</t>
  </si>
  <si>
    <t>EST-173</t>
  </si>
  <si>
    <t>Use of bacteriophages in the treatment of infected wounds in patients who have allergy to antibiotics</t>
  </si>
  <si>
    <t>Surgical Chronicles</t>
  </si>
  <si>
    <t>cita: Surgical Chronicles 2016</t>
  </si>
  <si>
    <t>EST-174</t>
  </si>
  <si>
    <t>[CORRECTION OF ENTERAL INSUFFICIENCY SYNDROME IN PATIENTS, SUFFERING DIFFUSE PERITONITIS].</t>
  </si>
  <si>
    <t>Klinichna khirurhiia / Ministerstvo okhorony zdorov'ia Ukraïny, Naukove tovarystvo khirurhiv Ukraïny</t>
  </si>
  <si>
    <t>27244910</t>
  </si>
  <si>
    <t>EST-175</t>
  </si>
  <si>
    <t>[Secondary prevention of chronic tonsillitis exacerbations by bacteriophage medications].</t>
  </si>
  <si>
    <t>10.17116/otorino20198402146</t>
  </si>
  <si>
    <t>EST-176</t>
  </si>
  <si>
    <t>Chronic endometritis in patients of reproductive age: Individualized treatment capabilities; [Хронический эндометрит у пациенток репродуктивного возраста: возможности индивидуализи</t>
  </si>
  <si>
    <t>Obstetrics, Gynecology and Reproduction</t>
  </si>
  <si>
    <t>10.17749/2313-7347/ob.gyn.rep.2020.157</t>
  </si>
  <si>
    <t>EST-177</t>
  </si>
  <si>
    <t>A randomized, double-blind, placebo- -controlled study to investigate the use of bacteriophages in patients with chronic rhinosinusitis with nasal polyps.</t>
  </si>
  <si>
    <t>Otolaryngologia polska = The Polish otolaryngology</t>
  </si>
  <si>
    <t>35175218</t>
  </si>
  <si>
    <t>EST-178</t>
  </si>
  <si>
    <t>CLINICAL AND LABORATORY JUSTIFICATION FOR USE OF POLYVALENT BACTERIOPHAGE IN TECHNIQUE OF DELAYED PRESCRIBING OF ANTIBIOTICS IN PATIENTS WITH ARS.</t>
  </si>
  <si>
    <t>Wiadomosci lekarskie (Warsaw, Poland : 1960)</t>
  </si>
  <si>
    <t>10.36740/wlek202106129</t>
  </si>
  <si>
    <t>EST-179</t>
  </si>
  <si>
    <t>BACTERIOPHAGES IN RECURRENT URINARY TRACT INFECTION IN PATIENTS WITH PAINFUL BLADDER SYNDROME/INTERSTITIAL CYSTITIS. CLINICAL CASES</t>
  </si>
  <si>
    <t>Urologiia</t>
  </si>
  <si>
    <t>10.18565/urology.2022.3.115-118</t>
  </si>
  <si>
    <t>EST-180</t>
  </si>
  <si>
    <t>Impact of multizonal decontamination of upper respiratory tract on incidence of ventilator-associated pneumonia: multicenter randomized pilot study</t>
  </si>
  <si>
    <t>Annals of Critical Care</t>
  </si>
  <si>
    <t>10.21320/1818-474x-2023-3-66-81</t>
  </si>
  <si>
    <t>EST-181</t>
  </si>
  <si>
    <t>Short-Term Outcomes of Phage-Antibiotic Combination Treatment in Adult Patients with Periprosthetic Hip Joint Infection.</t>
  </si>
  <si>
    <t>36851713</t>
  </si>
  <si>
    <t>EST-183</t>
  </si>
  <si>
    <t>Pioneering methods in managing acute respiratory infections with tonsillopharyngitis in pediatric patients prone to recurrent respiratory illnesses; [Новые подходы к терапии эпизод</t>
  </si>
  <si>
    <t>Russian Medical Inquiry</t>
  </si>
  <si>
    <t>10.32364/2587-6821-2025-9-12-5</t>
  </si>
  <si>
    <t>EST-184</t>
  </si>
  <si>
    <t>Severe Darier disease complicated by recurrent multidrug-resistant cutaneous infection</t>
  </si>
  <si>
    <t>JAAD Case Reports</t>
  </si>
  <si>
    <t>10.1016/j.jdcr.2026.06.010</t>
  </si>
  <si>
    <t>EST-185</t>
  </si>
  <si>
    <t>The management of sternal mediastinitis in heart and lung transplant patients: An 8-year experience and application of reconstructive algorithm</t>
  </si>
  <si>
    <t>Journal of Plastic, Reconstructive and Aesthetic Surgery</t>
  </si>
  <si>
    <t>10.1016/j.bjps.2026.06.028</t>
  </si>
  <si>
    <t>EST-188</t>
  </si>
  <si>
    <t>Potential treatment method of recurrent urinary tract infection in postmenopausal kidney transplant recipients: the results of pilot study</t>
  </si>
  <si>
    <t>Nephrology dialysis transplantation</t>
  </si>
  <si>
    <t>cita: Nephrol Dial Transplant 2020 (resumen de congreso)</t>
  </si>
  <si>
    <t>EST-189</t>
  </si>
  <si>
    <t>EVALUATION OF THE EFFECTIVENESS OF THE USE OF BACTERIOPHAGES IN THE TREATMENT OF ACUTE INTESTINAL INFECTIONS CAUSED BY OPPORTUNISTIC PATHOGENS IN INFANTS</t>
  </si>
  <si>
    <t>Pediatriya - Zhurnal im G.N. Speranskogo</t>
  </si>
  <si>
    <t>10.24110/0031-403x-2024-103-1-114-123</t>
  </si>
  <si>
    <t>EST-193</t>
  </si>
  <si>
    <t>Medical ozone and bacteriophage preparations as an important component in the combination therapy of chronic nonspecific endometritis</t>
  </si>
  <si>
    <t>10.17116/rosakush201616546-49</t>
  </si>
  <si>
    <t>EST-194</t>
  </si>
  <si>
    <t>Clinical efficacy of bacteriophage and laser therapy in the treatment of chronic endometritis</t>
  </si>
  <si>
    <t>Russian Journal of Human Reproduction</t>
  </si>
  <si>
    <t>10.17116/repro20192505169</t>
  </si>
  <si>
    <t>EST-195</t>
  </si>
  <si>
    <t>Evaluation of the efficiency and safety of topical application of the bacteriophage-containing gels fagogin and fagoderm for the prevention of wound complications in puerperas; [ОЦ</t>
  </si>
  <si>
    <t>10.18565/aig.2019.6.126-131</t>
  </si>
  <si>
    <t>EST-196</t>
  </si>
  <si>
    <t>PREVENTION OF INFECTIOUS AND INFLAMMATORY COMPLICATIONS AFTER PERCUTANEOUS NEPHROLITHOTOMY</t>
  </si>
  <si>
    <t>10.18565/urology.2020.3.26-33</t>
  </si>
  <si>
    <t>EST-197</t>
  </si>
  <si>
    <t xml:space="preserve">The experience of using a bacteriophages-based complex antibacterial and analgesic drug in gel formulation in women who underwent various instrumental and diagnostic and treatment </t>
  </si>
  <si>
    <t>10.26442/20795696.2020.3.200199</t>
  </si>
  <si>
    <t>EST-198</t>
  </si>
  <si>
    <t>Experience of using bacteriophages in the complex treatment of children with aphthous stomatitis; [Opyt ispol'zovaniya bakteriofagov v kompleksnom lechenii detei s aftoznym stomati</t>
  </si>
  <si>
    <t>Stomatologiia</t>
  </si>
  <si>
    <t>10.17116/stomat202210106122</t>
  </si>
  <si>
    <t>EST-199</t>
  </si>
  <si>
    <t>Successful use of a phage endolysin for treatment of chronic pelvic pain syndrome/chronic bacterial prostatitis</t>
  </si>
  <si>
    <t>10.3389/fmed.2023.1238147</t>
  </si>
  <si>
    <t>EST-200</t>
  </si>
  <si>
    <t>Bacteriophages as an Alternative Method for Preventing Infectious Complications of Cesarean Section</t>
  </si>
  <si>
    <t>10.34883/pi.2024.14.2.003</t>
  </si>
  <si>
    <t>EST-205</t>
  </si>
  <si>
    <t>Beneficios obtenidos con el empleo de bacteriófagos en el tratamiento de infecciones crónicas</t>
  </si>
  <si>
    <t>Revista Cubana de Angiología y Cirugía Vascular</t>
  </si>
  <si>
    <t>cita: Rev Cubana Angiol Cir Vasc 2017</t>
  </si>
  <si>
    <t>EST-206</t>
  </si>
  <si>
    <t>[Results of the observational (non-interventional) research 'Analysis of therapeutic efficiency of the polyvalent Piobacteriophag (Secstaphag) in the treatment of acute sinusitis']</t>
  </si>
  <si>
    <t>10.17116/otorino20198405155</t>
  </si>
  <si>
    <t>EST-207</t>
  </si>
  <si>
    <t>Successful bacteriophage treatment of infection involving cardiac implantable electronic device and aortic graft: a Trojan horse concept.</t>
  </si>
  <si>
    <t>Europace : European pacing, arrhythmias, and cardiac electrophysiology : journal of the working groups on cardiac pacing, arrhythmias, and cardiac cellular electrophysiology of the European Society of Cardiology</t>
  </si>
  <si>
    <t>10.1093/europace/euz319</t>
  </si>
  <si>
    <t>EST-208</t>
  </si>
  <si>
    <t>Treatment of chronic left ventricular assist device infection with local application of bacteriophages.</t>
  </si>
  <si>
    <t>European journal of cardio-thoracic surgery : official journal of the European Association for Cardio-thoracic Surgery</t>
  </si>
  <si>
    <t>10.1093/ejcts/ezz295</t>
  </si>
  <si>
    <t>EST-212</t>
  </si>
  <si>
    <t>Local Treatment of Driveline Infection with Bacteriophages</t>
  </si>
  <si>
    <t>10.3390/antibiotics11101310</t>
  </si>
  <si>
    <t>EST-219</t>
  </si>
  <si>
    <t>Bacteriophages in complex treatment of septic diseases of the hand; [Использование лекарственных препаратов бактериофагов в комплексном лечении гнойных заболеваний кисти]</t>
  </si>
  <si>
    <t>10.17116/hirurgia202309145</t>
  </si>
  <si>
    <t>Nivel de cada revista — se decide UNA vez por revista, no por estudio</t>
  </si>
  <si>
    <t>Criterio de esta revisión (memo de estrategia, comprobación de falsación nº2):</t>
  </si>
  <si>
    <t>el nivel es un indicador grueso, solo sirve para comprobar que la revista no</t>
  </si>
  <si>
    <t>predice el resultado agrupado. No hace falta afinar: basta alto / medio / bajo.</t>
  </si>
  <si>
    <t>alto   revista general o de infecciosas de primera línea (Nature Microbiology,</t>
  </si>
  <si>
    <t xml:space="preserve">       Lancet Infect Dis, Clinical Infectious Diseases, Nature Communications…)</t>
  </si>
  <si>
    <t>medio  revista especializada con revisión por pares (Viruses, Antibiotics,</t>
  </si>
  <si>
    <t xml:space="preserve">       Antimicrob Agents Chemother, Frontiers…)</t>
  </si>
  <si>
    <t>bajo   revista local, sin indexación reconocible o sin revisión por pares clara</t>
  </si>
  <si>
    <t>solo registro   no es una revista: es una ficha de ensayo</t>
  </si>
  <si>
    <t>Si duda, búsquela en scimagojr.com: Q1 y Q2 -&gt; alto o medio; Q3, Q4 o sin</t>
  </si>
  <si>
    <t>cuartil -&gt; bajo. Anote la fuente en la última columna.</t>
  </si>
  <si>
    <t>Las que ya traen nivel salen del corpus ya extraído de este proyecto. No las</t>
  </si>
  <si>
    <t>cambie sin motivo: cambiarlas descuadra los 42 estudios ya codificados.</t>
  </si>
  <si>
    <t>Estudios</t>
  </si>
  <si>
    <t>Nivel</t>
  </si>
  <si>
    <t>Propuesta (confirmar)</t>
  </si>
  <si>
    <t>Fuente / nota</t>
  </si>
  <si>
    <t>medio</t>
  </si>
  <si>
    <t>corpus del proyecto</t>
  </si>
  <si>
    <t>Nature Communications</t>
  </si>
  <si>
    <t>buscar en scimagojr.com</t>
  </si>
  <si>
    <t>propuesta: confirmar</t>
  </si>
  <si>
    <t>Clinical Medicine Insights: Case Reports</t>
  </si>
  <si>
    <t>bajo</t>
  </si>
  <si>
    <t>International Journal of Pediatrics and Adolescent Medicine</t>
  </si>
  <si>
    <t>no aplica (serie de libros)</t>
  </si>
  <si>
    <t>País</t>
  </si>
  <si>
    <t>Nivel de revista</t>
  </si>
  <si>
    <t>Motivo si quedó incompleto</t>
  </si>
  <si>
    <t>Alemania</t>
  </si>
  <si>
    <t>Australia</t>
  </si>
  <si>
    <t>texto completo no accesible</t>
  </si>
  <si>
    <t>Bélgica</t>
  </si>
  <si>
    <t>el artículo no separa los datos de P. aeruginosa</t>
  </si>
  <si>
    <t>Canadá</t>
  </si>
  <si>
    <t>solo registro</t>
  </si>
  <si>
    <t>el artículo no reporta este desenlace</t>
  </si>
  <si>
    <t>China</t>
  </si>
  <si>
    <t>solo resumen de congreso: datos limitados</t>
  </si>
  <si>
    <t>Corea del Sur</t>
  </si>
  <si>
    <t>datos solo del estudio entero, no por brazo</t>
  </si>
  <si>
    <t>Dinamarca</t>
  </si>
  <si>
    <t>el antibiograma no permite clasificar la resistencia</t>
  </si>
  <si>
    <t>Ecuador</t>
  </si>
  <si>
    <t>otro (explicar al lado)</t>
  </si>
  <si>
    <t>España</t>
  </si>
  <si>
    <t>Estados Unidos</t>
  </si>
  <si>
    <t>Francia</t>
  </si>
  <si>
    <t>Georgia</t>
  </si>
  <si>
    <t>India</t>
  </si>
  <si>
    <t>Irán</t>
  </si>
  <si>
    <t>Israel</t>
  </si>
  <si>
    <t>Italia</t>
  </si>
  <si>
    <t>Japón</t>
  </si>
  <si>
    <t>Letonia</t>
  </si>
  <si>
    <t>Países Bajos</t>
  </si>
  <si>
    <t>Polonia</t>
  </si>
  <si>
    <t>Reino Unido</t>
  </si>
  <si>
    <t>Rusia</t>
  </si>
  <si>
    <t>Singapur</t>
  </si>
  <si>
    <t>Suiza</t>
  </si>
  <si>
    <t>Turquía</t>
  </si>
  <si>
    <t>multicéntrico (Europa)</t>
  </si>
  <si>
    <t>multicéntrico (internacional)</t>
  </si>
  <si>
    <t>otro</t>
  </si>
  <si>
    <t>Columna</t>
  </si>
  <si>
    <t>Qué se contesta</t>
  </si>
  <si>
    <t>Opciones</t>
  </si>
  <si>
    <t>Apellido del primer autor pegado al año: Tkhilaishvili2020. Sin espacios ni tildes.</t>
  </si>
  <si>
    <t>A si el estudio da un solo grupo de datos. Si separa desenlaces por clase de resistencia, usa A, B, C.</t>
  </si>
  <si>
    <t>Solo Pseudomonas si todos los pacientes tenían P. aeruginosa. Mixto si había otras bacterias PERO el artículo permite separar los de Pseudomonas.</t>
  </si>
  <si>
    <t>solo Pseudomonas · mixto con subgrupo de Pseudomonas</t>
  </si>
  <si>
    <t>MDR, XDR o PDR según Magiorakos. Si el antibiograma no alcanza para clasificar, pon 'no clasificable'.</t>
  </si>
  <si>
    <t>MDR · XDR · PDR · por debajo del umbral MDR · no clasificable</t>
  </si>
  <si>
    <t>¿Lo dice el autor y lo aceptaste, o lo verificaste tú con el antibiograma? Importa para el riesgo de sesgo.</t>
  </si>
  <si>
    <t>declarado por el autor · verificado de forma independiente · no clasificable</t>
  </si>
  <si>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</si>
  <si>
    <t>si · no · no derivable</t>
  </si>
  <si>
    <t>Por dónde se administró el fago. Si fueron varias vías, elige 'otra' y explica en el paréntesis.</t>
  </si>
  <si>
    <t>IV · inhalada/nebulizada · topica/local · oral · intravesical · intraarticular · otra · NA</t>
  </si>
  <si>
    <t>¿El fago fue solo, o junto con antibióticos?</t>
  </si>
  <si>
    <t>fago en monoterapia · fago + antibiotico · fago + otro · NA</t>
  </si>
  <si>
    <t>Lo que el artículo ES, no lo que dice ser. Un 'estudio' de un paciente es un caso clínico.</t>
  </si>
  <si>
    <t>ECA · caso clinico · serie de casos · cohorte retrospectiva · cohorte prospectiva · ensayo no aleatorizado · otra</t>
  </si>
  <si>
    <t>COMPLETA si sacaste todo lo que el artículo daba. PARCIAL o INCOMPLETA si te faltó algo, y explícalo en la última columna.</t>
  </si>
  <si>
    <t>COMPLETA · PARCIAL · INCOMPLETA</t>
  </si>
  <si>
    <t>Cuántos pacientes hay en ESTE brazo, no en todo el estudio.</t>
  </si>
  <si>
    <t>Cuántos pacientes de este brazo mejoraron, según la definición del propio autor. Si no lo reporta, NA.</t>
  </si>
  <si>
    <t>Cuántos pacientes tuvieron algún evento adverso. Cero notificados se escribe 0, no NA.</t>
  </si>
  <si>
    <t>En cuántos desapareció la bacteria en cultivo.</t>
  </si>
  <si>
    <t>Cuántos fallecieron durante el seguimiento.</t>
  </si>
  <si>
    <t>Días de hospitalización. Casi ningún caso clínico lo reporta: NA es lo normal aquí.</t>
  </si>
  <si>
    <t>En cuántos apareció resistencia al fago durante el tratamiento.</t>
  </si>
  <si>
    <t>Año del artículo.</t>
  </si>
  <si>
    <t>COPIA la definición del autor, no escribas la tuya. Es lo que después permite ver si todos midieron lo mismo.</t>
  </si>
  <si>
    <t>Nombre de la revista, y si es de alto o medio impacto: 'alto (Nature Microbiology)'.</t>
  </si>
  <si>
    <t>País y ciudad si consta: 'Alemania (Berlín)'.</t>
  </si>
  <si>
    <t>Página, tabla o figura de donde sacaste los números: 'p.3 Results, Tabla 2'. Obligatorio para cualquier cifra.</t>
  </si>
  <si>
    <t>Qué faltó y por qué. NA si no faltó nada.</t>
  </si>
  <si>
    <t>Dos ejemplos resueltos</t>
  </si>
  <si>
    <t>Salen de estudios que ya se extrajeron en este proyecto.</t>
  </si>
  <si>
    <t>EJEMPLO 1 — un solo brazo</t>
  </si>
  <si>
    <t>Tkhilaishvili 2020. Un paciente con infección de prótesis por P. aeruginosa XDR,</t>
  </si>
  <si>
    <t>tratado con fago más antibiótico por vía local. Curó.</t>
  </si>
  <si>
    <t>Qué escribí</t>
  </si>
  <si>
    <t>Por qué</t>
  </si>
  <si>
    <t>Tkhilaishvili2020</t>
  </si>
  <si>
    <t>apellido pegado al año</t>
  </si>
  <si>
    <t>un solo brazo</t>
  </si>
  <si>
    <t>1</t>
  </si>
  <si>
    <t>pacientes de este brazo</t>
  </si>
  <si>
    <t>según el antibiograma</t>
  </si>
  <si>
    <t>verificado de forma independiente</t>
  </si>
  <si>
    <t>lo verifiqué yo con Magiorakos; no me fié de la etiqueta del autor</t>
  </si>
  <si>
    <t>no derivable</t>
  </si>
  <si>
    <t>el artículo no da lo necesario</t>
  </si>
  <si>
    <t>topica/local</t>
  </si>
  <si>
    <t>de 1 paciente</t>
  </si>
  <si>
    <t>Infección erradicada; sin dolor, PCR normal, sin aflojamiento a 10 meses</t>
  </si>
  <si>
    <t>la definición DEL AUTOR, copiada, no la mía</t>
  </si>
  <si>
    <t>0</t>
  </si>
  <si>
    <t>cero notificados; NO es lo mismo que NA</t>
  </si>
  <si>
    <t>el artículo no lo dice</t>
  </si>
  <si>
    <t>medio (Antimicrob Agents Chemother)</t>
  </si>
  <si>
    <t>Alemania (Berlín)</t>
  </si>
  <si>
    <t>pp.1-2 Case Presentation; Tabla 1 antibiograma</t>
  </si>
  <si>
    <t>dónde lo vi; obligatorio para cualquier cifra</t>
  </si>
  <si>
    <t>EJEMPLO 2 — varios brazos</t>
  </si>
  <si>
    <t>Pirnay 2024, cohorte de 100 casos. Aquí está el error más común:</t>
  </si>
  <si>
    <t>los brazos NO son grupos de tratamiento, son clases de resistencia.</t>
  </si>
  <si>
    <t>Todos los pacientes recibieron lo mismo, fago más antibiótico. Lo que separa</t>
  </si>
  <si>
    <t>las filas es que el artículo permite contar desenlaces aparte en XDR, MDR y PDR.</t>
  </si>
  <si>
    <t>Se copia la fila tres veces, con el MISMO Nº y el Brazo en A, B y C.</t>
  </si>
  <si>
    <t>Pacientes</t>
  </si>
  <si>
    <t>Éxito clínico</t>
  </si>
  <si>
    <t>Eventos adversos</t>
  </si>
  <si>
    <t>Fallecidos</t>
  </si>
  <si>
    <t>El resto de columnas (vía, modalidad, revista, país…) se repite igual en las tres.</t>
  </si>
  <si>
    <t>Si el artículo NO permite separar por clase de resistencia, no invente brazos:</t>
  </si>
  <si>
    <t>una sola fila y la clase en 'no clasificable'.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</si>
</sst>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Arial"/>
      <scheme val="minor"/>
    </font>
    <font>
      <b/>
    </font>
    <font>
      <b/>
      <color rgb="FFFFFFFF"/>
    </font>
    <font>
      <sz val="11.0"/>
      <name val="Calibri"/>
    </font>
    <font>
      <u/>
      <color rgb="FF0563C1"/>
    </font>
    <font>
      <sz val="12.0"/>
      <color rgb="FF000000"/>
      <name val="ThinSpaceFallback"/>
    </font>
    <font>
      <color rgb="FF0563C1"/>
    </font>
    <font/>
    <font>
      <sz val="14.0"/>
      <color rgb="FF222222"/>
      <name val="Harding"/>
    </font>
    <font>
      <sz val="12.0"/>
      <color rgb="FF222222"/>
      <name val="Merriweather"/>
    </font>
    <font>
      <sz val="11.0"/>
      <color rgb="FF222222"/>
      <name val="Arial"/>
    </font>
    <font>
      <sz val="12.0"/>
      <color rgb="FF2E2E2E"/>
      <name val="&quot;Elsevier Sans&quot;"/>
    </font>
    <font>
      <sz val="14.0"/>
      <color rgb="FF222222"/>
      <name val="-apple-system"/>
    </font>
    <font>
      <sz val="12.0"/>
      <color rgb="FF1F1F1F"/>
      <name val="ElsevierGulliver"/>
    </font>
    <font>
      <sz val="12.0"/>
      <color rgb="FF212121"/>
      <name val="BlinkMacSystemFont"/>
    </font>
  </fonts>
  <fills count="6">
    <fill>
      <patternFill patternType="none"/>
    </fill>
    <fill>
      <patternFill patternType="lightGray"/>
    </fill>
    <fill>
      <patternFill patternType="solid">
        <fgColor rgb="FF1F4E79"/>
        <bgColor rgb="FF1F4E79"/>
      </patternFill>
    </fill>
    <fill>
      <patternFill patternType="solid">
        <fgColor rgb="FFEDEDED"/>
        <bgColor rgb="FFEDEDED"/>
      </patternFill>
    </fill>
    <fill>
      <patternFill patternType="solid">
        <fgColor rgb="FFFFF2CC"/>
        <bgColor rgb="FFFFF2CC"/>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1" fillId="3" fontId="3" numFmtId="0" xfId="0" applyBorder="1" applyFill="1" applyFont="1"/>
    <xf borderId="1" fillId="3" fontId="4" numFmtId="0" xfId="0" applyBorder="1" applyFont="1"/>
    <xf borderId="1" fillId="4" fontId="3" numFmtId="0" xfId="0" applyBorder="1" applyFill="1" applyFont="1"/>
    <xf borderId="0" fillId="5" fontId="5" numFmtId="0" xfId="0" applyAlignment="1" applyFill="1" applyFont="1">
      <alignment vertical="bottom"/>
    </xf>
    <xf borderId="1" fillId="3" fontId="6" numFmtId="0" xfId="0" applyBorder="1" applyFont="1"/>
    <xf borderId="0" fillId="0" fontId="7" numFmtId="0" xfId="0" applyFont="1"/>
    <xf borderId="0" fillId="5" fontId="8" numFmtId="0" xfId="0" applyFont="1"/>
    <xf borderId="1" fillId="4" fontId="3" numFmtId="0" xfId="0" applyAlignment="1" applyBorder="1" applyFont="1">
      <alignment readingOrder="0"/>
    </xf>
    <xf borderId="1" fillId="3" fontId="3" numFmtId="0" xfId="0" applyAlignment="1" applyBorder="1" applyFont="1">
      <alignment readingOrder="0"/>
    </xf>
    <xf borderId="0" fillId="5" fontId="9" numFmtId="0" xfId="0" applyAlignment="1" applyFont="1">
      <alignment readingOrder="0"/>
    </xf>
    <xf borderId="0" fillId="5" fontId="10" numFmtId="0" xfId="0" applyAlignment="1" applyFont="1">
      <alignment readingOrder="0" vertical="bottom"/>
    </xf>
    <xf borderId="0" fillId="5" fontId="11" numFmtId="0" xfId="0" applyAlignment="1" applyFont="1">
      <alignment readingOrder="0" vertical="bottom"/>
    </xf>
    <xf borderId="0" fillId="5" fontId="12" numFmtId="0" xfId="0" applyAlignment="1" applyFont="1">
      <alignment readingOrder="0"/>
    </xf>
    <xf borderId="1" fillId="3" fontId="3" numFmtId="0" xfId="0" applyAlignment="1" applyBorder="1" applyFont="1">
      <alignment horizontal="left" shrinkToFit="0" vertical="bottom" wrapText="0"/>
    </xf>
    <xf borderId="0" fillId="0" fontId="13" numFmtId="0" xfId="0" applyAlignment="1" applyFont="1">
      <alignment readingOrder="0"/>
    </xf>
    <xf borderId="0" fillId="5" fontId="14" numFmtId="0" xfId="0" applyAlignment="1" applyFont="1">
      <alignment readingOrder="0" vertical="bottom"/>
    </xf>
    <xf borderId="1" fillId="2" fontId="2" numFmtId="0" xfId="0" applyBorder="1" applyFont="1"/>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016/s1473-3099(26)00176-3" TargetMode="External"/><Relationship Id="rId42" Type="http://schemas.openxmlformats.org/officeDocument/2006/relationships/hyperlink" Target="https://doi.org/10.20953/1729-9225-2017-4-49-54" TargetMode="External"/><Relationship Id="rId41" Type="http://schemas.openxmlformats.org/officeDocument/2006/relationships/hyperlink" Target="https://doi.org/10.1016/j.jpeds.2026.115005" TargetMode="External"/><Relationship Id="rId44" Type="http://schemas.openxmlformats.org/officeDocument/2006/relationships/hyperlink" Target="https://doi.org/10.1128/aac.00924-19" TargetMode="External"/><Relationship Id="rId43" Type="http://schemas.openxmlformats.org/officeDocument/2006/relationships/hyperlink" Target="https://doi.org/10.1186/s13054-017-1709-y" TargetMode="External"/><Relationship Id="rId46" Type="http://schemas.openxmlformats.org/officeDocument/2006/relationships/hyperlink" Target="https://doi.org/10.1093/infdis/jiac368" TargetMode="External"/><Relationship Id="rId45" Type="http://schemas.openxmlformats.org/officeDocument/2006/relationships/hyperlink" Target="https://doi.org/10.1093/ofid/ofad051" TargetMode="External"/><Relationship Id="rId107" Type="http://schemas.openxmlformats.org/officeDocument/2006/relationships/hyperlink" Target="https://doi.org/10.3390/antibiotics14020114" TargetMode="External"/><Relationship Id="rId106" Type="http://schemas.openxmlformats.org/officeDocument/2006/relationships/hyperlink" Target="https://doi.org/10.61409/v09230617" TargetMode="External"/><Relationship Id="rId105" Type="http://schemas.openxmlformats.org/officeDocument/2006/relationships/hyperlink" Target="https://doi.org/10.34883/pi.2024.14.3.006" TargetMode="External"/><Relationship Id="rId104" Type="http://schemas.openxmlformats.org/officeDocument/2006/relationships/hyperlink" Target="https://doi.org/10.4103/ijpam.ijpam_1_24" TargetMode="External"/><Relationship Id="rId109" Type="http://schemas.openxmlformats.org/officeDocument/2006/relationships/hyperlink" Target="https://doi.org/10.1016/j.ijantimicag.2025.107613" TargetMode="External"/><Relationship Id="rId108" Type="http://schemas.openxmlformats.org/officeDocument/2006/relationships/hyperlink" Target="https://doi.org/10.1038/s41467-025-65939-x" TargetMode="External"/><Relationship Id="rId48" Type="http://schemas.openxmlformats.org/officeDocument/2006/relationships/hyperlink" Target="https://doi.org/10.3389/fmed.2024.1428432" TargetMode="External"/><Relationship Id="rId47" Type="http://schemas.openxmlformats.org/officeDocument/2006/relationships/hyperlink" Target="https://doi.org/10.1016/j.ijantimicag.2024.107372" TargetMode="External"/><Relationship Id="rId49" Type="http://schemas.openxmlformats.org/officeDocument/2006/relationships/hyperlink" Target="https://doi.org/10.3390/antibiotics13100916" TargetMode="External"/><Relationship Id="rId103" Type="http://schemas.openxmlformats.org/officeDocument/2006/relationships/hyperlink" Target="https://doi.org/10.17116/otorino20238806148" TargetMode="External"/><Relationship Id="rId102" Type="http://schemas.openxmlformats.org/officeDocument/2006/relationships/hyperlink" Target="https://doi.org/10.3390/v15051210" TargetMode="External"/><Relationship Id="rId101" Type="http://schemas.openxmlformats.org/officeDocument/2006/relationships/hyperlink" Target="https://doi.org/10.15789/2220-7619-ioi-2081" TargetMode="External"/><Relationship Id="rId100" Type="http://schemas.openxmlformats.org/officeDocument/2006/relationships/hyperlink" Target="https://doi.org/10.1136/bmjopen-2022-065401" TargetMode="External"/><Relationship Id="rId31" Type="http://schemas.openxmlformats.org/officeDocument/2006/relationships/hyperlink" Target="https://doi.org/10.1164/rccm.201904-0839le" TargetMode="External"/><Relationship Id="rId30" Type="http://schemas.openxmlformats.org/officeDocument/2006/relationships/hyperlink" Target="https://doi.org/10.1093/jpids/pix056" TargetMode="External"/><Relationship Id="rId33" Type="http://schemas.openxmlformats.org/officeDocument/2006/relationships/hyperlink" Target="https://pubmed.ncbi.nlm.nih.gov/36578069/" TargetMode="External"/><Relationship Id="rId32" Type="http://schemas.openxmlformats.org/officeDocument/2006/relationships/hyperlink" Target="https://doi.org/10.1093/ofid/ofaa389" TargetMode="External"/><Relationship Id="rId35" Type="http://schemas.openxmlformats.org/officeDocument/2006/relationships/hyperlink" Target="https://doi.org/10.3390/v13101901" TargetMode="External"/><Relationship Id="rId34" Type="http://schemas.openxmlformats.org/officeDocument/2006/relationships/hyperlink" Target="https://doi.org/10.1177/11795476251411094" TargetMode="External"/><Relationship Id="rId37" Type="http://schemas.openxmlformats.org/officeDocument/2006/relationships/hyperlink" Target="https://doi.org/10.2147/idr.s413900" TargetMode="External"/><Relationship Id="rId36" Type="http://schemas.openxmlformats.org/officeDocument/2006/relationships/hyperlink" Target="https://doi.org/10.3390/antibiotics12121734" TargetMode="External"/><Relationship Id="rId39" Type="http://schemas.openxmlformats.org/officeDocument/2006/relationships/hyperlink" Target="https://doi.org/10.1002/mlf2.70042" TargetMode="External"/><Relationship Id="rId38" Type="http://schemas.openxmlformats.org/officeDocument/2006/relationships/hyperlink" Target="https://doi.org/10.1038/s41598-024-52192-3" TargetMode="External"/><Relationship Id="rId20" Type="http://schemas.openxmlformats.org/officeDocument/2006/relationships/hyperlink" Target="https://doi.org/10.1080/1120009x.2025.2547147" TargetMode="External"/><Relationship Id="rId22" Type="http://schemas.openxmlformats.org/officeDocument/2006/relationships/hyperlink" Target="https://doi.org/10.1038/s41467-025-59806-y" TargetMode="External"/><Relationship Id="rId21" Type="http://schemas.openxmlformats.org/officeDocument/2006/relationships/hyperlink" Target="https://doi.org/10.1016/j.medj.2024.05.017" TargetMode="External"/><Relationship Id="rId24" Type="http://schemas.openxmlformats.org/officeDocument/2006/relationships/hyperlink" Target="https://pubmed.ncbi.nlm.nih.gov/30292481/" TargetMode="External"/><Relationship Id="rId23" Type="http://schemas.openxmlformats.org/officeDocument/2006/relationships/hyperlink" Target="https://doi.org/10.1177/23247096231188243" TargetMode="External"/><Relationship Id="rId129" Type="http://schemas.openxmlformats.org/officeDocument/2006/relationships/hyperlink" Target="https://doi.org/10.18565/aig.2022.4.164-175" TargetMode="External"/><Relationship Id="rId128" Type="http://schemas.openxmlformats.org/officeDocument/2006/relationships/hyperlink" Target="https://doi.org/10.1177/1534734619881076" TargetMode="External"/><Relationship Id="rId127" Type="http://schemas.openxmlformats.org/officeDocument/2006/relationships/hyperlink" Target="https://doi.org/10.3390/v11100891" TargetMode="External"/><Relationship Id="rId126" Type="http://schemas.openxmlformats.org/officeDocument/2006/relationships/hyperlink" Target="https://doi.org/10.20953/1817-7646-2018-2-49-53" TargetMode="External"/><Relationship Id="rId26" Type="http://schemas.openxmlformats.org/officeDocument/2006/relationships/hyperlink" Target="https://doi.org/10.1016/j.jiac.2025.102770" TargetMode="External"/><Relationship Id="rId121" Type="http://schemas.openxmlformats.org/officeDocument/2006/relationships/hyperlink" Target="https://doi.org/10.17116/hirurgia2023121123" TargetMode="External"/><Relationship Id="rId25" Type="http://schemas.openxmlformats.org/officeDocument/2006/relationships/hyperlink" Target="https://doi.org/10.1038/s41467-023-39370-z" TargetMode="External"/><Relationship Id="rId120" Type="http://schemas.openxmlformats.org/officeDocument/2006/relationships/hyperlink" Target="https://doi.org/10.1093/cid/ciad335" TargetMode="External"/><Relationship Id="rId28" Type="http://schemas.openxmlformats.org/officeDocument/2006/relationships/hyperlink" Target="https://doi.org/10.1128/asmcr.00108-25" TargetMode="External"/><Relationship Id="rId27" Type="http://schemas.openxmlformats.org/officeDocument/2006/relationships/hyperlink" Target="https://pubmed.ncbi.nlm.nih.gov/39740667/" TargetMode="External"/><Relationship Id="rId125" Type="http://schemas.openxmlformats.org/officeDocument/2006/relationships/hyperlink" Target="https://doi.org/10.3390/antibiotics11050602" TargetMode="External"/><Relationship Id="rId29" Type="http://schemas.openxmlformats.org/officeDocument/2006/relationships/hyperlink" Target="https://doi.org/10.1016/j.medmic.2026.100178" TargetMode="External"/><Relationship Id="rId124" Type="http://schemas.openxmlformats.org/officeDocument/2006/relationships/hyperlink" Target="https://pubmed.ncbi.nlm.nih.gov/38233034/" TargetMode="External"/><Relationship Id="rId123" Type="http://schemas.openxmlformats.org/officeDocument/2006/relationships/hyperlink" Target="https://doi.org/10.3390/antibiotics14010087" TargetMode="External"/><Relationship Id="rId122" Type="http://schemas.openxmlformats.org/officeDocument/2006/relationships/hyperlink" Target="https://doi.org/10.18565/urology.2024.1.114-118" TargetMode="External"/><Relationship Id="rId95" Type="http://schemas.openxmlformats.org/officeDocument/2006/relationships/hyperlink" Target="https://doi.org/10.3390/v11030265" TargetMode="External"/><Relationship Id="rId94" Type="http://schemas.openxmlformats.org/officeDocument/2006/relationships/hyperlink" Target="https://doi.org/10.2217/fmb-2016-0156" TargetMode="External"/><Relationship Id="rId97" Type="http://schemas.openxmlformats.org/officeDocument/2006/relationships/hyperlink" Target="https://pubmed.ncbi.nlm.nih.gov/32949500/" TargetMode="External"/><Relationship Id="rId96" Type="http://schemas.openxmlformats.org/officeDocument/2006/relationships/hyperlink" Target="https://doi.org/10.1007/s12223-020-00835-z" TargetMode="External"/><Relationship Id="rId11" Type="http://schemas.openxmlformats.org/officeDocument/2006/relationships/hyperlink" Target="https://doi.org/10.1038/s41467-022-31837-9" TargetMode="External"/><Relationship Id="rId99" Type="http://schemas.openxmlformats.org/officeDocument/2006/relationships/hyperlink" Target="https://doi.org/10.3390/antibiotics11101358" TargetMode="External"/><Relationship Id="rId10" Type="http://schemas.openxmlformats.org/officeDocument/2006/relationships/hyperlink" Target="https://doi.org/10.3389/fphar.2021.692614" TargetMode="External"/><Relationship Id="rId98" Type="http://schemas.openxmlformats.org/officeDocument/2006/relationships/hyperlink" Target="https://doi.org/10.21518/2079-701x-2021-17-86-93" TargetMode="External"/><Relationship Id="rId13" Type="http://schemas.openxmlformats.org/officeDocument/2006/relationships/hyperlink" Target="https://doi.org/10.1038/s41598-025-17510-3" TargetMode="External"/><Relationship Id="rId12" Type="http://schemas.openxmlformats.org/officeDocument/2006/relationships/hyperlink" Target="https://pubmed.ncbi.nlm.nih.gov/40593506/" TargetMode="External"/><Relationship Id="rId91" Type="http://schemas.openxmlformats.org/officeDocument/2006/relationships/hyperlink" Target="https://doi.org/10.1038/s41564-024-01705-x" TargetMode="External"/><Relationship Id="rId90" Type="http://schemas.openxmlformats.org/officeDocument/2006/relationships/hyperlink" Target="https://doi.org/10.1093/emph/eoy005" TargetMode="External"/><Relationship Id="rId93" Type="http://schemas.openxmlformats.org/officeDocument/2006/relationships/hyperlink" Target="https://doi.org/10.1007/978-1-0716-3523-0_15" TargetMode="External"/><Relationship Id="rId92" Type="http://schemas.openxmlformats.org/officeDocument/2006/relationships/hyperlink" Target="https://doi.org/10.17116/anaesthesiology202402139" TargetMode="External"/><Relationship Id="rId118" Type="http://schemas.openxmlformats.org/officeDocument/2006/relationships/hyperlink" Target="https://doi.org/10.26442/20795696.2021.6.201286" TargetMode="External"/><Relationship Id="rId117" Type="http://schemas.openxmlformats.org/officeDocument/2006/relationships/hyperlink" Target="https://trialsearch.who.int/?TrialID=cita:%20Jpn%20J%20Clin%20Ophthalmol%202021" TargetMode="External"/><Relationship Id="rId116" Type="http://schemas.openxmlformats.org/officeDocument/2006/relationships/hyperlink" Target="https://doi.org/10.1016/j.healun.2019.01.001" TargetMode="External"/><Relationship Id="rId115" Type="http://schemas.openxmlformats.org/officeDocument/2006/relationships/hyperlink" Target="https://doi.org/10.17116/rosakush201818475" TargetMode="External"/><Relationship Id="rId119" Type="http://schemas.openxmlformats.org/officeDocument/2006/relationships/hyperlink" Target="https://doi.org/10.18484/2305-0047.2022.4.401" TargetMode="External"/><Relationship Id="rId15" Type="http://schemas.openxmlformats.org/officeDocument/2006/relationships/hyperlink" Target="https://doi.org/10.1016/j.hlife.2025.03.004" TargetMode="External"/><Relationship Id="rId110" Type="http://schemas.openxmlformats.org/officeDocument/2006/relationships/hyperlink" Target="https://doi.org/10.5005/jp-journals-10071-25143" TargetMode="External"/><Relationship Id="rId14" Type="http://schemas.openxmlformats.org/officeDocument/2006/relationships/hyperlink" Target="https://doi.org/10.1038/s41467-026-74326-z" TargetMode="External"/><Relationship Id="rId17" Type="http://schemas.openxmlformats.org/officeDocument/2006/relationships/hyperlink" Target="https://doi.org/10.1093/jacamr/dlac046" TargetMode="External"/><Relationship Id="rId16" Type="http://schemas.openxmlformats.org/officeDocument/2006/relationships/hyperlink" Target="https://doi.org/10.5582/bst.2022.01147" TargetMode="External"/><Relationship Id="rId19" Type="http://schemas.openxmlformats.org/officeDocument/2006/relationships/hyperlink" Target="https://doi.org/10.7759/cureus.77681" TargetMode="External"/><Relationship Id="rId114" Type="http://schemas.openxmlformats.org/officeDocument/2006/relationships/hyperlink" Target="https://doi.org/10.17116/otorino20259004133" TargetMode="External"/><Relationship Id="rId18" Type="http://schemas.openxmlformats.org/officeDocument/2006/relationships/hyperlink" Target="https://doi.org/10.3389/fmed.2022.851310" TargetMode="External"/><Relationship Id="rId113" Type="http://schemas.openxmlformats.org/officeDocument/2006/relationships/hyperlink" Target="https://doi.org/10.3389/fmed.2020.00342" TargetMode="External"/><Relationship Id="rId112" Type="http://schemas.openxmlformats.org/officeDocument/2006/relationships/hyperlink" Target="https://pubmed.ncbi.nlm.nih.gov/30131795/" TargetMode="External"/><Relationship Id="rId111" Type="http://schemas.openxmlformats.org/officeDocument/2006/relationships/hyperlink" Target="https://trialsearch.who.int/?TrialID=cita:%20Eur%20Urol%20Suppl%202016%20(informe%20previo%20del%20grupo%20de%20Leitner)" TargetMode="External"/><Relationship Id="rId84" Type="http://schemas.openxmlformats.org/officeDocument/2006/relationships/hyperlink" Target="https://doi.org/10.3390/antibiotics10060627" TargetMode="External"/><Relationship Id="rId83" Type="http://schemas.openxmlformats.org/officeDocument/2006/relationships/hyperlink" Target="https://doi.org/10.15252/emmm.202113936" TargetMode="External"/><Relationship Id="rId86" Type="http://schemas.openxmlformats.org/officeDocument/2006/relationships/hyperlink" Target="https://doi.org/10.20953/1729-9225-2024-4-76-85" TargetMode="External"/><Relationship Id="rId85" Type="http://schemas.openxmlformats.org/officeDocument/2006/relationships/hyperlink" Target="https://doi.org/10.1016/j.healun.2022.01.018" TargetMode="External"/><Relationship Id="rId88" Type="http://schemas.openxmlformats.org/officeDocument/2006/relationships/hyperlink" Target="https://pubmed.ncbi.nlm.nih.gov/41885494/" TargetMode="External"/><Relationship Id="rId150" Type="http://schemas.openxmlformats.org/officeDocument/2006/relationships/hyperlink" Target="https://doi.org/10.18565/aig.2019.6.126-131" TargetMode="External"/><Relationship Id="rId87" Type="http://schemas.openxmlformats.org/officeDocument/2006/relationships/hyperlink" Target="https://doi.org/10.3390/biomedicines13092103" TargetMode="External"/><Relationship Id="rId89" Type="http://schemas.openxmlformats.org/officeDocument/2006/relationships/hyperlink" Target="https://doi.org/10.1093/jac/dky263" TargetMode="External"/><Relationship Id="rId80" Type="http://schemas.openxmlformats.org/officeDocument/2006/relationships/hyperlink" Target="https://pubmed.ncbi.nlm.nih.gov/40103254/" TargetMode="External"/><Relationship Id="rId82" Type="http://schemas.openxmlformats.org/officeDocument/2006/relationships/hyperlink" Target="https://doi.org/10.1038/s41467-025-68136-y" TargetMode="External"/><Relationship Id="rId81" Type="http://schemas.openxmlformats.org/officeDocument/2006/relationships/hyperlink" Target="https://doi.org/10.1093/jacamr/dlaf257" TargetMode="External"/><Relationship Id="rId1" Type="http://schemas.openxmlformats.org/officeDocument/2006/relationships/comments" Target="../comments1.xml"/><Relationship Id="rId2" Type="http://schemas.openxmlformats.org/officeDocument/2006/relationships/hyperlink" Target="https://doi.org/10.3389/fmed.2021.569159" TargetMode="External"/><Relationship Id="rId3" Type="http://schemas.openxmlformats.org/officeDocument/2006/relationships/hyperlink" Target="https://doi.org/10.3389/fmed.2023.1199657" TargetMode="External"/><Relationship Id="rId149" Type="http://schemas.openxmlformats.org/officeDocument/2006/relationships/hyperlink" Target="https://doi.org/10.17116/repro20192505169" TargetMode="External"/><Relationship Id="rId4" Type="http://schemas.openxmlformats.org/officeDocument/2006/relationships/hyperlink" Target="https://doi.org/10.1016/j.medj.2023.07.002" TargetMode="External"/><Relationship Id="rId148" Type="http://schemas.openxmlformats.org/officeDocument/2006/relationships/hyperlink" Target="https://doi.org/10.17116/rosakush201616546-49" TargetMode="External"/><Relationship Id="rId9" Type="http://schemas.openxmlformats.org/officeDocument/2006/relationships/hyperlink" Target="https://doi.org/10.1016/j.ijid.2026.108756" TargetMode="External"/><Relationship Id="rId143" Type="http://schemas.openxmlformats.org/officeDocument/2006/relationships/hyperlink" Target="https://doi.org/10.32364/2587-6821-2025-9-12-5" TargetMode="External"/><Relationship Id="rId142" Type="http://schemas.openxmlformats.org/officeDocument/2006/relationships/hyperlink" Target="https://pubmed.ncbi.nlm.nih.gov/36851713/" TargetMode="External"/><Relationship Id="rId141" Type="http://schemas.openxmlformats.org/officeDocument/2006/relationships/hyperlink" Target="https://doi.org/10.21320/1818-474x-2023-3-66-81" TargetMode="External"/><Relationship Id="rId140" Type="http://schemas.openxmlformats.org/officeDocument/2006/relationships/hyperlink" Target="https://doi.org/10.18565/urology.2022.3.115-118" TargetMode="External"/><Relationship Id="rId5" Type="http://schemas.openxmlformats.org/officeDocument/2006/relationships/hyperlink" Target="https://doi.org/10.1038/s41591-025-03678-8" TargetMode="External"/><Relationship Id="rId147" Type="http://schemas.openxmlformats.org/officeDocument/2006/relationships/hyperlink" Target="https://doi.org/10.24110/0031-403x-2024-103-1-114-123" TargetMode="External"/><Relationship Id="rId6" Type="http://schemas.openxmlformats.org/officeDocument/2006/relationships/hyperlink" Target="https://doi.org/10.1038/s41591-025-03678-8" TargetMode="External"/><Relationship Id="rId146" Type="http://schemas.openxmlformats.org/officeDocument/2006/relationships/hyperlink" Target="https://trialsearch.who.int/?TrialID=cita:%20Nephrol%20Dial%20Transplant%202020%20(resumen%20de%20congreso)" TargetMode="External"/><Relationship Id="rId7" Type="http://schemas.openxmlformats.org/officeDocument/2006/relationships/hyperlink" Target="https://doi.org/10.1007/s15010-019-01319-0" TargetMode="External"/><Relationship Id="rId145" Type="http://schemas.openxmlformats.org/officeDocument/2006/relationships/hyperlink" Target="https://doi.org/10.1016/j.bjps.2026.06.028" TargetMode="External"/><Relationship Id="rId8" Type="http://schemas.openxmlformats.org/officeDocument/2006/relationships/hyperlink" Target="https://doi.org/10.3390/v16071080" TargetMode="External"/><Relationship Id="rId144" Type="http://schemas.openxmlformats.org/officeDocument/2006/relationships/hyperlink" Target="https://doi.org/10.1016/j.jdcr.2026.06.010" TargetMode="External"/><Relationship Id="rId73" Type="http://schemas.openxmlformats.org/officeDocument/2006/relationships/hyperlink" Target="https://doi.org/10.3390/v13081543" TargetMode="External"/><Relationship Id="rId72" Type="http://schemas.openxmlformats.org/officeDocument/2006/relationships/hyperlink" Target="https://doi.org/10.1097/qco.0000000000000658" TargetMode="External"/><Relationship Id="rId75" Type="http://schemas.openxmlformats.org/officeDocument/2006/relationships/hyperlink" Target="https://doi.org/10.1016/j.jddst.2023.104486" TargetMode="External"/><Relationship Id="rId74" Type="http://schemas.openxmlformats.org/officeDocument/2006/relationships/hyperlink" Target="https://doi.org/10.1111/1751-7915.14217" TargetMode="External"/><Relationship Id="rId77" Type="http://schemas.openxmlformats.org/officeDocument/2006/relationships/hyperlink" Target="https://doi.org/10.20953/1817-7646-2024-2-123-127" TargetMode="External"/><Relationship Id="rId76" Type="http://schemas.openxmlformats.org/officeDocument/2006/relationships/hyperlink" Target="https://doi.org/10.3389/fcimb.2024.1354681" TargetMode="External"/><Relationship Id="rId79" Type="http://schemas.openxmlformats.org/officeDocument/2006/relationships/hyperlink" Target="https://doi.org/10.3390/ijms27010172" TargetMode="External"/><Relationship Id="rId78" Type="http://schemas.openxmlformats.org/officeDocument/2006/relationships/hyperlink" Target="https://trialsearch.who.int/?TrialID=cita:%20Pharmaceutisch%20Weekblad%202025" TargetMode="External"/><Relationship Id="rId71" Type="http://schemas.openxmlformats.org/officeDocument/2006/relationships/hyperlink" Target="https://doi.org/10.1089/phage.2020.0010" TargetMode="External"/><Relationship Id="rId70" Type="http://schemas.openxmlformats.org/officeDocument/2006/relationships/hyperlink" Target="https://doi.org/10.21518/ms2025-451" TargetMode="External"/><Relationship Id="rId139" Type="http://schemas.openxmlformats.org/officeDocument/2006/relationships/hyperlink" Target="https://doi.org/10.36740/wlek202106129" TargetMode="External"/><Relationship Id="rId138" Type="http://schemas.openxmlformats.org/officeDocument/2006/relationships/hyperlink" Target="https://pubmed.ncbi.nlm.nih.gov/35175218/" TargetMode="External"/><Relationship Id="rId137" Type="http://schemas.openxmlformats.org/officeDocument/2006/relationships/hyperlink" Target="https://doi.org/10.17749/2313-7347/ob.gyn.rep.2020.157" TargetMode="External"/><Relationship Id="rId132" Type="http://schemas.openxmlformats.org/officeDocument/2006/relationships/hyperlink" Target="https://doi.org/10.1016/j.virusres.2024.199442" TargetMode="External"/><Relationship Id="rId131" Type="http://schemas.openxmlformats.org/officeDocument/2006/relationships/hyperlink" Target="https://doi.org/10.34883/pi.2024.14.2.005" TargetMode="External"/><Relationship Id="rId130" Type="http://schemas.openxmlformats.org/officeDocument/2006/relationships/hyperlink" Target="https://doi.org/10.1177/15347346211072779" TargetMode="External"/><Relationship Id="rId136" Type="http://schemas.openxmlformats.org/officeDocument/2006/relationships/hyperlink" Target="https://doi.org/10.17116/otorino20198402146" TargetMode="External"/><Relationship Id="rId135" Type="http://schemas.openxmlformats.org/officeDocument/2006/relationships/hyperlink" Target="https://pubmed.ncbi.nlm.nih.gov/27244910/" TargetMode="External"/><Relationship Id="rId134" Type="http://schemas.openxmlformats.org/officeDocument/2006/relationships/hyperlink" Target="https://trialsearch.who.int/?TrialID=cita:%20Surgical%20Chronicles%202016" TargetMode="External"/><Relationship Id="rId133" Type="http://schemas.openxmlformats.org/officeDocument/2006/relationships/hyperlink" Target="https://doi.org/10.1016/j.avsurg.2024.100302" TargetMode="External"/><Relationship Id="rId62" Type="http://schemas.openxmlformats.org/officeDocument/2006/relationships/hyperlink" Target="https://clinicaltrials.gov/study/NCT04684641" TargetMode="External"/><Relationship Id="rId61" Type="http://schemas.openxmlformats.org/officeDocument/2006/relationships/hyperlink" Target="https://doi.org/10.15360/1813-9779-2021-6-4-14" TargetMode="External"/><Relationship Id="rId64" Type="http://schemas.openxmlformats.org/officeDocument/2006/relationships/hyperlink" Target="https://doi.org/10.1177/1534734619835115" TargetMode="External"/><Relationship Id="rId63" Type="http://schemas.openxmlformats.org/officeDocument/2006/relationships/hyperlink" Target="https://doi.org/10.1093/ofid/ofad221" TargetMode="External"/><Relationship Id="rId66" Type="http://schemas.openxmlformats.org/officeDocument/2006/relationships/hyperlink" Target="https://doi.org/10.15789/1563-0625-pti-2012" TargetMode="External"/><Relationship Id="rId65" Type="http://schemas.openxmlformats.org/officeDocument/2006/relationships/hyperlink" Target="https://doi.org/10.3390/antibiotics9050232" TargetMode="External"/><Relationship Id="rId68" Type="http://schemas.openxmlformats.org/officeDocument/2006/relationships/hyperlink" Target="https://doi.org/10.1128/aac.01728-23" TargetMode="External"/><Relationship Id="rId67" Type="http://schemas.openxmlformats.org/officeDocument/2006/relationships/hyperlink" Target="https://doi.org/10.1093/cid/ciac694" TargetMode="External"/><Relationship Id="rId60" Type="http://schemas.openxmlformats.org/officeDocument/2006/relationships/hyperlink" Target="https://doi.org/10.1016/j.eimc.2025.05.008" TargetMode="External"/><Relationship Id="rId69" Type="http://schemas.openxmlformats.org/officeDocument/2006/relationships/hyperlink" Target="https://trialsearch.who.int/?TrialID=cita:%20Int%20J%20Diabetes%20Dev%20Ctries%202025" TargetMode="External"/><Relationship Id="rId163" Type="http://schemas.openxmlformats.org/officeDocument/2006/relationships/vmlDrawing" Target="../drawings/vmlDrawing1.vml"/><Relationship Id="rId162" Type="http://schemas.openxmlformats.org/officeDocument/2006/relationships/drawing" Target="../drawings/drawing2.xml"/><Relationship Id="rId51" Type="http://schemas.openxmlformats.org/officeDocument/2006/relationships/hyperlink" Target="https://doi.org/10.1097/cu9.0000000000000268" TargetMode="External"/><Relationship Id="rId50" Type="http://schemas.openxmlformats.org/officeDocument/2006/relationships/hyperlink" Target="https://doi.org/10.1097/mao.0000000000004417" TargetMode="External"/><Relationship Id="rId53" Type="http://schemas.openxmlformats.org/officeDocument/2006/relationships/hyperlink" Target="https://doi.org/10.1128/asmcr.00058-24" TargetMode="External"/><Relationship Id="rId52" Type="http://schemas.openxmlformats.org/officeDocument/2006/relationships/hyperlink" Target="https://doi.org/10.3390/v17010123" TargetMode="External"/><Relationship Id="rId55" Type="http://schemas.openxmlformats.org/officeDocument/2006/relationships/hyperlink" Target="https://doi.org/10.3390/v11010018" TargetMode="External"/><Relationship Id="rId161" Type="http://schemas.openxmlformats.org/officeDocument/2006/relationships/hyperlink" Target="https://doi.org/10.17116/hirurgia202309145" TargetMode="External"/><Relationship Id="rId54" Type="http://schemas.openxmlformats.org/officeDocument/2006/relationships/hyperlink" Target="https://doi.org/10.20953/1729-9225-2017-1-35-40" TargetMode="External"/><Relationship Id="rId160" Type="http://schemas.openxmlformats.org/officeDocument/2006/relationships/hyperlink" Target="https://doi.org/10.3390/antibiotics11101310" TargetMode="External"/><Relationship Id="rId57" Type="http://schemas.openxmlformats.org/officeDocument/2006/relationships/hyperlink" Target="https://doi.org/10.1038/s41467-022-33294-w" TargetMode="External"/><Relationship Id="rId56" Type="http://schemas.openxmlformats.org/officeDocument/2006/relationships/hyperlink" Target="https://doi.org/10.1111/ajt.15503" TargetMode="External"/><Relationship Id="rId159" Type="http://schemas.openxmlformats.org/officeDocument/2006/relationships/hyperlink" Target="https://doi.org/10.1093/ejcts/ezz295" TargetMode="External"/><Relationship Id="rId59" Type="http://schemas.openxmlformats.org/officeDocument/2006/relationships/hyperlink" Target="https://doi.org/10.1016/j.ijantimicag.2025.107629" TargetMode="External"/><Relationship Id="rId154" Type="http://schemas.openxmlformats.org/officeDocument/2006/relationships/hyperlink" Target="https://doi.org/10.3389/fmed.2023.1238147" TargetMode="External"/><Relationship Id="rId58" Type="http://schemas.openxmlformats.org/officeDocument/2006/relationships/hyperlink" Target="https://doi.org/10.1136/bmjresp-2022-001360" TargetMode="External"/><Relationship Id="rId153" Type="http://schemas.openxmlformats.org/officeDocument/2006/relationships/hyperlink" Target="https://doi.org/10.17116/stomat202210106122" TargetMode="External"/><Relationship Id="rId152" Type="http://schemas.openxmlformats.org/officeDocument/2006/relationships/hyperlink" Target="https://doi.org/10.26442/20795696.2020.3.200199" TargetMode="External"/><Relationship Id="rId151" Type="http://schemas.openxmlformats.org/officeDocument/2006/relationships/hyperlink" Target="https://doi.org/10.18565/urology.2020.3.26-33" TargetMode="External"/><Relationship Id="rId158" Type="http://schemas.openxmlformats.org/officeDocument/2006/relationships/hyperlink" Target="https://doi.org/10.1093/europace/euz319" TargetMode="External"/><Relationship Id="rId157" Type="http://schemas.openxmlformats.org/officeDocument/2006/relationships/hyperlink" Target="https://doi.org/10.17116/otorino20198405155" TargetMode="External"/><Relationship Id="rId156" Type="http://schemas.openxmlformats.org/officeDocument/2006/relationships/hyperlink" Target="https://trialsearch.who.int/?TrialID=cita:%20Rev%20Cubana%20Angiol%20Cir%20Vasc%202017" TargetMode="External"/><Relationship Id="rId155" Type="http://schemas.openxmlformats.org/officeDocument/2006/relationships/hyperlink" Target="https://doi.org/10.34883/pi.2024.14.2.00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6" width="8.71"/>
  </cols>
  <sheetData>
    <row r="1">
      <c r="A1" s="1" t="s">
        <v>0</v>
      </c>
    </row>
    <row r="2">
      <c r="A2" t="s">
        <v>1</v>
      </c>
    </row>
    <row r="4">
      <c r="A4" s="1" t="s">
        <v>2</v>
      </c>
    </row>
    <row r="6">
      <c r="A6" s="1" t="s">
        <v>3</v>
      </c>
    </row>
    <row r="7">
      <c r="A7" t="s">
        <v>4</v>
      </c>
    </row>
    <row r="8">
      <c r="A8" t="s">
        <v>5</v>
      </c>
    </row>
    <row r="9">
      <c r="A9" t="s">
        <v>6</v>
      </c>
    </row>
    <row r="11">
      <c r="A11" s="1" t="s">
        <v>7</v>
      </c>
    </row>
    <row r="12">
      <c r="A12" t="s">
        <v>8</v>
      </c>
    </row>
    <row r="13">
      <c r="A13" t="s">
        <v>9</v>
      </c>
    </row>
    <row r="14">
      <c r="A14" t="s">
        <v>10</v>
      </c>
    </row>
    <row r="15">
      <c r="A15" t="s">
        <v>11</v>
      </c>
    </row>
    <row r="17">
      <c r="A17" s="1" t="s">
        <v>12</v>
      </c>
    </row>
    <row r="18">
      <c r="A18" t="s">
        <v>13</v>
      </c>
    </row>
    <row r="19">
      <c r="A19" t="s">
        <v>14</v>
      </c>
    </row>
    <row r="20">
      <c r="A20" t="s">
        <v>15</v>
      </c>
    </row>
    <row r="21" ht="15.75" customHeight="1">
      <c r="A21" t="s">
        <v>16</v>
      </c>
    </row>
    <row r="22" ht="15.75" customHeight="1"/>
    <row r="23" ht="15.75" customHeight="1">
      <c r="A23" s="1" t="s">
        <v>17</v>
      </c>
    </row>
    <row r="24" ht="15.75" customHeight="1">
      <c r="A24" t="s">
        <v>18</v>
      </c>
    </row>
    <row r="25" ht="15.75" customHeight="1">
      <c r="A25" t="s">
        <v>19</v>
      </c>
    </row>
    <row r="26" ht="15.75" customHeight="1"/>
    <row r="27" ht="15.75" customHeight="1">
      <c r="A27" s="1" t="s">
        <v>20</v>
      </c>
    </row>
    <row r="28" ht="15.75" customHeight="1">
      <c r="A28" t="s">
        <v>21</v>
      </c>
    </row>
    <row r="29" ht="15.75" customHeight="1">
      <c r="A29" t="s">
        <v>22</v>
      </c>
    </row>
    <row r="30" ht="15.75" customHeight="1"/>
    <row r="31" ht="15.75" customHeight="1">
      <c r="A31" s="1" t="s">
        <v>23</v>
      </c>
    </row>
    <row r="32" ht="15.75" customHeight="1">
      <c r="A32" t="s">
        <v>24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9.0"/>
    <col customWidth="1" min="2" max="2" width="7.0"/>
    <col customWidth="1" min="3" max="3" width="58.0"/>
    <col customWidth="1" min="4" max="4" width="24.0"/>
    <col customWidth="1" min="5" max="5" width="6.0"/>
    <col customWidth="1" min="6" max="6" width="17.0"/>
    <col customWidth="1" min="7" max="7" width="24.0"/>
    <col customWidth="1" min="8" max="8" width="16.0"/>
    <col customWidth="1" min="9" max="9" width="22.0"/>
    <col customWidth="1" min="10" max="10" width="8.0"/>
    <col customWidth="1" min="11" max="26" width="18.0"/>
    <col customWidth="1" min="27" max="27" width="42.0"/>
    <col customWidth="1" min="28" max="28" width="26.0"/>
    <col customWidth="1" min="29" max="29" width="20.0"/>
    <col customWidth="1" min="30" max="30" width="32.0"/>
    <col customWidth="1" min="31" max="31" width="30.0"/>
  </cols>
  <sheetData>
    <row r="1" ht="45.75" customHeight="1">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c r="X1" s="2" t="s">
        <v>48</v>
      </c>
      <c r="Y1" s="2" t="s">
        <v>49</v>
      </c>
      <c r="Z1" s="2" t="s">
        <v>50</v>
      </c>
      <c r="AA1" s="2" t="s">
        <v>51</v>
      </c>
      <c r="AB1" s="2" t="s">
        <v>52</v>
      </c>
      <c r="AC1" s="2" t="s">
        <v>53</v>
      </c>
      <c r="AD1" s="2" t="s">
        <v>54</v>
      </c>
      <c r="AE1" s="2" t="s">
        <v>55</v>
      </c>
    </row>
    <row r="2">
      <c r="A2" s="3" t="s">
        <v>56</v>
      </c>
      <c r="B2" s="3">
        <v>1.0</v>
      </c>
      <c r="C2" s="3" t="s">
        <v>57</v>
      </c>
      <c r="D2" s="3" t="s">
        <v>58</v>
      </c>
      <c r="E2" s="3" t="s">
        <v>59</v>
      </c>
      <c r="F2" s="3" t="s">
        <v>60</v>
      </c>
      <c r="G2" s="3" t="s">
        <v>61</v>
      </c>
      <c r="H2" s="4" t="s">
        <v>62</v>
      </c>
      <c r="I2" s="5" t="s">
        <v>63</v>
      </c>
      <c r="J2" s="5" t="s">
        <v>64</v>
      </c>
      <c r="K2" s="5" t="s">
        <v>65</v>
      </c>
      <c r="L2" s="5" t="s">
        <v>66</v>
      </c>
      <c r="M2" s="5" t="s">
        <v>67</v>
      </c>
      <c r="N2" s="5" t="s">
        <v>68</v>
      </c>
      <c r="O2" s="5" t="s">
        <v>69</v>
      </c>
      <c r="P2" s="5" t="s">
        <v>70</v>
      </c>
      <c r="Q2" s="5" t="s">
        <v>71</v>
      </c>
      <c r="R2" s="5" t="s">
        <v>72</v>
      </c>
      <c r="S2" s="5">
        <v>1.0</v>
      </c>
      <c r="T2" s="5">
        <v>1.0</v>
      </c>
      <c r="U2" s="5">
        <v>0.0</v>
      </c>
      <c r="V2" s="5">
        <v>1.0</v>
      </c>
      <c r="W2" s="5">
        <v>0.0</v>
      </c>
      <c r="X2" s="5" t="s">
        <v>73</v>
      </c>
      <c r="Y2" s="5" t="s">
        <v>73</v>
      </c>
      <c r="Z2" s="5">
        <v>2021.0</v>
      </c>
      <c r="AA2" s="6" t="s">
        <v>74</v>
      </c>
      <c r="AB2" s="5" t="str">
        <f>IFERROR(IF(VLOOKUP(D2,Revistas!$A$21:$C$400,3,FALSE)=0,"",VLOOKUP(D2,Revistas!$A$21:$C$400,3,FALSE)),"")</f>
        <v>medio</v>
      </c>
      <c r="AC2" s="5" t="s">
        <v>75</v>
      </c>
      <c r="AD2" s="5" t="s">
        <v>76</v>
      </c>
      <c r="AE2" s="5" t="s">
        <v>77</v>
      </c>
    </row>
    <row r="3">
      <c r="A3" s="3" t="s">
        <v>78</v>
      </c>
      <c r="B3" s="3">
        <v>2.0</v>
      </c>
      <c r="C3" s="3" t="s">
        <v>79</v>
      </c>
      <c r="D3" s="3" t="s">
        <v>58</v>
      </c>
      <c r="E3" s="3" t="s">
        <v>80</v>
      </c>
      <c r="F3" s="3" t="s">
        <v>60</v>
      </c>
      <c r="G3" s="3" t="s">
        <v>81</v>
      </c>
      <c r="H3" s="4" t="s">
        <v>62</v>
      </c>
      <c r="I3" s="5" t="s">
        <v>82</v>
      </c>
      <c r="J3" s="5" t="s">
        <v>64</v>
      </c>
      <c r="K3" s="5" t="s">
        <v>65</v>
      </c>
      <c r="L3" s="5" t="s">
        <v>83</v>
      </c>
      <c r="M3" s="5" t="s">
        <v>67</v>
      </c>
      <c r="N3" s="5" t="s">
        <v>68</v>
      </c>
      <c r="O3" s="5" t="s">
        <v>84</v>
      </c>
      <c r="P3" s="5" t="s">
        <v>70</v>
      </c>
      <c r="Q3" s="5" t="s">
        <v>71</v>
      </c>
      <c r="R3" s="5" t="s">
        <v>72</v>
      </c>
      <c r="S3" s="5">
        <v>1.0</v>
      </c>
      <c r="T3" s="5">
        <v>1.0</v>
      </c>
      <c r="U3" s="5">
        <v>1.0</v>
      </c>
      <c r="V3" s="5">
        <v>0.0</v>
      </c>
      <c r="W3" s="5">
        <v>0.0</v>
      </c>
      <c r="X3" s="5" t="s">
        <v>73</v>
      </c>
      <c r="Y3" s="5" t="s">
        <v>73</v>
      </c>
      <c r="Z3" s="5">
        <v>2023.0</v>
      </c>
      <c r="AA3" s="5" t="s">
        <v>85</v>
      </c>
      <c r="AB3" s="5" t="str">
        <f>IFERROR(IF(VLOOKUP(D3,Revistas!$A$21:$C$400,3,FALSE)=0,"",VLOOKUP(D3,Revistas!$A$21:$C$400,3,FALSE)),"")</f>
        <v>medio</v>
      </c>
      <c r="AC3" s="5" t="s">
        <v>86</v>
      </c>
      <c r="AD3" s="5" t="s">
        <v>76</v>
      </c>
      <c r="AE3" s="5" t="s">
        <v>87</v>
      </c>
    </row>
    <row r="4">
      <c r="A4" s="3" t="s">
        <v>88</v>
      </c>
      <c r="B4" s="3">
        <v>3.0</v>
      </c>
      <c r="C4" s="3" t="s">
        <v>89</v>
      </c>
      <c r="D4" s="3" t="s">
        <v>90</v>
      </c>
      <c r="E4" s="3" t="s">
        <v>80</v>
      </c>
      <c r="F4" s="3" t="s">
        <v>60</v>
      </c>
      <c r="G4" s="3" t="s">
        <v>91</v>
      </c>
      <c r="H4" s="4" t="s">
        <v>62</v>
      </c>
      <c r="I4" s="5" t="s">
        <v>92</v>
      </c>
      <c r="J4" s="5" t="s">
        <v>64</v>
      </c>
      <c r="K4" s="5" t="s">
        <v>65</v>
      </c>
      <c r="L4" s="5" t="s">
        <v>66</v>
      </c>
      <c r="M4" s="5" t="s">
        <v>67</v>
      </c>
      <c r="N4" s="5" t="s">
        <v>68</v>
      </c>
      <c r="O4" s="5" t="s">
        <v>93</v>
      </c>
      <c r="P4" s="5" t="s">
        <v>70</v>
      </c>
      <c r="Q4" s="5" t="s">
        <v>94</v>
      </c>
      <c r="R4" s="5" t="s">
        <v>72</v>
      </c>
      <c r="S4" s="5">
        <v>5.0</v>
      </c>
      <c r="T4" s="5">
        <v>5.0</v>
      </c>
      <c r="U4" s="5">
        <v>0.0</v>
      </c>
      <c r="V4" s="5">
        <v>0.0</v>
      </c>
      <c r="W4" s="5">
        <v>0.0</v>
      </c>
      <c r="X4" s="5" t="s">
        <v>73</v>
      </c>
      <c r="Y4" s="5" t="s">
        <v>73</v>
      </c>
      <c r="Z4" s="5">
        <v>2023.0</v>
      </c>
      <c r="AA4" s="5" t="s">
        <v>95</v>
      </c>
      <c r="AB4" s="5" t="str">
        <f>IFERROR(IF(VLOOKUP(D4,Revistas!$A$21:$C$400,3,FALSE)=0,"",VLOOKUP(D4,Revistas!$A$21:$C$400,3,FALSE)),"")</f>
        <v>alto</v>
      </c>
      <c r="AC4" s="5" t="s">
        <v>96</v>
      </c>
      <c r="AD4" s="5" t="s">
        <v>97</v>
      </c>
      <c r="AE4" s="5" t="s">
        <v>73</v>
      </c>
    </row>
    <row r="5">
      <c r="A5" s="3" t="s">
        <v>98</v>
      </c>
      <c r="B5" s="3">
        <v>3.0</v>
      </c>
      <c r="C5" s="3" t="s">
        <v>89</v>
      </c>
      <c r="D5" s="3" t="s">
        <v>90</v>
      </c>
      <c r="E5" s="3" t="s">
        <v>80</v>
      </c>
      <c r="F5" s="3" t="s">
        <v>60</v>
      </c>
      <c r="G5" s="3" t="s">
        <v>91</v>
      </c>
      <c r="H5" s="7"/>
      <c r="I5" s="5" t="s">
        <v>92</v>
      </c>
      <c r="J5" s="5" t="s">
        <v>99</v>
      </c>
      <c r="K5" s="5" t="s">
        <v>65</v>
      </c>
      <c r="L5" s="5" t="s">
        <v>83</v>
      </c>
      <c r="M5" s="5" t="s">
        <v>67</v>
      </c>
      <c r="N5" s="5" t="s">
        <v>68</v>
      </c>
      <c r="O5" s="5" t="s">
        <v>84</v>
      </c>
      <c r="P5" s="5" t="s">
        <v>70</v>
      </c>
      <c r="Q5" s="5" t="s">
        <v>94</v>
      </c>
      <c r="R5" s="5" t="s">
        <v>72</v>
      </c>
      <c r="S5" s="5">
        <v>5.0</v>
      </c>
      <c r="T5" s="5">
        <v>4.0</v>
      </c>
      <c r="U5" s="5">
        <v>3.0</v>
      </c>
      <c r="V5" s="5">
        <v>1.0</v>
      </c>
      <c r="W5" s="5">
        <v>1.0</v>
      </c>
      <c r="X5" s="5" t="s">
        <v>73</v>
      </c>
      <c r="Y5" s="5" t="s">
        <v>73</v>
      </c>
      <c r="Z5" s="5">
        <v>2023.0</v>
      </c>
      <c r="AA5" s="5" t="s">
        <v>95</v>
      </c>
      <c r="AB5" s="5" t="s">
        <v>100</v>
      </c>
      <c r="AC5" s="5" t="s">
        <v>96</v>
      </c>
      <c r="AD5" s="5" t="s">
        <v>97</v>
      </c>
      <c r="AE5" s="5" t="s">
        <v>73</v>
      </c>
    </row>
    <row r="6">
      <c r="A6" s="3" t="s">
        <v>88</v>
      </c>
      <c r="B6" s="3">
        <v>3.0</v>
      </c>
      <c r="C6" s="3" t="s">
        <v>89</v>
      </c>
      <c r="D6" s="3" t="s">
        <v>90</v>
      </c>
      <c r="E6" s="3" t="s">
        <v>80</v>
      </c>
      <c r="F6" s="3" t="s">
        <v>60</v>
      </c>
      <c r="G6" s="3" t="s">
        <v>91</v>
      </c>
      <c r="H6" s="7"/>
      <c r="I6" s="5" t="s">
        <v>92</v>
      </c>
      <c r="J6" s="5" t="s">
        <v>101</v>
      </c>
      <c r="K6" s="5" t="s">
        <v>65</v>
      </c>
      <c r="L6" s="5" t="s">
        <v>102</v>
      </c>
      <c r="M6" s="5" t="s">
        <v>67</v>
      </c>
      <c r="N6" s="5" t="s">
        <v>68</v>
      </c>
      <c r="O6" s="5" t="s">
        <v>84</v>
      </c>
      <c r="P6" s="5" t="s">
        <v>70</v>
      </c>
      <c r="Q6" s="5" t="s">
        <v>94</v>
      </c>
      <c r="R6" s="5" t="s">
        <v>72</v>
      </c>
      <c r="S6" s="5">
        <v>4.0</v>
      </c>
      <c r="T6" s="5">
        <v>3.0</v>
      </c>
      <c r="U6" s="5">
        <v>2.0</v>
      </c>
      <c r="V6" s="5">
        <v>1.0</v>
      </c>
      <c r="W6" s="5">
        <v>1.0</v>
      </c>
      <c r="X6" s="5" t="s">
        <v>73</v>
      </c>
      <c r="Y6" s="5" t="s">
        <v>73</v>
      </c>
      <c r="Z6" s="5">
        <v>2023.0</v>
      </c>
      <c r="AA6" s="5" t="s">
        <v>95</v>
      </c>
      <c r="AB6" s="5" t="s">
        <v>100</v>
      </c>
      <c r="AC6" s="5" t="s">
        <v>96</v>
      </c>
      <c r="AD6" s="5" t="s">
        <v>97</v>
      </c>
      <c r="AE6" s="5" t="s">
        <v>73</v>
      </c>
    </row>
    <row r="7">
      <c r="A7" s="8" t="s">
        <v>88</v>
      </c>
      <c r="B7" s="3">
        <v>3.0</v>
      </c>
      <c r="C7" s="3" t="s">
        <v>89</v>
      </c>
      <c r="D7" s="3" t="s">
        <v>90</v>
      </c>
      <c r="E7" s="3">
        <v>2023.0</v>
      </c>
      <c r="F7" s="3" t="s">
        <v>60</v>
      </c>
      <c r="G7" s="3" t="s">
        <v>91</v>
      </c>
      <c r="H7" s="7"/>
      <c r="I7" s="5" t="s">
        <v>92</v>
      </c>
      <c r="J7" s="5" t="s">
        <v>103</v>
      </c>
      <c r="K7" s="5" t="s">
        <v>65</v>
      </c>
      <c r="L7" s="5" t="s">
        <v>104</v>
      </c>
      <c r="M7" s="5" t="s">
        <v>67</v>
      </c>
      <c r="N7" s="5" t="s">
        <v>68</v>
      </c>
      <c r="O7" s="5" t="s">
        <v>84</v>
      </c>
      <c r="P7" s="5" t="s">
        <v>70</v>
      </c>
      <c r="Q7" s="5" t="s">
        <v>94</v>
      </c>
      <c r="R7" s="5" t="s">
        <v>72</v>
      </c>
      <c r="S7" s="5">
        <v>1.0</v>
      </c>
      <c r="T7" s="5">
        <v>1.0</v>
      </c>
      <c r="U7" s="5">
        <v>0.0</v>
      </c>
      <c r="V7" s="5">
        <v>0.0</v>
      </c>
      <c r="W7" s="5">
        <v>0.0</v>
      </c>
      <c r="X7" s="5" t="s">
        <v>73</v>
      </c>
      <c r="Y7" s="5" t="s">
        <v>73</v>
      </c>
      <c r="Z7" s="5">
        <v>2023.0</v>
      </c>
      <c r="AA7" s="5" t="s">
        <v>95</v>
      </c>
      <c r="AB7" s="5" t="s">
        <v>105</v>
      </c>
      <c r="AC7" s="5" t="s">
        <v>96</v>
      </c>
      <c r="AD7" s="5" t="s">
        <v>97</v>
      </c>
      <c r="AE7" s="5" t="s">
        <v>73</v>
      </c>
    </row>
    <row r="8">
      <c r="A8" s="3" t="s">
        <v>88</v>
      </c>
      <c r="B8" s="3">
        <v>3.0</v>
      </c>
      <c r="C8" s="3" t="s">
        <v>106</v>
      </c>
      <c r="D8" s="3" t="s">
        <v>90</v>
      </c>
      <c r="E8" s="3" t="s">
        <v>80</v>
      </c>
      <c r="F8" s="3" t="s">
        <v>60</v>
      </c>
      <c r="G8" s="3" t="s">
        <v>91</v>
      </c>
      <c r="H8" s="7"/>
      <c r="I8" s="5" t="s">
        <v>92</v>
      </c>
      <c r="J8" s="5" t="s">
        <v>107</v>
      </c>
      <c r="K8" s="5" t="s">
        <v>65</v>
      </c>
      <c r="L8" s="5" t="s">
        <v>66</v>
      </c>
      <c r="M8" s="5" t="s">
        <v>67</v>
      </c>
      <c r="N8" s="5" t="s">
        <v>68</v>
      </c>
      <c r="O8" s="5" t="s">
        <v>73</v>
      </c>
      <c r="P8" s="5" t="s">
        <v>73</v>
      </c>
      <c r="Q8" s="5" t="s">
        <v>94</v>
      </c>
      <c r="R8" s="5" t="s">
        <v>72</v>
      </c>
      <c r="S8" s="5">
        <v>1.0</v>
      </c>
      <c r="T8" s="5">
        <v>0.0</v>
      </c>
      <c r="U8" s="5">
        <v>0.0</v>
      </c>
      <c r="V8" s="5">
        <v>0.0</v>
      </c>
      <c r="W8" s="5">
        <v>0.0</v>
      </c>
      <c r="X8" s="5" t="s">
        <v>73</v>
      </c>
      <c r="Y8" s="5" t="s">
        <v>73</v>
      </c>
      <c r="Z8" s="5">
        <v>2023.0</v>
      </c>
      <c r="AA8" s="5" t="s">
        <v>95</v>
      </c>
      <c r="AB8" s="5" t="s">
        <v>100</v>
      </c>
      <c r="AC8" s="5" t="s">
        <v>96</v>
      </c>
      <c r="AD8" s="5" t="s">
        <v>97</v>
      </c>
      <c r="AE8" s="5" t="s">
        <v>73</v>
      </c>
    </row>
    <row r="9">
      <c r="A9" s="3" t="s">
        <v>108</v>
      </c>
      <c r="B9" s="3">
        <v>4.0</v>
      </c>
      <c r="C9" s="3" t="s">
        <v>109</v>
      </c>
      <c r="D9" s="3" t="s">
        <v>110</v>
      </c>
      <c r="E9" s="3" t="s">
        <v>111</v>
      </c>
      <c r="F9" s="3" t="s">
        <v>60</v>
      </c>
      <c r="G9" s="3" t="s">
        <v>112</v>
      </c>
      <c r="H9" s="4" t="s">
        <v>62</v>
      </c>
      <c r="I9" s="5" t="s">
        <v>113</v>
      </c>
      <c r="J9" s="5" t="s">
        <v>64</v>
      </c>
      <c r="K9" s="5" t="s">
        <v>65</v>
      </c>
      <c r="L9" s="5" t="s">
        <v>83</v>
      </c>
      <c r="M9" s="5" t="s">
        <v>67</v>
      </c>
      <c r="N9" s="5" t="s">
        <v>68</v>
      </c>
      <c r="O9" s="5" t="s">
        <v>114</v>
      </c>
      <c r="P9" s="5" t="s">
        <v>70</v>
      </c>
      <c r="Q9" s="5" t="s">
        <v>115</v>
      </c>
      <c r="R9" s="5" t="s">
        <v>72</v>
      </c>
      <c r="S9" s="5">
        <v>7.0</v>
      </c>
      <c r="T9" s="5">
        <v>7.0</v>
      </c>
      <c r="U9" s="5">
        <v>0.0</v>
      </c>
      <c r="V9" s="5">
        <v>7.0</v>
      </c>
      <c r="W9" s="5">
        <v>0.0</v>
      </c>
      <c r="X9" s="5" t="s">
        <v>73</v>
      </c>
      <c r="Y9" s="5" t="s">
        <v>73</v>
      </c>
      <c r="Z9" s="5">
        <v>2025.0</v>
      </c>
      <c r="AA9" s="9" t="s">
        <v>116</v>
      </c>
      <c r="AB9" s="5" t="str">
        <f>IFERROR(IF(VLOOKUP(D9,Revistas!$A$21:$C$400,3,FALSE)=0,"",VLOOKUP(D9,Revistas!$A$21:$C$400,3,FALSE)),"")</f>
        <v>alto</v>
      </c>
      <c r="AC9" s="5" t="s">
        <v>117</v>
      </c>
      <c r="AD9" s="5" t="s">
        <v>118</v>
      </c>
      <c r="AE9" s="5" t="s">
        <v>73</v>
      </c>
    </row>
    <row r="10">
      <c r="A10" s="3" t="s">
        <v>108</v>
      </c>
      <c r="B10" s="3">
        <v>4.0</v>
      </c>
      <c r="C10" s="3" t="s">
        <v>109</v>
      </c>
      <c r="D10" s="3" t="s">
        <v>110</v>
      </c>
      <c r="E10" s="3" t="s">
        <v>111</v>
      </c>
      <c r="F10" s="3" t="s">
        <v>60</v>
      </c>
      <c r="G10" s="3" t="s">
        <v>112</v>
      </c>
      <c r="H10" s="4" t="s">
        <v>62</v>
      </c>
      <c r="I10" s="5" t="s">
        <v>113</v>
      </c>
      <c r="J10" s="5" t="s">
        <v>99</v>
      </c>
      <c r="K10" s="5" t="s">
        <v>65</v>
      </c>
      <c r="L10" s="5" t="s">
        <v>104</v>
      </c>
      <c r="M10" s="5" t="s">
        <v>67</v>
      </c>
      <c r="N10" s="5" t="s">
        <v>68</v>
      </c>
      <c r="O10" s="5" t="s">
        <v>114</v>
      </c>
      <c r="P10" s="5" t="s">
        <v>70</v>
      </c>
      <c r="Q10" s="5" t="s">
        <v>115</v>
      </c>
      <c r="R10" s="5" t="s">
        <v>72</v>
      </c>
      <c r="S10" s="5">
        <v>2.0</v>
      </c>
      <c r="T10" s="5">
        <v>2.0</v>
      </c>
      <c r="U10" s="5">
        <v>0.0</v>
      </c>
      <c r="V10" s="5">
        <v>2.0</v>
      </c>
      <c r="W10" s="5">
        <v>0.0</v>
      </c>
      <c r="X10" s="5" t="s">
        <v>73</v>
      </c>
      <c r="Y10" s="5" t="s">
        <v>73</v>
      </c>
      <c r="Z10" s="5">
        <v>2025.0</v>
      </c>
      <c r="AA10" s="9" t="s">
        <v>116</v>
      </c>
      <c r="AB10" s="5" t="str">
        <f>IFERROR(IF(VLOOKUP(D10,Revistas!$A$21:$C$400,3,FALSE)=0,"",VLOOKUP(D10,Revistas!$A$21:$C$400,3,FALSE)),"")</f>
        <v>alto</v>
      </c>
      <c r="AC10" s="5" t="s">
        <v>117</v>
      </c>
      <c r="AD10" s="5" t="s">
        <v>119</v>
      </c>
      <c r="AE10" s="10" t="s">
        <v>73</v>
      </c>
    </row>
    <row r="11">
      <c r="A11" s="3" t="s">
        <v>120</v>
      </c>
      <c r="B11" s="3">
        <v>5.0</v>
      </c>
      <c r="C11" s="11" t="s">
        <v>121</v>
      </c>
      <c r="D11" s="3" t="s">
        <v>122</v>
      </c>
      <c r="E11" s="3" t="s">
        <v>123</v>
      </c>
      <c r="F11" s="3" t="s">
        <v>60</v>
      </c>
      <c r="G11" s="3" t="s">
        <v>124</v>
      </c>
      <c r="H11" s="4" t="s">
        <v>62</v>
      </c>
      <c r="I11" s="10" t="s">
        <v>125</v>
      </c>
      <c r="J11" s="5" t="s">
        <v>64</v>
      </c>
      <c r="K11" s="10" t="s">
        <v>65</v>
      </c>
      <c r="L11" s="10" t="s">
        <v>83</v>
      </c>
      <c r="M11" s="10" t="s">
        <v>67</v>
      </c>
      <c r="N11" s="10" t="s">
        <v>68</v>
      </c>
      <c r="O11" s="10" t="s">
        <v>84</v>
      </c>
      <c r="P11" s="10" t="s">
        <v>126</v>
      </c>
      <c r="Q11" s="10" t="s">
        <v>71</v>
      </c>
      <c r="R11" s="10" t="s">
        <v>72</v>
      </c>
      <c r="S11" s="10">
        <v>1.0</v>
      </c>
      <c r="T11" s="10">
        <v>1.0</v>
      </c>
      <c r="U11" s="10">
        <v>0.0</v>
      </c>
      <c r="V11" s="10">
        <v>0.0</v>
      </c>
      <c r="W11" s="10">
        <v>0.0</v>
      </c>
      <c r="X11" s="5" t="s">
        <v>73</v>
      </c>
      <c r="Y11" s="5" t="s">
        <v>73</v>
      </c>
      <c r="Z11" s="10">
        <v>2019.0</v>
      </c>
      <c r="AA11" s="12" t="s">
        <v>127</v>
      </c>
      <c r="AB11" s="5" t="str">
        <f>IFERROR(IF(VLOOKUP(D11,Revistas!$A$21:$C$400,3,FALSE)=0,"",VLOOKUP(D11,Revistas!$A$21:$C$400,3,FALSE)),"")</f>
        <v>medio</v>
      </c>
      <c r="AC11" s="5" t="s">
        <v>117</v>
      </c>
      <c r="AD11" s="10" t="s">
        <v>128</v>
      </c>
      <c r="AE11" s="10" t="s">
        <v>73</v>
      </c>
    </row>
    <row r="12">
      <c r="A12" s="3" t="s">
        <v>129</v>
      </c>
      <c r="B12" s="3">
        <v>6.0</v>
      </c>
      <c r="C12" s="3" t="s">
        <v>130</v>
      </c>
      <c r="D12" s="3" t="s">
        <v>131</v>
      </c>
      <c r="E12" s="3" t="s">
        <v>132</v>
      </c>
      <c r="F12" s="3" t="s">
        <v>60</v>
      </c>
      <c r="G12" s="3" t="s">
        <v>133</v>
      </c>
      <c r="H12" s="4" t="s">
        <v>62</v>
      </c>
      <c r="I12" s="10" t="s">
        <v>134</v>
      </c>
      <c r="J12" s="5" t="s">
        <v>64</v>
      </c>
      <c r="K12" s="10" t="s">
        <v>65</v>
      </c>
      <c r="L12" s="10" t="s">
        <v>102</v>
      </c>
      <c r="M12" s="10" t="s">
        <v>67</v>
      </c>
      <c r="N12" s="10" t="s">
        <v>68</v>
      </c>
      <c r="O12" s="10" t="s">
        <v>84</v>
      </c>
      <c r="P12" s="10" t="s">
        <v>70</v>
      </c>
      <c r="Q12" s="10" t="s">
        <v>71</v>
      </c>
      <c r="R12" s="10" t="s">
        <v>72</v>
      </c>
      <c r="S12" s="10">
        <v>1.0</v>
      </c>
      <c r="T12" s="10">
        <v>1.0</v>
      </c>
      <c r="U12" s="10">
        <v>0.0</v>
      </c>
      <c r="V12" s="10">
        <v>0.0</v>
      </c>
      <c r="W12" s="10">
        <v>0.0</v>
      </c>
      <c r="X12" s="10" t="s">
        <v>73</v>
      </c>
      <c r="Y12" s="10" t="s">
        <v>73</v>
      </c>
      <c r="Z12" s="10">
        <v>2024.0</v>
      </c>
      <c r="AA12" s="13" t="s">
        <v>135</v>
      </c>
      <c r="AB12" s="5" t="str">
        <f>IFERROR(IF(VLOOKUP(D12,Revistas!$A$21:$C$400,3,FALSE)=0,"",VLOOKUP(D12,Revistas!$A$21:$C$400,3,FALSE)),"")</f>
        <v>medio</v>
      </c>
      <c r="AC12" s="10" t="s">
        <v>136</v>
      </c>
      <c r="AD12" s="10" t="s">
        <v>137</v>
      </c>
      <c r="AE12" s="10" t="s">
        <v>138</v>
      </c>
    </row>
    <row r="13">
      <c r="A13" s="3" t="s">
        <v>139</v>
      </c>
      <c r="B13" s="3">
        <v>7.0</v>
      </c>
      <c r="C13" s="3" t="s">
        <v>140</v>
      </c>
      <c r="D13" s="3" t="s">
        <v>141</v>
      </c>
      <c r="E13" s="3" t="s">
        <v>142</v>
      </c>
      <c r="F13" s="3" t="s">
        <v>60</v>
      </c>
      <c r="G13" s="3" t="s">
        <v>143</v>
      </c>
      <c r="H13" s="4" t="s">
        <v>62</v>
      </c>
      <c r="I13" s="10" t="s">
        <v>144</v>
      </c>
      <c r="J13" s="5" t="s">
        <v>64</v>
      </c>
      <c r="K13" s="10" t="s">
        <v>65</v>
      </c>
      <c r="L13" s="10" t="s">
        <v>83</v>
      </c>
      <c r="M13" s="10" t="s">
        <v>67</v>
      </c>
      <c r="N13" s="10" t="s">
        <v>68</v>
      </c>
      <c r="O13" s="10" t="s">
        <v>84</v>
      </c>
      <c r="P13" s="10" t="s">
        <v>70</v>
      </c>
      <c r="Q13" s="10" t="s">
        <v>71</v>
      </c>
      <c r="R13" s="10" t="s">
        <v>72</v>
      </c>
      <c r="S13" s="10">
        <v>1.0</v>
      </c>
      <c r="T13" s="10">
        <v>1.0</v>
      </c>
      <c r="U13" s="10">
        <v>0.0</v>
      </c>
      <c r="V13" s="10">
        <v>0.0</v>
      </c>
      <c r="W13" s="10">
        <v>0.0</v>
      </c>
      <c r="X13" s="10" t="s">
        <v>73</v>
      </c>
      <c r="Y13" s="10" t="s">
        <v>145</v>
      </c>
      <c r="Z13" s="10">
        <v>2026.0</v>
      </c>
      <c r="AA13" s="14" t="s">
        <v>146</v>
      </c>
      <c r="AB13" s="5" t="str">
        <f>IFERROR(IF(VLOOKUP(D13,Revistas!$A$21:$C$400,3,FALSE)=0,"",VLOOKUP(D13,Revistas!$A$21:$C$400,3,FALSE)),"")</f>
        <v>medio</v>
      </c>
      <c r="AC13" s="10" t="s">
        <v>75</v>
      </c>
      <c r="AD13" s="10" t="s">
        <v>147</v>
      </c>
      <c r="AE13" s="10" t="s">
        <v>73</v>
      </c>
    </row>
    <row r="14">
      <c r="A14" s="3" t="s">
        <v>148</v>
      </c>
      <c r="B14" s="3">
        <v>9.0</v>
      </c>
      <c r="C14" s="3" t="s">
        <v>149</v>
      </c>
      <c r="D14" s="3" t="s">
        <v>150</v>
      </c>
      <c r="E14" s="3" t="s">
        <v>59</v>
      </c>
      <c r="F14" s="3" t="s">
        <v>60</v>
      </c>
      <c r="G14" s="3" t="s">
        <v>151</v>
      </c>
      <c r="H14" s="4" t="s">
        <v>62</v>
      </c>
      <c r="I14" s="10" t="s">
        <v>152</v>
      </c>
      <c r="J14" s="10" t="s">
        <v>73</v>
      </c>
      <c r="K14" s="10"/>
      <c r="L14" s="10" t="s">
        <v>66</v>
      </c>
      <c r="M14" s="10" t="s">
        <v>66</v>
      </c>
      <c r="N14" s="10" t="s">
        <v>68</v>
      </c>
      <c r="O14" s="10" t="s">
        <v>73</v>
      </c>
      <c r="P14" s="10" t="s">
        <v>73</v>
      </c>
      <c r="Q14" s="10" t="s">
        <v>71</v>
      </c>
      <c r="R14" s="10" t="s">
        <v>72</v>
      </c>
      <c r="S14" s="10">
        <v>0.0</v>
      </c>
      <c r="T14" s="10">
        <v>1.0</v>
      </c>
      <c r="U14" s="10">
        <v>0.0</v>
      </c>
      <c r="V14" s="10">
        <v>0.0</v>
      </c>
      <c r="W14" s="10">
        <v>0.0</v>
      </c>
      <c r="X14" s="10" t="s">
        <v>73</v>
      </c>
      <c r="Y14" s="10" t="s">
        <v>73</v>
      </c>
      <c r="Z14" s="10">
        <v>2021.0</v>
      </c>
      <c r="AA14" s="10" t="s">
        <v>73</v>
      </c>
      <c r="AB14" s="5" t="str">
        <f>IFERROR(IF(VLOOKUP(D14,Revistas!$A$21:$C$400,3,FALSE)=0,"",VLOOKUP(D14,Revistas!$A$21:$C$400,3,FALSE)),"")</f>
        <v/>
      </c>
      <c r="AC14" s="10" t="s">
        <v>153</v>
      </c>
      <c r="AD14" s="10" t="s">
        <v>138</v>
      </c>
      <c r="AE14" s="10" t="s">
        <v>138</v>
      </c>
    </row>
    <row r="15">
      <c r="A15" s="3" t="s">
        <v>154</v>
      </c>
      <c r="B15" s="3">
        <v>10.0</v>
      </c>
      <c r="C15" s="3" t="s">
        <v>155</v>
      </c>
      <c r="D15" s="3" t="s">
        <v>156</v>
      </c>
      <c r="E15" s="3" t="s">
        <v>157</v>
      </c>
      <c r="F15" s="3" t="s">
        <v>60</v>
      </c>
      <c r="G15" s="3" t="s">
        <v>158</v>
      </c>
      <c r="H15" s="4" t="s">
        <v>62</v>
      </c>
      <c r="I15" s="10" t="s">
        <v>159</v>
      </c>
      <c r="J15" s="5" t="s">
        <v>64</v>
      </c>
      <c r="K15" s="10" t="s">
        <v>65</v>
      </c>
      <c r="L15" s="10" t="s">
        <v>104</v>
      </c>
      <c r="M15" s="10" t="s">
        <v>67</v>
      </c>
      <c r="N15" s="10" t="s">
        <v>68</v>
      </c>
      <c r="O15" s="10" t="s">
        <v>84</v>
      </c>
      <c r="P15" s="10" t="s">
        <v>70</v>
      </c>
      <c r="Q15" s="10" t="s">
        <v>71</v>
      </c>
      <c r="R15" s="10" t="s">
        <v>72</v>
      </c>
      <c r="S15" s="10">
        <v>1.0</v>
      </c>
      <c r="T15" s="10">
        <v>1.0</v>
      </c>
      <c r="U15" s="10">
        <v>1.0</v>
      </c>
      <c r="V15" s="10">
        <v>1.0</v>
      </c>
      <c r="W15" s="10">
        <v>0.0</v>
      </c>
      <c r="X15" s="10" t="s">
        <v>73</v>
      </c>
      <c r="Y15" s="10" t="s">
        <v>73</v>
      </c>
      <c r="Z15" s="10">
        <v>2022.0</v>
      </c>
      <c r="AA15" s="10" t="s">
        <v>160</v>
      </c>
      <c r="AB15" s="5" t="s">
        <v>100</v>
      </c>
      <c r="AC15" s="10" t="s">
        <v>75</v>
      </c>
      <c r="AD15" s="5" t="s">
        <v>76</v>
      </c>
      <c r="AE15" s="10" t="s">
        <v>138</v>
      </c>
    </row>
    <row r="16">
      <c r="A16" s="3" t="s">
        <v>161</v>
      </c>
      <c r="B16" s="3">
        <v>12.0</v>
      </c>
      <c r="C16" s="3" t="s">
        <v>162</v>
      </c>
      <c r="D16" s="3" t="s">
        <v>156</v>
      </c>
      <c r="E16" s="3" t="s">
        <v>111</v>
      </c>
      <c r="F16" s="3" t="s">
        <v>60</v>
      </c>
      <c r="G16" s="3" t="s">
        <v>163</v>
      </c>
      <c r="H16" s="4" t="s">
        <v>62</v>
      </c>
      <c r="I16" s="10" t="s">
        <v>164</v>
      </c>
      <c r="J16" s="5" t="s">
        <v>64</v>
      </c>
      <c r="K16" s="10" t="s">
        <v>65</v>
      </c>
      <c r="L16" s="10" t="s">
        <v>66</v>
      </c>
      <c r="M16" s="10" t="s">
        <v>67</v>
      </c>
      <c r="N16" s="10" t="s">
        <v>68</v>
      </c>
      <c r="O16" s="10" t="s">
        <v>114</v>
      </c>
      <c r="P16" s="10" t="s">
        <v>70</v>
      </c>
      <c r="Q16" s="10" t="s">
        <v>165</v>
      </c>
      <c r="R16" s="10" t="s">
        <v>72</v>
      </c>
      <c r="S16" s="10">
        <v>1.0</v>
      </c>
      <c r="T16" s="10">
        <v>9.0</v>
      </c>
      <c r="U16" s="10">
        <v>0.0</v>
      </c>
      <c r="V16" s="10">
        <v>0.0</v>
      </c>
      <c r="W16" s="10">
        <v>0.0</v>
      </c>
      <c r="X16" s="10" t="s">
        <v>73</v>
      </c>
      <c r="Y16" s="10" t="s">
        <v>73</v>
      </c>
      <c r="Z16" s="10">
        <v>2025.0</v>
      </c>
      <c r="AA16" s="10" t="s">
        <v>73</v>
      </c>
      <c r="AB16" s="5" t="s">
        <v>100</v>
      </c>
      <c r="AC16" s="5" t="s">
        <v>117</v>
      </c>
      <c r="AD16" s="10" t="s">
        <v>166</v>
      </c>
      <c r="AE16" s="10" t="s">
        <v>167</v>
      </c>
    </row>
    <row r="17">
      <c r="A17" s="3" t="s">
        <v>168</v>
      </c>
      <c r="B17" s="3">
        <v>14.0</v>
      </c>
      <c r="C17" s="3" t="s">
        <v>169</v>
      </c>
      <c r="D17" s="3" t="s">
        <v>170</v>
      </c>
      <c r="E17" s="3" t="s">
        <v>111</v>
      </c>
      <c r="F17" s="3" t="s">
        <v>60</v>
      </c>
      <c r="G17" s="3" t="s">
        <v>171</v>
      </c>
      <c r="H17" s="4" t="s">
        <v>62</v>
      </c>
      <c r="I17" s="10" t="s">
        <v>172</v>
      </c>
      <c r="J17" s="5" t="s">
        <v>64</v>
      </c>
      <c r="K17" s="10" t="s">
        <v>65</v>
      </c>
      <c r="L17" s="10" t="s">
        <v>83</v>
      </c>
      <c r="M17" s="10" t="s">
        <v>67</v>
      </c>
      <c r="N17" s="10" t="s">
        <v>68</v>
      </c>
      <c r="O17" s="10" t="s">
        <v>84</v>
      </c>
      <c r="P17" s="10" t="s">
        <v>70</v>
      </c>
      <c r="Q17" s="10" t="s">
        <v>71</v>
      </c>
      <c r="R17" s="10" t="s">
        <v>72</v>
      </c>
      <c r="S17" s="10">
        <v>1.0</v>
      </c>
      <c r="T17" s="10">
        <v>1.0</v>
      </c>
      <c r="U17" s="10">
        <v>0.0</v>
      </c>
      <c r="V17" s="10">
        <v>1.0</v>
      </c>
      <c r="W17" s="10">
        <v>0.0</v>
      </c>
      <c r="X17" s="10" t="s">
        <v>73</v>
      </c>
      <c r="Y17" s="10" t="s">
        <v>73</v>
      </c>
      <c r="Z17" s="10">
        <v>2025.0</v>
      </c>
      <c r="AA17" s="15" t="s">
        <v>173</v>
      </c>
      <c r="AB17" s="5" t="str">
        <f>IFERROR(IF(VLOOKUP(D17,Revistas!$A$21:$C$400,3,FALSE)=0,"",VLOOKUP(D17,Revistas!$A$21:$C$400,3,FALSE)),"")</f>
        <v>alto</v>
      </c>
      <c r="AC17" s="10" t="s">
        <v>174</v>
      </c>
      <c r="AD17" s="10" t="s">
        <v>175</v>
      </c>
      <c r="AE17" s="10" t="s">
        <v>138</v>
      </c>
    </row>
    <row r="18">
      <c r="A18" s="3" t="s">
        <v>176</v>
      </c>
      <c r="B18" s="3">
        <v>15.0</v>
      </c>
      <c r="C18" s="3" t="s">
        <v>177</v>
      </c>
      <c r="D18" s="3" t="s">
        <v>178</v>
      </c>
      <c r="E18" s="3" t="s">
        <v>142</v>
      </c>
      <c r="F18" s="3" t="s">
        <v>60</v>
      </c>
      <c r="G18" s="3" t="s">
        <v>179</v>
      </c>
      <c r="H18" s="4" t="s">
        <v>62</v>
      </c>
      <c r="I18" s="10" t="s">
        <v>180</v>
      </c>
      <c r="J18" s="5" t="s">
        <v>64</v>
      </c>
      <c r="K18" s="10" t="s">
        <v>65</v>
      </c>
      <c r="L18" s="10" t="s">
        <v>83</v>
      </c>
      <c r="M18" s="10" t="s">
        <v>67</v>
      </c>
      <c r="N18" s="10" t="s">
        <v>68</v>
      </c>
      <c r="O18" s="10" t="s">
        <v>84</v>
      </c>
      <c r="P18" s="10" t="s">
        <v>70</v>
      </c>
      <c r="Q18" s="10" t="s">
        <v>71</v>
      </c>
      <c r="R18" s="10" t="s">
        <v>72</v>
      </c>
      <c r="S18" s="10">
        <v>1.0</v>
      </c>
      <c r="T18" s="10">
        <v>1.0</v>
      </c>
      <c r="U18" s="10">
        <v>0.0</v>
      </c>
      <c r="V18" s="10">
        <v>0.0</v>
      </c>
      <c r="W18" s="10">
        <v>0.0</v>
      </c>
      <c r="X18" s="10" t="s">
        <v>73</v>
      </c>
      <c r="Y18" s="10" t="s">
        <v>73</v>
      </c>
      <c r="Z18" s="10">
        <v>2025.0</v>
      </c>
      <c r="AA18" s="16" t="s">
        <v>181</v>
      </c>
      <c r="AB18" s="5" t="str">
        <f>IFERROR(IF(VLOOKUP(D18,Revistas!$A$21:$C$400,3,FALSE)=0,"",VLOOKUP(D18,Revistas!$A$21:$C$400,3,FALSE)),"")</f>
        <v>alto</v>
      </c>
      <c r="AC18" s="5" t="s">
        <v>117</v>
      </c>
      <c r="AD18" s="5" t="s">
        <v>76</v>
      </c>
      <c r="AE18" s="5"/>
    </row>
    <row r="19" ht="15.75" customHeight="1">
      <c r="A19" s="3" t="s">
        <v>182</v>
      </c>
      <c r="B19" s="3">
        <v>22.0</v>
      </c>
      <c r="C19" s="3" t="s">
        <v>183</v>
      </c>
      <c r="D19" s="3" t="s">
        <v>184</v>
      </c>
      <c r="E19" s="3" t="s">
        <v>111</v>
      </c>
      <c r="F19" s="3" t="s">
        <v>60</v>
      </c>
      <c r="G19" s="3" t="s">
        <v>185</v>
      </c>
      <c r="H19" s="4" t="s">
        <v>62</v>
      </c>
      <c r="I19" s="10" t="s">
        <v>186</v>
      </c>
      <c r="J19" s="5" t="s">
        <v>64</v>
      </c>
      <c r="K19" s="10" t="s">
        <v>65</v>
      </c>
      <c r="L19" s="10" t="s">
        <v>102</v>
      </c>
      <c r="M19" s="10" t="s">
        <v>67</v>
      </c>
      <c r="N19" s="10" t="s">
        <v>68</v>
      </c>
      <c r="O19" s="10" t="s">
        <v>187</v>
      </c>
      <c r="P19" s="10" t="s">
        <v>70</v>
      </c>
      <c r="Q19" s="10" t="s">
        <v>71</v>
      </c>
      <c r="R19" s="10" t="s">
        <v>72</v>
      </c>
      <c r="S19" s="10">
        <v>1.0</v>
      </c>
      <c r="T19" s="10">
        <v>1.0</v>
      </c>
      <c r="U19" s="10">
        <v>1.0</v>
      </c>
      <c r="V19" s="10">
        <v>1.0</v>
      </c>
      <c r="W19" s="10">
        <v>0.0</v>
      </c>
      <c r="X19" s="10" t="s">
        <v>73</v>
      </c>
      <c r="Y19" s="10" t="s">
        <v>188</v>
      </c>
      <c r="Z19" s="10">
        <v>2025.0</v>
      </c>
      <c r="AA19" s="17" t="s">
        <v>189</v>
      </c>
      <c r="AB19" s="5" t="str">
        <f>IFERROR(IF(VLOOKUP(D19,Revistas!$A$21:$C$400,3,FALSE)=0,"",VLOOKUP(D19,Revistas!$A$21:$C$400,3,FALSE)),"")</f>
        <v>medio</v>
      </c>
      <c r="AC19" s="10" t="s">
        <v>174</v>
      </c>
      <c r="AD19" s="5" t="s">
        <v>76</v>
      </c>
      <c r="AE19" s="10" t="s">
        <v>73</v>
      </c>
    </row>
    <row r="20" ht="15.75" customHeight="1">
      <c r="A20" s="3" t="s">
        <v>190</v>
      </c>
      <c r="B20" s="3">
        <v>23.0</v>
      </c>
      <c r="C20" s="3" t="s">
        <v>191</v>
      </c>
      <c r="D20" s="3" t="s">
        <v>192</v>
      </c>
      <c r="E20" s="3" t="s">
        <v>157</v>
      </c>
      <c r="F20" s="3" t="s">
        <v>60</v>
      </c>
      <c r="G20" s="3" t="s">
        <v>193</v>
      </c>
      <c r="H20" s="4" t="s">
        <v>62</v>
      </c>
      <c r="I20" s="10" t="s">
        <v>194</v>
      </c>
      <c r="J20" s="5" t="s">
        <v>64</v>
      </c>
      <c r="K20" s="10" t="s">
        <v>65</v>
      </c>
      <c r="L20" s="10" t="s">
        <v>102</v>
      </c>
      <c r="M20" s="10" t="s">
        <v>67</v>
      </c>
      <c r="N20" s="10" t="s">
        <v>68</v>
      </c>
      <c r="O20" s="10" t="s">
        <v>114</v>
      </c>
      <c r="P20" s="10" t="s">
        <v>70</v>
      </c>
      <c r="Q20" s="10" t="s">
        <v>71</v>
      </c>
      <c r="R20" s="10" t="s">
        <v>72</v>
      </c>
      <c r="S20" s="10">
        <v>1.0</v>
      </c>
      <c r="T20" s="10">
        <v>1.0</v>
      </c>
      <c r="U20" s="10">
        <v>0.0</v>
      </c>
      <c r="V20" s="10">
        <v>1.0</v>
      </c>
      <c r="W20" s="10">
        <v>0.0</v>
      </c>
      <c r="X20" s="10" t="s">
        <v>138</v>
      </c>
      <c r="Y20" s="10" t="s">
        <v>138</v>
      </c>
      <c r="Z20" s="10">
        <v>2022.0</v>
      </c>
      <c r="AA20" s="10" t="s">
        <v>195</v>
      </c>
      <c r="AB20" s="5" t="str">
        <f>IFERROR(IF(VLOOKUP(D20,Revistas!$A$21:$C$400,3,FALSE)=0,"",VLOOKUP(D20,Revistas!$A$21:$C$400,3,FALSE)),"")</f>
        <v>medio</v>
      </c>
      <c r="AC20" s="10" t="s">
        <v>174</v>
      </c>
      <c r="AD20" s="10" t="s">
        <v>196</v>
      </c>
      <c r="AE20" s="10" t="s">
        <v>138</v>
      </c>
    </row>
    <row r="21" ht="15.75" customHeight="1">
      <c r="A21" s="3" t="s">
        <v>197</v>
      </c>
      <c r="B21" s="3">
        <v>24.0</v>
      </c>
      <c r="C21" s="3" t="s">
        <v>198</v>
      </c>
      <c r="D21" s="3" t="s">
        <v>199</v>
      </c>
      <c r="E21" s="3" t="s">
        <v>157</v>
      </c>
      <c r="F21" s="3" t="s">
        <v>60</v>
      </c>
      <c r="G21" s="3" t="s">
        <v>200</v>
      </c>
      <c r="H21" s="4" t="s">
        <v>62</v>
      </c>
      <c r="I21" s="10" t="s">
        <v>201</v>
      </c>
      <c r="J21" s="5" t="s">
        <v>64</v>
      </c>
      <c r="K21" s="10" t="s">
        <v>65</v>
      </c>
      <c r="L21" s="10" t="s">
        <v>66</v>
      </c>
      <c r="M21" s="10" t="s">
        <v>67</v>
      </c>
      <c r="N21" s="10" t="s">
        <v>202</v>
      </c>
      <c r="O21" s="10" t="s">
        <v>84</v>
      </c>
      <c r="P21" s="10" t="s">
        <v>70</v>
      </c>
      <c r="Q21" s="10" t="s">
        <v>71</v>
      </c>
      <c r="R21" s="10" t="s">
        <v>72</v>
      </c>
      <c r="S21" s="10">
        <v>1.0</v>
      </c>
      <c r="T21" s="10">
        <v>1.0</v>
      </c>
      <c r="U21" s="10">
        <v>0.0</v>
      </c>
      <c r="V21" s="10">
        <v>1.0</v>
      </c>
      <c r="W21" s="10">
        <v>0.0</v>
      </c>
      <c r="X21" s="10" t="s">
        <v>138</v>
      </c>
      <c r="Y21" s="10" t="s">
        <v>138</v>
      </c>
      <c r="Z21" s="10">
        <v>2022.0</v>
      </c>
      <c r="AA21" s="18" t="s">
        <v>203</v>
      </c>
      <c r="AB21" s="5" t="str">
        <f>IFERROR(IF(VLOOKUP(D21,Revistas!$A$21:$C$400,3,FALSE)=0,"",VLOOKUP(D21,Revistas!$A$21:$C$400,3,FALSE)),"")</f>
        <v/>
      </c>
      <c r="AC21" s="10" t="s">
        <v>204</v>
      </c>
      <c r="AD21" s="10" t="s">
        <v>205</v>
      </c>
      <c r="AE21" s="10" t="s">
        <v>206</v>
      </c>
    </row>
    <row r="22" ht="15.75" customHeight="1">
      <c r="A22" s="3" t="s">
        <v>207</v>
      </c>
      <c r="B22" s="3">
        <v>25.0</v>
      </c>
      <c r="C22" s="3" t="s">
        <v>208</v>
      </c>
      <c r="D22" s="3" t="s">
        <v>58</v>
      </c>
      <c r="E22" s="3" t="s">
        <v>157</v>
      </c>
      <c r="F22" s="3" t="s">
        <v>60</v>
      </c>
      <c r="G22" s="3" t="s">
        <v>209</v>
      </c>
      <c r="H22" s="4" t="s">
        <v>62</v>
      </c>
      <c r="I22" s="10" t="s">
        <v>210</v>
      </c>
      <c r="J22" s="5" t="s">
        <v>64</v>
      </c>
      <c r="K22" s="10" t="s">
        <v>65</v>
      </c>
      <c r="L22" s="10" t="s">
        <v>83</v>
      </c>
      <c r="M22" s="10" t="s">
        <v>67</v>
      </c>
      <c r="N22" s="10" t="s">
        <v>68</v>
      </c>
      <c r="O22" s="10" t="s">
        <v>84</v>
      </c>
      <c r="P22" s="10" t="s">
        <v>70</v>
      </c>
      <c r="Q22" s="10" t="s">
        <v>71</v>
      </c>
      <c r="R22" s="10" t="s">
        <v>72</v>
      </c>
      <c r="S22" s="10">
        <v>1.0</v>
      </c>
      <c r="T22" s="10">
        <v>1.0</v>
      </c>
      <c r="U22" s="10">
        <v>0.0</v>
      </c>
      <c r="V22" s="10">
        <v>1.0</v>
      </c>
      <c r="W22" s="10">
        <v>0.0</v>
      </c>
      <c r="X22" s="10" t="s">
        <v>138</v>
      </c>
      <c r="Y22" s="10" t="s">
        <v>138</v>
      </c>
      <c r="Z22" s="10">
        <v>2022.0</v>
      </c>
      <c r="AA22" s="10" t="s">
        <v>211</v>
      </c>
      <c r="AB22" s="5" t="str">
        <f>IFERROR(IF(VLOOKUP(D22,Revistas!$A$21:$C$400,3,FALSE)=0,"",VLOOKUP(D22,Revistas!$A$21:$C$400,3,FALSE)),"")</f>
        <v>medio</v>
      </c>
      <c r="AC22" s="10" t="s">
        <v>75</v>
      </c>
      <c r="AD22" s="10" t="s">
        <v>212</v>
      </c>
      <c r="AE22" s="10" t="s">
        <v>138</v>
      </c>
    </row>
    <row r="23" ht="15.75" customHeight="1">
      <c r="A23" s="3" t="s">
        <v>213</v>
      </c>
      <c r="B23" s="3">
        <v>29.0</v>
      </c>
      <c r="C23" s="3" t="s">
        <v>214</v>
      </c>
      <c r="D23" s="3" t="s">
        <v>215</v>
      </c>
      <c r="E23" s="3" t="s">
        <v>111</v>
      </c>
      <c r="F23" s="3" t="s">
        <v>60</v>
      </c>
      <c r="G23" s="3" t="s">
        <v>216</v>
      </c>
      <c r="H23" s="4" t="s">
        <v>62</v>
      </c>
      <c r="I23" s="10" t="s">
        <v>217</v>
      </c>
      <c r="J23" s="5" t="s">
        <v>64</v>
      </c>
      <c r="K23" s="10" t="s">
        <v>65</v>
      </c>
      <c r="L23" s="5"/>
      <c r="M23" s="5"/>
      <c r="N23" s="5"/>
      <c r="O23" s="5"/>
      <c r="P23" s="5"/>
      <c r="Q23" s="5"/>
      <c r="R23" s="5"/>
      <c r="S23" s="5"/>
      <c r="T23" s="5"/>
      <c r="U23" s="5"/>
      <c r="V23" s="5"/>
      <c r="W23" s="5"/>
      <c r="X23" s="5"/>
      <c r="Y23" s="10" t="s">
        <v>138</v>
      </c>
      <c r="Z23" s="5"/>
      <c r="AA23" s="5"/>
      <c r="AB23" s="5" t="str">
        <f>IFERROR(IF(VLOOKUP(D23,Revistas!$A$21:$C$400,3,FALSE)=0,"",VLOOKUP(D23,Revistas!$A$21:$C$400,3,FALSE)),"")</f>
        <v/>
      </c>
      <c r="AC23" s="5"/>
      <c r="AD23" s="5"/>
      <c r="AE23" s="10" t="s">
        <v>206</v>
      </c>
    </row>
    <row r="24" ht="15.75" customHeight="1">
      <c r="A24" s="3" t="s">
        <v>218</v>
      </c>
      <c r="B24" s="3">
        <v>30.0</v>
      </c>
      <c r="C24" s="3" t="s">
        <v>219</v>
      </c>
      <c r="D24" s="3" t="s">
        <v>220</v>
      </c>
      <c r="E24" s="3" t="s">
        <v>142</v>
      </c>
      <c r="F24" s="3" t="s">
        <v>60</v>
      </c>
      <c r="G24" s="3" t="s">
        <v>221</v>
      </c>
      <c r="H24" s="4" t="s">
        <v>62</v>
      </c>
      <c r="I24" s="5"/>
      <c r="J24" s="5" t="s">
        <v>64</v>
      </c>
      <c r="K24" s="5"/>
      <c r="L24" s="5"/>
      <c r="M24" s="5"/>
      <c r="N24" s="5"/>
      <c r="O24" s="5"/>
      <c r="P24" s="5"/>
      <c r="Q24" s="5"/>
      <c r="R24" s="5"/>
      <c r="S24" s="5"/>
      <c r="T24" s="5"/>
      <c r="U24" s="5"/>
      <c r="V24" s="5"/>
      <c r="W24" s="5"/>
      <c r="X24" s="5"/>
      <c r="Y24" s="5"/>
      <c r="Z24" s="5"/>
      <c r="AA24" s="5"/>
      <c r="AB24" s="5" t="str">
        <f>IFERROR(IF(VLOOKUP(D24,Revistas!$A$21:$C$400,3,FALSE)=0,"",VLOOKUP(D24,Revistas!$A$21:$C$400,3,FALSE)),"")</f>
        <v/>
      </c>
      <c r="AC24" s="5"/>
      <c r="AD24" s="5"/>
      <c r="AE24" s="5"/>
    </row>
    <row r="25" ht="15.75" customHeight="1">
      <c r="A25" s="3" t="s">
        <v>222</v>
      </c>
      <c r="B25" s="3">
        <v>35.0</v>
      </c>
      <c r="C25" s="3" t="s">
        <v>223</v>
      </c>
      <c r="D25" s="3" t="s">
        <v>90</v>
      </c>
      <c r="E25" s="3" t="s">
        <v>132</v>
      </c>
      <c r="F25" s="3" t="s">
        <v>60</v>
      </c>
      <c r="G25" s="3" t="s">
        <v>224</v>
      </c>
      <c r="H25" s="4" t="s">
        <v>62</v>
      </c>
      <c r="I25" s="5"/>
      <c r="J25" s="5" t="s">
        <v>64</v>
      </c>
      <c r="K25" s="5"/>
      <c r="L25" s="5"/>
      <c r="M25" s="5"/>
      <c r="N25" s="5"/>
      <c r="O25" s="5"/>
      <c r="P25" s="5"/>
      <c r="Q25" s="5"/>
      <c r="R25" s="5"/>
      <c r="S25" s="5"/>
      <c r="T25" s="5"/>
      <c r="U25" s="5"/>
      <c r="V25" s="5"/>
      <c r="W25" s="5"/>
      <c r="X25" s="5"/>
      <c r="Y25" s="5"/>
      <c r="Z25" s="5"/>
      <c r="AA25" s="5"/>
      <c r="AB25" s="5" t="str">
        <f>IFERROR(IF(VLOOKUP(D25,Revistas!$A$21:$C$400,3,FALSE)=0,"",VLOOKUP(D25,Revistas!$A$21:$C$400,3,FALSE)),"")</f>
        <v>alto</v>
      </c>
      <c r="AC25" s="5"/>
      <c r="AD25" s="5"/>
      <c r="AE25" s="5"/>
    </row>
    <row r="26" ht="15.75" customHeight="1">
      <c r="A26" s="3" t="s">
        <v>225</v>
      </c>
      <c r="B26" s="3">
        <v>36.0</v>
      </c>
      <c r="C26" s="3" t="s">
        <v>226</v>
      </c>
      <c r="D26" s="3" t="s">
        <v>156</v>
      </c>
      <c r="E26" s="3" t="s">
        <v>111</v>
      </c>
      <c r="F26" s="3" t="s">
        <v>60</v>
      </c>
      <c r="G26" s="3" t="s">
        <v>227</v>
      </c>
      <c r="H26" s="4" t="s">
        <v>62</v>
      </c>
      <c r="I26" s="5"/>
      <c r="J26" s="5" t="s">
        <v>64</v>
      </c>
      <c r="K26" s="5"/>
      <c r="L26" s="5"/>
      <c r="M26" s="5"/>
      <c r="N26" s="5"/>
      <c r="O26" s="5"/>
      <c r="P26" s="5"/>
      <c r="Q26" s="5"/>
      <c r="R26" s="5"/>
      <c r="S26" s="5"/>
      <c r="T26" s="5"/>
      <c r="U26" s="5"/>
      <c r="V26" s="5"/>
      <c r="W26" s="5"/>
      <c r="X26" s="5"/>
      <c r="Y26" s="5"/>
      <c r="Z26" s="5"/>
      <c r="AA26" s="5"/>
      <c r="AB26" s="5" t="str">
        <f>IFERROR(IF(VLOOKUP(D26,Revistas!$A$21:$C$400,3,FALSE)=0,"",VLOOKUP(D26,Revistas!$A$21:$C$400,3,FALSE)),"")</f>
        <v/>
      </c>
      <c r="AC26" s="5"/>
      <c r="AD26" s="5"/>
      <c r="AE26" s="5"/>
    </row>
    <row r="27" ht="15.75" customHeight="1">
      <c r="A27" s="3" t="s">
        <v>228</v>
      </c>
      <c r="B27" s="3">
        <v>47.0</v>
      </c>
      <c r="C27" s="3" t="s">
        <v>229</v>
      </c>
      <c r="D27" s="3" t="s">
        <v>230</v>
      </c>
      <c r="E27" s="3" t="s">
        <v>80</v>
      </c>
      <c r="F27" s="3" t="s">
        <v>60</v>
      </c>
      <c r="G27" s="3" t="s">
        <v>231</v>
      </c>
      <c r="H27" s="4" t="s">
        <v>62</v>
      </c>
      <c r="I27" s="5"/>
      <c r="J27" s="5" t="s">
        <v>64</v>
      </c>
      <c r="K27" s="5"/>
      <c r="L27" s="5"/>
      <c r="M27" s="5"/>
      <c r="N27" s="5"/>
      <c r="O27" s="5"/>
      <c r="P27" s="5"/>
      <c r="Q27" s="5"/>
      <c r="R27" s="5"/>
      <c r="S27" s="5"/>
      <c r="T27" s="5"/>
      <c r="U27" s="5"/>
      <c r="V27" s="5"/>
      <c r="W27" s="5"/>
      <c r="X27" s="5"/>
      <c r="Y27" s="5"/>
      <c r="Z27" s="5"/>
      <c r="AA27" s="5"/>
      <c r="AB27" s="5" t="str">
        <f>IFERROR(IF(VLOOKUP(D27,Revistas!$A$21:$C$400,3,FALSE)=0,"",VLOOKUP(D27,Revistas!$A$21:$C$400,3,FALSE)),"")</f>
        <v>medio</v>
      </c>
      <c r="AC27" s="5"/>
      <c r="AD27" s="5"/>
      <c r="AE27" s="5"/>
    </row>
    <row r="28" ht="15.75" customHeight="1">
      <c r="A28" s="3" t="s">
        <v>232</v>
      </c>
      <c r="B28" s="3">
        <v>54.0</v>
      </c>
      <c r="C28" s="3" t="s">
        <v>233</v>
      </c>
      <c r="D28" s="3" t="s">
        <v>234</v>
      </c>
      <c r="E28" s="3" t="s">
        <v>123</v>
      </c>
      <c r="F28" s="3" t="s">
        <v>60</v>
      </c>
      <c r="G28" s="3" t="s">
        <v>235</v>
      </c>
      <c r="H28" s="4" t="s">
        <v>62</v>
      </c>
      <c r="I28" s="5"/>
      <c r="J28" s="5" t="s">
        <v>64</v>
      </c>
      <c r="K28" s="5"/>
      <c r="L28" s="5"/>
      <c r="M28" s="5"/>
      <c r="N28" s="5"/>
      <c r="O28" s="5"/>
      <c r="P28" s="5"/>
      <c r="Q28" s="5"/>
      <c r="R28" s="5"/>
      <c r="S28" s="5"/>
      <c r="T28" s="5"/>
      <c r="U28" s="5"/>
      <c r="V28" s="5"/>
      <c r="W28" s="5"/>
      <c r="X28" s="5"/>
      <c r="Y28" s="5"/>
      <c r="Z28" s="5"/>
      <c r="AA28" s="5"/>
      <c r="AB28" s="5" t="str">
        <f>IFERROR(IF(VLOOKUP(D28,Revistas!$A$21:$C$400,3,FALSE)=0,"",VLOOKUP(D28,Revistas!$A$21:$C$400,3,FALSE)),"")</f>
        <v>alto</v>
      </c>
      <c r="AC28" s="5"/>
      <c r="AD28" s="5"/>
      <c r="AE28" s="5"/>
    </row>
    <row r="29" ht="15.75" customHeight="1">
      <c r="A29" s="3" t="s">
        <v>236</v>
      </c>
      <c r="B29" s="3">
        <v>60.0</v>
      </c>
      <c r="C29" s="3" t="s">
        <v>237</v>
      </c>
      <c r="D29" s="3" t="s">
        <v>178</v>
      </c>
      <c r="E29" s="3" t="s">
        <v>80</v>
      </c>
      <c r="F29" s="3" t="s">
        <v>60</v>
      </c>
      <c r="G29" s="3" t="s">
        <v>238</v>
      </c>
      <c r="H29" s="4" t="s">
        <v>62</v>
      </c>
      <c r="I29" s="5"/>
      <c r="J29" s="5" t="s">
        <v>64</v>
      </c>
      <c r="K29" s="5"/>
      <c r="L29" s="5"/>
      <c r="M29" s="5"/>
      <c r="N29" s="5"/>
      <c r="O29" s="5"/>
      <c r="P29" s="5"/>
      <c r="Q29" s="5"/>
      <c r="R29" s="5"/>
      <c r="S29" s="5"/>
      <c r="T29" s="5"/>
      <c r="U29" s="5"/>
      <c r="V29" s="5"/>
      <c r="W29" s="5"/>
      <c r="X29" s="5"/>
      <c r="Y29" s="5"/>
      <c r="Z29" s="5"/>
      <c r="AA29" s="5"/>
      <c r="AB29" s="5" t="str">
        <f>IFERROR(IF(VLOOKUP(D29,Revistas!$A$21:$C$400,3,FALSE)=0,"",VLOOKUP(D29,Revistas!$A$21:$C$400,3,FALSE)),"")</f>
        <v>alto</v>
      </c>
      <c r="AC29" s="5"/>
      <c r="AD29" s="5"/>
      <c r="AE29" s="5"/>
    </row>
    <row r="30" ht="15.75" customHeight="1">
      <c r="A30" s="3" t="s">
        <v>239</v>
      </c>
      <c r="B30" s="3">
        <v>64.0</v>
      </c>
      <c r="C30" s="3" t="s">
        <v>240</v>
      </c>
      <c r="D30" s="3" t="s">
        <v>241</v>
      </c>
      <c r="E30" s="3" t="s">
        <v>111</v>
      </c>
      <c r="F30" s="3" t="s">
        <v>60</v>
      </c>
      <c r="G30" s="3" t="s">
        <v>242</v>
      </c>
      <c r="H30" s="4" t="s">
        <v>62</v>
      </c>
      <c r="I30" s="5"/>
      <c r="J30" s="5" t="s">
        <v>64</v>
      </c>
      <c r="K30" s="5"/>
      <c r="L30" s="5"/>
      <c r="M30" s="5"/>
      <c r="N30" s="5"/>
      <c r="O30" s="5"/>
      <c r="P30" s="5"/>
      <c r="Q30" s="5"/>
      <c r="R30" s="5"/>
      <c r="S30" s="5"/>
      <c r="T30" s="5"/>
      <c r="U30" s="5"/>
      <c r="V30" s="5"/>
      <c r="W30" s="5"/>
      <c r="X30" s="5"/>
      <c r="Y30" s="5"/>
      <c r="Z30" s="5"/>
      <c r="AA30" s="5"/>
      <c r="AB30" s="5" t="str">
        <f>IFERROR(IF(VLOOKUP(D30,Revistas!$A$21:$C$400,3,FALSE)=0,"",VLOOKUP(D30,Revistas!$A$21:$C$400,3,FALSE)),"")</f>
        <v/>
      </c>
      <c r="AC30" s="5"/>
      <c r="AD30" s="5"/>
      <c r="AE30" s="5"/>
    </row>
    <row r="31" ht="15.75" customHeight="1">
      <c r="A31" s="3" t="s">
        <v>243</v>
      </c>
      <c r="B31" s="3">
        <v>66.0</v>
      </c>
      <c r="C31" s="3" t="s">
        <v>244</v>
      </c>
      <c r="D31" s="3" t="s">
        <v>90</v>
      </c>
      <c r="E31" s="3" t="s">
        <v>111</v>
      </c>
      <c r="F31" s="3" t="s">
        <v>60</v>
      </c>
      <c r="G31" s="3" t="s">
        <v>245</v>
      </c>
      <c r="H31" s="4" t="s">
        <v>62</v>
      </c>
      <c r="I31" s="5"/>
      <c r="J31" s="5" t="s">
        <v>64</v>
      </c>
      <c r="K31" s="5"/>
      <c r="L31" s="5"/>
      <c r="M31" s="5"/>
      <c r="N31" s="5"/>
      <c r="O31" s="5"/>
      <c r="P31" s="5"/>
      <c r="Q31" s="5"/>
      <c r="R31" s="5"/>
      <c r="S31" s="5"/>
      <c r="T31" s="5"/>
      <c r="U31" s="5"/>
      <c r="V31" s="5"/>
      <c r="W31" s="5"/>
      <c r="X31" s="5"/>
      <c r="Y31" s="5"/>
      <c r="Z31" s="5"/>
      <c r="AA31" s="5"/>
      <c r="AB31" s="5" t="str">
        <f>IFERROR(IF(VLOOKUP(D31,Revistas!$A$21:$C$400,3,FALSE)=0,"",VLOOKUP(D31,Revistas!$A$21:$C$400,3,FALSE)),"")</f>
        <v>alto</v>
      </c>
      <c r="AC31" s="5"/>
      <c r="AD31" s="5"/>
      <c r="AE31" s="5"/>
    </row>
    <row r="32" ht="15.75" customHeight="1">
      <c r="A32" s="3" t="s">
        <v>246</v>
      </c>
      <c r="B32" s="3">
        <v>67.0</v>
      </c>
      <c r="C32" s="3" t="s">
        <v>247</v>
      </c>
      <c r="D32" s="3" t="s">
        <v>248</v>
      </c>
      <c r="E32" s="3" t="s">
        <v>142</v>
      </c>
      <c r="F32" s="3" t="s">
        <v>60</v>
      </c>
      <c r="G32" s="3" t="s">
        <v>249</v>
      </c>
      <c r="H32" s="4" t="s">
        <v>62</v>
      </c>
      <c r="I32" s="5"/>
      <c r="J32" s="5" t="s">
        <v>64</v>
      </c>
      <c r="K32" s="5"/>
      <c r="L32" s="5"/>
      <c r="M32" s="5"/>
      <c r="N32" s="5"/>
      <c r="O32" s="5"/>
      <c r="P32" s="5"/>
      <c r="Q32" s="5"/>
      <c r="R32" s="5"/>
      <c r="S32" s="5"/>
      <c r="T32" s="5"/>
      <c r="U32" s="5"/>
      <c r="V32" s="5"/>
      <c r="W32" s="5"/>
      <c r="X32" s="5"/>
      <c r="Y32" s="5"/>
      <c r="Z32" s="5"/>
      <c r="AA32" s="5"/>
      <c r="AB32" s="5" t="str">
        <f>IFERROR(IF(VLOOKUP(D32,Revistas!$A$21:$C$400,3,FALSE)=0,"",VLOOKUP(D32,Revistas!$A$21:$C$400,3,FALSE)),"")</f>
        <v>medio</v>
      </c>
      <c r="AC32" s="5"/>
      <c r="AD32" s="5"/>
      <c r="AE32" s="5"/>
    </row>
    <row r="33" ht="15.75" customHeight="1">
      <c r="A33" s="3" t="s">
        <v>250</v>
      </c>
      <c r="B33" s="3">
        <v>68.0</v>
      </c>
      <c r="C33" s="3" t="s">
        <v>251</v>
      </c>
      <c r="D33" s="3" t="s">
        <v>252</v>
      </c>
      <c r="E33" s="3" t="s">
        <v>142</v>
      </c>
      <c r="F33" s="3" t="s">
        <v>60</v>
      </c>
      <c r="G33" s="3" t="s">
        <v>253</v>
      </c>
      <c r="H33" s="4" t="s">
        <v>62</v>
      </c>
      <c r="I33" s="5"/>
      <c r="J33" s="5" t="s">
        <v>64</v>
      </c>
      <c r="K33" s="5"/>
      <c r="L33" s="5"/>
      <c r="M33" s="5"/>
      <c r="N33" s="5"/>
      <c r="O33" s="5"/>
      <c r="P33" s="5"/>
      <c r="Q33" s="5"/>
      <c r="R33" s="5"/>
      <c r="S33" s="5"/>
      <c r="T33" s="5"/>
      <c r="U33" s="5"/>
      <c r="V33" s="5"/>
      <c r="W33" s="5"/>
      <c r="X33" s="5"/>
      <c r="Y33" s="5"/>
      <c r="Z33" s="5"/>
      <c r="AA33" s="5"/>
      <c r="AB33" s="5" t="str">
        <f>IFERROR(IF(VLOOKUP(D33,Revistas!$A$21:$C$400,3,FALSE)=0,"",VLOOKUP(D33,Revistas!$A$21:$C$400,3,FALSE)),"")</f>
        <v/>
      </c>
      <c r="AC33" s="5"/>
      <c r="AD33" s="5"/>
      <c r="AE33" s="5"/>
    </row>
    <row r="34" ht="15.75" customHeight="1">
      <c r="A34" s="3" t="s">
        <v>254</v>
      </c>
      <c r="B34" s="3">
        <v>72.0</v>
      </c>
      <c r="C34" s="3" t="s">
        <v>255</v>
      </c>
      <c r="D34" s="3" t="s">
        <v>256</v>
      </c>
      <c r="E34" s="3" t="s">
        <v>257</v>
      </c>
      <c r="F34" s="3" t="s">
        <v>60</v>
      </c>
      <c r="G34" s="3" t="s">
        <v>258</v>
      </c>
      <c r="H34" s="4" t="s">
        <v>62</v>
      </c>
      <c r="I34" s="5"/>
      <c r="J34" s="5" t="s">
        <v>64</v>
      </c>
      <c r="K34" s="5"/>
      <c r="L34" s="5"/>
      <c r="M34" s="5"/>
      <c r="N34" s="5"/>
      <c r="O34" s="5"/>
      <c r="P34" s="5"/>
      <c r="Q34" s="5"/>
      <c r="R34" s="5"/>
      <c r="S34" s="5"/>
      <c r="T34" s="5"/>
      <c r="U34" s="5"/>
      <c r="V34" s="5"/>
      <c r="W34" s="5"/>
      <c r="X34" s="5"/>
      <c r="Y34" s="5"/>
      <c r="Z34" s="5"/>
      <c r="AA34" s="5"/>
      <c r="AB34" s="5" t="str">
        <f>IFERROR(IF(VLOOKUP(D34,Revistas!$A$21:$C$400,3,FALSE)=0,"",VLOOKUP(D34,Revistas!$A$21:$C$400,3,FALSE)),"")</f>
        <v>medio</v>
      </c>
      <c r="AC34" s="5"/>
      <c r="AD34" s="5"/>
      <c r="AE34" s="5"/>
    </row>
    <row r="35" ht="15.75" customHeight="1">
      <c r="A35" s="3" t="s">
        <v>259</v>
      </c>
      <c r="B35" s="3">
        <v>74.0</v>
      </c>
      <c r="C35" s="3" t="s">
        <v>260</v>
      </c>
      <c r="D35" s="3" t="s">
        <v>261</v>
      </c>
      <c r="E35" s="3" t="s">
        <v>123</v>
      </c>
      <c r="F35" s="3" t="s">
        <v>60</v>
      </c>
      <c r="G35" s="3" t="s">
        <v>262</v>
      </c>
      <c r="H35" s="4" t="s">
        <v>62</v>
      </c>
      <c r="I35" s="5"/>
      <c r="J35" s="5" t="s">
        <v>64</v>
      </c>
      <c r="K35" s="5"/>
      <c r="L35" s="5"/>
      <c r="M35" s="5"/>
      <c r="N35" s="5"/>
      <c r="O35" s="5"/>
      <c r="P35" s="5"/>
      <c r="Q35" s="5"/>
      <c r="R35" s="5"/>
      <c r="S35" s="5"/>
      <c r="T35" s="5"/>
      <c r="U35" s="5"/>
      <c r="V35" s="5"/>
      <c r="W35" s="5"/>
      <c r="X35" s="5"/>
      <c r="Y35" s="5"/>
      <c r="Z35" s="5"/>
      <c r="AA35" s="5"/>
      <c r="AB35" s="5" t="str">
        <f>IFERROR(IF(VLOOKUP(D35,Revistas!$A$21:$C$400,3,FALSE)=0,"",VLOOKUP(D35,Revistas!$A$21:$C$400,3,FALSE)),"")</f>
        <v>alto</v>
      </c>
      <c r="AC35" s="5"/>
      <c r="AD35" s="5"/>
      <c r="AE35" s="5"/>
    </row>
    <row r="36" ht="15.75" customHeight="1">
      <c r="A36" s="3" t="s">
        <v>263</v>
      </c>
      <c r="B36" s="3">
        <v>75.0</v>
      </c>
      <c r="C36" s="3" t="s">
        <v>264</v>
      </c>
      <c r="D36" s="3" t="s">
        <v>265</v>
      </c>
      <c r="E36" s="3" t="s">
        <v>266</v>
      </c>
      <c r="F36" s="3" t="s">
        <v>60</v>
      </c>
      <c r="G36" s="3" t="s">
        <v>267</v>
      </c>
      <c r="H36" s="4" t="s">
        <v>62</v>
      </c>
      <c r="I36" s="5"/>
      <c r="J36" s="5" t="s">
        <v>64</v>
      </c>
      <c r="K36" s="5"/>
      <c r="L36" s="5"/>
      <c r="M36" s="5"/>
      <c r="N36" s="5"/>
      <c r="O36" s="5"/>
      <c r="P36" s="5"/>
      <c r="Q36" s="5"/>
      <c r="R36" s="5"/>
      <c r="S36" s="5"/>
      <c r="T36" s="5"/>
      <c r="U36" s="5"/>
      <c r="V36" s="5"/>
      <c r="W36" s="5"/>
      <c r="X36" s="5"/>
      <c r="Y36" s="5"/>
      <c r="Z36" s="5"/>
      <c r="AA36" s="5"/>
      <c r="AB36" s="5" t="str">
        <f>IFERROR(IF(VLOOKUP(D36,Revistas!$A$21:$C$400,3,FALSE)=0,"",VLOOKUP(D36,Revistas!$A$21:$C$400,3,FALSE)),"")</f>
        <v>medio</v>
      </c>
      <c r="AC36" s="5"/>
      <c r="AD36" s="5"/>
      <c r="AE36" s="5"/>
    </row>
    <row r="37" ht="15.75" customHeight="1">
      <c r="A37" s="3" t="s">
        <v>268</v>
      </c>
      <c r="B37" s="3">
        <v>80.0</v>
      </c>
      <c r="C37" s="3" t="s">
        <v>269</v>
      </c>
      <c r="D37" s="3" t="s">
        <v>270</v>
      </c>
      <c r="E37" s="3" t="s">
        <v>157</v>
      </c>
      <c r="F37" s="3" t="s">
        <v>60</v>
      </c>
      <c r="G37" s="3" t="s">
        <v>271</v>
      </c>
      <c r="H37" s="4" t="s">
        <v>62</v>
      </c>
      <c r="I37" s="5"/>
      <c r="J37" s="5" t="s">
        <v>64</v>
      </c>
      <c r="K37" s="5"/>
      <c r="L37" s="5"/>
      <c r="M37" s="5"/>
      <c r="N37" s="5"/>
      <c r="O37" s="5"/>
      <c r="P37" s="5"/>
      <c r="Q37" s="5"/>
      <c r="R37" s="5"/>
      <c r="S37" s="5"/>
      <c r="T37" s="5"/>
      <c r="U37" s="5"/>
      <c r="V37" s="5"/>
      <c r="W37" s="5"/>
      <c r="X37" s="5"/>
      <c r="Y37" s="5"/>
      <c r="Z37" s="5"/>
      <c r="AA37" s="5"/>
      <c r="AB37" s="5" t="str">
        <f>IFERROR(IF(VLOOKUP(D37,Revistas!$A$21:$C$400,3,FALSE)=0,"",VLOOKUP(D37,Revistas!$A$21:$C$400,3,FALSE)),"")</f>
        <v/>
      </c>
      <c r="AC37" s="5"/>
      <c r="AD37" s="5"/>
      <c r="AE37" s="5"/>
    </row>
    <row r="38" ht="15.75" customHeight="1">
      <c r="A38" s="3" t="s">
        <v>272</v>
      </c>
      <c r="B38" s="3">
        <v>88.0</v>
      </c>
      <c r="C38" s="3" t="s">
        <v>273</v>
      </c>
      <c r="D38" s="3" t="s">
        <v>274</v>
      </c>
      <c r="E38" s="3" t="s">
        <v>142</v>
      </c>
      <c r="F38" s="3" t="s">
        <v>60</v>
      </c>
      <c r="G38" s="3" t="s">
        <v>275</v>
      </c>
      <c r="H38" s="4" t="s">
        <v>62</v>
      </c>
      <c r="I38" s="5"/>
      <c r="J38" s="5" t="s">
        <v>64</v>
      </c>
      <c r="K38" s="5"/>
      <c r="L38" s="5"/>
      <c r="M38" s="5"/>
      <c r="N38" s="5"/>
      <c r="O38" s="5"/>
      <c r="P38" s="5"/>
      <c r="Q38" s="5"/>
      <c r="R38" s="5"/>
      <c r="S38" s="5"/>
      <c r="T38" s="5"/>
      <c r="U38" s="5"/>
      <c r="V38" s="5"/>
      <c r="W38" s="5"/>
      <c r="X38" s="5"/>
      <c r="Y38" s="5"/>
      <c r="Z38" s="5"/>
      <c r="AA38" s="5"/>
      <c r="AB38" s="5" t="str">
        <f>IFERROR(IF(VLOOKUP(D38,Revistas!$A$21:$C$400,3,FALSE)=0,"",VLOOKUP(D38,Revistas!$A$21:$C$400,3,FALSE)),"")</f>
        <v/>
      </c>
      <c r="AC38" s="5"/>
      <c r="AD38" s="5"/>
      <c r="AE38" s="5"/>
    </row>
    <row r="39" ht="15.75" customHeight="1">
      <c r="A39" s="3" t="s">
        <v>276</v>
      </c>
      <c r="B39" s="3">
        <v>95.0</v>
      </c>
      <c r="C39" s="3" t="s">
        <v>277</v>
      </c>
      <c r="D39" s="3" t="s">
        <v>131</v>
      </c>
      <c r="E39" s="3" t="s">
        <v>59</v>
      </c>
      <c r="F39" s="3" t="s">
        <v>60</v>
      </c>
      <c r="G39" s="3" t="s">
        <v>278</v>
      </c>
      <c r="H39" s="4" t="s">
        <v>62</v>
      </c>
      <c r="I39" s="5"/>
      <c r="J39" s="5" t="s">
        <v>64</v>
      </c>
      <c r="K39" s="5"/>
      <c r="L39" s="5"/>
      <c r="M39" s="5"/>
      <c r="N39" s="5"/>
      <c r="O39" s="5"/>
      <c r="P39" s="5"/>
      <c r="Q39" s="5"/>
      <c r="R39" s="5"/>
      <c r="S39" s="5"/>
      <c r="T39" s="5"/>
      <c r="U39" s="5"/>
      <c r="V39" s="5"/>
      <c r="W39" s="5"/>
      <c r="X39" s="5"/>
      <c r="Y39" s="5"/>
      <c r="Z39" s="5"/>
      <c r="AA39" s="5"/>
      <c r="AB39" s="5" t="str">
        <f>IFERROR(IF(VLOOKUP(D39,Revistas!$A$21:$C$400,3,FALSE)=0,"",VLOOKUP(D39,Revistas!$A$21:$C$400,3,FALSE)),"")</f>
        <v>medio</v>
      </c>
      <c r="AC39" s="5"/>
      <c r="AD39" s="5"/>
      <c r="AE39" s="5"/>
    </row>
    <row r="40" ht="15.75" customHeight="1">
      <c r="A40" s="3" t="s">
        <v>279</v>
      </c>
      <c r="B40" s="3">
        <v>97.0</v>
      </c>
      <c r="C40" s="3" t="s">
        <v>280</v>
      </c>
      <c r="D40" s="3" t="s">
        <v>281</v>
      </c>
      <c r="E40" s="3" t="s">
        <v>80</v>
      </c>
      <c r="F40" s="3" t="s">
        <v>60</v>
      </c>
      <c r="G40" s="3" t="s">
        <v>282</v>
      </c>
      <c r="H40" s="4" t="s">
        <v>62</v>
      </c>
      <c r="I40" s="5"/>
      <c r="J40" s="5" t="s">
        <v>64</v>
      </c>
      <c r="K40" s="5"/>
      <c r="L40" s="5"/>
      <c r="M40" s="5"/>
      <c r="N40" s="5"/>
      <c r="O40" s="5"/>
      <c r="P40" s="5"/>
      <c r="Q40" s="5"/>
      <c r="R40" s="5"/>
      <c r="S40" s="5"/>
      <c r="T40" s="5"/>
      <c r="U40" s="5"/>
      <c r="V40" s="5"/>
      <c r="W40" s="5"/>
      <c r="X40" s="5"/>
      <c r="Y40" s="5"/>
      <c r="Z40" s="5"/>
      <c r="AA40" s="5"/>
      <c r="AB40" s="5" t="str">
        <f>IFERROR(IF(VLOOKUP(D40,Revistas!$A$21:$C$400,3,FALSE)=0,"",VLOOKUP(D40,Revistas!$A$21:$C$400,3,FALSE)),"")</f>
        <v>medio</v>
      </c>
      <c r="AC40" s="5"/>
      <c r="AD40" s="5"/>
      <c r="AE40" s="5"/>
    </row>
    <row r="41" ht="15.75" customHeight="1">
      <c r="A41" s="3" t="s">
        <v>283</v>
      </c>
      <c r="B41" s="3">
        <v>99.0</v>
      </c>
      <c r="C41" s="3" t="s">
        <v>284</v>
      </c>
      <c r="D41" s="3" t="s">
        <v>285</v>
      </c>
      <c r="E41" s="3" t="s">
        <v>80</v>
      </c>
      <c r="F41" s="3" t="s">
        <v>60</v>
      </c>
      <c r="G41" s="3" t="s">
        <v>286</v>
      </c>
      <c r="H41" s="4" t="s">
        <v>62</v>
      </c>
      <c r="I41" s="5"/>
      <c r="J41" s="5" t="s">
        <v>64</v>
      </c>
      <c r="K41" s="5"/>
      <c r="L41" s="5"/>
      <c r="M41" s="5"/>
      <c r="N41" s="5"/>
      <c r="O41" s="5"/>
      <c r="P41" s="5"/>
      <c r="Q41" s="5"/>
      <c r="R41" s="5"/>
      <c r="S41" s="5"/>
      <c r="T41" s="5"/>
      <c r="U41" s="5"/>
      <c r="V41" s="5"/>
      <c r="W41" s="5"/>
      <c r="X41" s="5"/>
      <c r="Y41" s="5"/>
      <c r="Z41" s="5"/>
      <c r="AA41" s="5"/>
      <c r="AB41" s="5" t="str">
        <f>IFERROR(IF(VLOOKUP(D41,Revistas!$A$21:$C$400,3,FALSE)=0,"",VLOOKUP(D41,Revistas!$A$21:$C$400,3,FALSE)),"")</f>
        <v>medio</v>
      </c>
      <c r="AC41" s="5"/>
      <c r="AD41" s="5"/>
      <c r="AE41" s="5"/>
    </row>
    <row r="42" ht="15.75" customHeight="1">
      <c r="A42" s="3" t="s">
        <v>287</v>
      </c>
      <c r="B42" s="3">
        <v>104.0</v>
      </c>
      <c r="C42" s="3" t="s">
        <v>288</v>
      </c>
      <c r="D42" s="3" t="s">
        <v>170</v>
      </c>
      <c r="E42" s="3" t="s">
        <v>132</v>
      </c>
      <c r="F42" s="3" t="s">
        <v>60</v>
      </c>
      <c r="G42" s="3" t="s">
        <v>289</v>
      </c>
      <c r="H42" s="4" t="s">
        <v>62</v>
      </c>
      <c r="I42" s="5"/>
      <c r="J42" s="5" t="s">
        <v>64</v>
      </c>
      <c r="K42" s="5"/>
      <c r="L42" s="5"/>
      <c r="M42" s="5"/>
      <c r="N42" s="5"/>
      <c r="O42" s="5"/>
      <c r="P42" s="5"/>
      <c r="Q42" s="5"/>
      <c r="R42" s="5"/>
      <c r="S42" s="5"/>
      <c r="T42" s="5"/>
      <c r="U42" s="5"/>
      <c r="V42" s="5"/>
      <c r="W42" s="5"/>
      <c r="X42" s="5"/>
      <c r="Y42" s="5"/>
      <c r="Z42" s="5"/>
      <c r="AA42" s="5"/>
      <c r="AB42" s="5" t="str">
        <f>IFERROR(IF(VLOOKUP(D42,Revistas!$A$21:$C$400,3,FALSE)=0,"",VLOOKUP(D42,Revistas!$A$21:$C$400,3,FALSE)),"")</f>
        <v>alto</v>
      </c>
      <c r="AC42" s="5"/>
      <c r="AD42" s="5"/>
      <c r="AE42" s="5"/>
    </row>
    <row r="43" ht="15.75" customHeight="1">
      <c r="A43" s="3" t="s">
        <v>290</v>
      </c>
      <c r="B43" s="3">
        <v>110.0</v>
      </c>
      <c r="C43" s="3" t="s">
        <v>291</v>
      </c>
      <c r="D43" s="3" t="s">
        <v>292</v>
      </c>
      <c r="E43" s="3" t="s">
        <v>111</v>
      </c>
      <c r="F43" s="3" t="s">
        <v>60</v>
      </c>
      <c r="G43" s="3" t="s">
        <v>293</v>
      </c>
      <c r="H43" s="4" t="s">
        <v>62</v>
      </c>
      <c r="I43" s="5"/>
      <c r="J43" s="5" t="s">
        <v>64</v>
      </c>
      <c r="K43" s="5"/>
      <c r="L43" s="5"/>
      <c r="M43" s="5"/>
      <c r="N43" s="5"/>
      <c r="O43" s="5"/>
      <c r="P43" s="5"/>
      <c r="Q43" s="5"/>
      <c r="R43" s="5"/>
      <c r="S43" s="5"/>
      <c r="T43" s="5"/>
      <c r="U43" s="5"/>
      <c r="V43" s="5"/>
      <c r="W43" s="5"/>
      <c r="X43" s="5"/>
      <c r="Y43" s="5"/>
      <c r="Z43" s="5"/>
      <c r="AA43" s="5"/>
      <c r="AB43" s="5" t="str">
        <f>IFERROR(IF(VLOOKUP(D43,Revistas!$A$21:$C$400,3,FALSE)=0,"",VLOOKUP(D43,Revistas!$A$21:$C$400,3,FALSE)),"")</f>
        <v>medio</v>
      </c>
      <c r="AC43" s="5"/>
      <c r="AD43" s="5"/>
      <c r="AE43" s="5"/>
    </row>
    <row r="44" ht="15.75" customHeight="1">
      <c r="A44" s="3" t="s">
        <v>294</v>
      </c>
      <c r="B44" s="3">
        <v>111.0</v>
      </c>
      <c r="C44" s="3" t="s">
        <v>295</v>
      </c>
      <c r="D44" s="3" t="s">
        <v>234</v>
      </c>
      <c r="E44" s="3" t="s">
        <v>142</v>
      </c>
      <c r="F44" s="3" t="s">
        <v>60</v>
      </c>
      <c r="G44" s="3" t="s">
        <v>296</v>
      </c>
      <c r="H44" s="4" t="s">
        <v>62</v>
      </c>
      <c r="I44" s="5"/>
      <c r="J44" s="5" t="s">
        <v>64</v>
      </c>
      <c r="K44" s="5"/>
      <c r="L44" s="5"/>
      <c r="M44" s="5"/>
      <c r="N44" s="5"/>
      <c r="O44" s="5"/>
      <c r="P44" s="5"/>
      <c r="Q44" s="5"/>
      <c r="R44" s="5"/>
      <c r="S44" s="5"/>
      <c r="T44" s="5"/>
      <c r="U44" s="5"/>
      <c r="V44" s="5"/>
      <c r="W44" s="5"/>
      <c r="X44" s="5"/>
      <c r="Y44" s="5"/>
      <c r="Z44" s="5"/>
      <c r="AA44" s="5"/>
      <c r="AB44" s="5" t="str">
        <f>IFERROR(IF(VLOOKUP(D44,Revistas!$A$21:$C$400,3,FALSE)=0,"",VLOOKUP(D44,Revistas!$A$21:$C$400,3,FALSE)),"")</f>
        <v>alto</v>
      </c>
      <c r="AC44" s="5"/>
      <c r="AD44" s="5"/>
      <c r="AE44" s="5"/>
    </row>
    <row r="45" ht="15.75" customHeight="1">
      <c r="A45" s="3" t="s">
        <v>297</v>
      </c>
      <c r="B45" s="3">
        <v>116.0</v>
      </c>
      <c r="C45" s="3" t="s">
        <v>298</v>
      </c>
      <c r="D45" s="3" t="s">
        <v>299</v>
      </c>
      <c r="E45" s="3" t="s">
        <v>142</v>
      </c>
      <c r="F45" s="3" t="s">
        <v>60</v>
      </c>
      <c r="G45" s="3" t="s">
        <v>300</v>
      </c>
      <c r="H45" s="4" t="s">
        <v>62</v>
      </c>
      <c r="I45" s="5"/>
      <c r="J45" s="5" t="s">
        <v>64</v>
      </c>
      <c r="K45" s="5"/>
      <c r="L45" s="5"/>
      <c r="M45" s="5"/>
      <c r="N45" s="5"/>
      <c r="O45" s="5"/>
      <c r="P45" s="5"/>
      <c r="Q45" s="5"/>
      <c r="R45" s="5"/>
      <c r="S45" s="5"/>
      <c r="T45" s="5"/>
      <c r="U45" s="5"/>
      <c r="V45" s="5"/>
      <c r="W45" s="5"/>
      <c r="X45" s="5"/>
      <c r="Y45" s="5"/>
      <c r="Z45" s="5"/>
      <c r="AA45" s="5"/>
      <c r="AB45" s="5" t="str">
        <f>IFERROR(IF(VLOOKUP(D45,Revistas!$A$21:$C$400,3,FALSE)=0,"",VLOOKUP(D45,Revistas!$A$21:$C$400,3,FALSE)),"")</f>
        <v>alto</v>
      </c>
      <c r="AC45" s="5"/>
      <c r="AD45" s="5"/>
      <c r="AE45" s="5"/>
    </row>
    <row r="46" ht="15.75" customHeight="1">
      <c r="A46" s="3" t="s">
        <v>301</v>
      </c>
      <c r="B46" s="3">
        <v>120.0</v>
      </c>
      <c r="C46" s="3" t="s">
        <v>302</v>
      </c>
      <c r="D46" s="3" t="s">
        <v>303</v>
      </c>
      <c r="E46" s="3" t="s">
        <v>304</v>
      </c>
      <c r="F46" s="3" t="s">
        <v>60</v>
      </c>
      <c r="G46" s="3" t="s">
        <v>305</v>
      </c>
      <c r="H46" s="4" t="s">
        <v>62</v>
      </c>
      <c r="I46" s="5"/>
      <c r="J46" s="5" t="s">
        <v>64</v>
      </c>
      <c r="K46" s="5"/>
      <c r="L46" s="5"/>
      <c r="M46" s="5"/>
      <c r="N46" s="5"/>
      <c r="O46" s="5"/>
      <c r="P46" s="5"/>
      <c r="Q46" s="5"/>
      <c r="R46" s="5"/>
      <c r="S46" s="5"/>
      <c r="T46" s="5"/>
      <c r="U46" s="5"/>
      <c r="V46" s="5"/>
      <c r="W46" s="5"/>
      <c r="X46" s="5"/>
      <c r="Y46" s="5"/>
      <c r="Z46" s="5"/>
      <c r="AA46" s="5"/>
      <c r="AB46" s="5" t="str">
        <f>IFERROR(IF(VLOOKUP(D46,Revistas!$A$21:$C$400,3,FALSE)=0,"",VLOOKUP(D46,Revistas!$A$21:$C$400,3,FALSE)),"")</f>
        <v/>
      </c>
      <c r="AC46" s="5"/>
      <c r="AD46" s="5"/>
      <c r="AE46" s="5"/>
    </row>
    <row r="47" ht="15.75" customHeight="1">
      <c r="A47" s="3" t="s">
        <v>306</v>
      </c>
      <c r="B47" s="3">
        <v>121.0</v>
      </c>
      <c r="C47" s="3" t="s">
        <v>307</v>
      </c>
      <c r="D47" s="3" t="s">
        <v>308</v>
      </c>
      <c r="E47" s="3" t="s">
        <v>304</v>
      </c>
      <c r="F47" s="3" t="s">
        <v>60</v>
      </c>
      <c r="G47" s="3" t="s">
        <v>309</v>
      </c>
      <c r="H47" s="4" t="s">
        <v>62</v>
      </c>
      <c r="I47" s="5"/>
      <c r="J47" s="5" t="s">
        <v>64</v>
      </c>
      <c r="K47" s="5"/>
      <c r="L47" s="5"/>
      <c r="M47" s="5"/>
      <c r="N47" s="5"/>
      <c r="O47" s="5"/>
      <c r="P47" s="5"/>
      <c r="Q47" s="5"/>
      <c r="R47" s="5"/>
      <c r="S47" s="5"/>
      <c r="T47" s="5"/>
      <c r="U47" s="5"/>
      <c r="V47" s="5"/>
      <c r="W47" s="5"/>
      <c r="X47" s="5"/>
      <c r="Y47" s="5"/>
      <c r="Z47" s="5"/>
      <c r="AA47" s="5"/>
      <c r="AB47" s="5" t="str">
        <f>IFERROR(IF(VLOOKUP(D47,Revistas!$A$21:$C$400,3,FALSE)=0,"",VLOOKUP(D47,Revistas!$A$21:$C$400,3,FALSE)),"")</f>
        <v>alto</v>
      </c>
      <c r="AC47" s="5"/>
      <c r="AD47" s="5"/>
      <c r="AE47" s="5"/>
    </row>
    <row r="48" ht="15.75" customHeight="1">
      <c r="A48" s="3" t="s">
        <v>310</v>
      </c>
      <c r="B48" s="3">
        <v>122.0</v>
      </c>
      <c r="C48" s="3" t="s">
        <v>311</v>
      </c>
      <c r="D48" s="3" t="s">
        <v>312</v>
      </c>
      <c r="E48" s="3" t="s">
        <v>123</v>
      </c>
      <c r="F48" s="3" t="s">
        <v>60</v>
      </c>
      <c r="G48" s="3" t="s">
        <v>313</v>
      </c>
      <c r="H48" s="4" t="s">
        <v>62</v>
      </c>
      <c r="I48" s="5"/>
      <c r="J48" s="5" t="s">
        <v>64</v>
      </c>
      <c r="K48" s="5"/>
      <c r="L48" s="5"/>
      <c r="M48" s="5"/>
      <c r="N48" s="5"/>
      <c r="O48" s="5"/>
      <c r="P48" s="5"/>
      <c r="Q48" s="5"/>
      <c r="R48" s="5"/>
      <c r="S48" s="5"/>
      <c r="T48" s="5"/>
      <c r="U48" s="5"/>
      <c r="V48" s="5"/>
      <c r="W48" s="5"/>
      <c r="X48" s="5"/>
      <c r="Y48" s="5"/>
      <c r="Z48" s="5"/>
      <c r="AA48" s="5"/>
      <c r="AB48" s="5" t="str">
        <f>IFERROR(IF(VLOOKUP(D48,Revistas!$A$21:$C$400,3,FALSE)=0,"",VLOOKUP(D48,Revistas!$A$21:$C$400,3,FALSE)),"")</f>
        <v>medio</v>
      </c>
      <c r="AC48" s="5"/>
      <c r="AD48" s="5"/>
      <c r="AE48" s="5"/>
    </row>
    <row r="49" ht="15.75" customHeight="1">
      <c r="A49" s="3" t="s">
        <v>314</v>
      </c>
      <c r="B49" s="3">
        <v>125.0</v>
      </c>
      <c r="C49" s="3" t="s">
        <v>315</v>
      </c>
      <c r="D49" s="3" t="s">
        <v>265</v>
      </c>
      <c r="E49" s="3" t="s">
        <v>80</v>
      </c>
      <c r="F49" s="3" t="s">
        <v>60</v>
      </c>
      <c r="G49" s="3" t="s">
        <v>316</v>
      </c>
      <c r="H49" s="4" t="s">
        <v>62</v>
      </c>
      <c r="I49" s="5"/>
      <c r="J49" s="5" t="s">
        <v>64</v>
      </c>
      <c r="K49" s="5"/>
      <c r="L49" s="5"/>
      <c r="M49" s="5"/>
      <c r="N49" s="5"/>
      <c r="O49" s="5"/>
      <c r="P49" s="5"/>
      <c r="Q49" s="5"/>
      <c r="R49" s="5"/>
      <c r="S49" s="5"/>
      <c r="T49" s="5"/>
      <c r="U49" s="5"/>
      <c r="V49" s="5"/>
      <c r="W49" s="5"/>
      <c r="X49" s="5"/>
      <c r="Y49" s="5"/>
      <c r="Z49" s="5"/>
      <c r="AA49" s="5"/>
      <c r="AB49" s="5" t="str">
        <f>IFERROR(IF(VLOOKUP(D49,Revistas!$A$21:$C$400,3,FALSE)=0,"",VLOOKUP(D49,Revistas!$A$21:$C$400,3,FALSE)),"")</f>
        <v>medio</v>
      </c>
      <c r="AC49" s="5"/>
      <c r="AD49" s="5"/>
      <c r="AE49" s="5"/>
    </row>
    <row r="50" ht="15.75" customHeight="1">
      <c r="A50" s="3" t="s">
        <v>317</v>
      </c>
      <c r="B50" s="3">
        <v>128.0</v>
      </c>
      <c r="C50" s="3" t="s">
        <v>318</v>
      </c>
      <c r="D50" s="3" t="s">
        <v>319</v>
      </c>
      <c r="E50" s="3" t="s">
        <v>80</v>
      </c>
      <c r="F50" s="3" t="s">
        <v>60</v>
      </c>
      <c r="G50" s="3" t="s">
        <v>320</v>
      </c>
      <c r="H50" s="4" t="s">
        <v>62</v>
      </c>
      <c r="I50" s="5"/>
      <c r="J50" s="5" t="s">
        <v>64</v>
      </c>
      <c r="K50" s="5"/>
      <c r="L50" s="5"/>
      <c r="M50" s="5"/>
      <c r="N50" s="5"/>
      <c r="O50" s="5"/>
      <c r="P50" s="5"/>
      <c r="Q50" s="5"/>
      <c r="R50" s="5"/>
      <c r="S50" s="5"/>
      <c r="T50" s="5"/>
      <c r="U50" s="5"/>
      <c r="V50" s="5"/>
      <c r="W50" s="5"/>
      <c r="X50" s="5"/>
      <c r="Y50" s="5"/>
      <c r="Z50" s="5"/>
      <c r="AA50" s="5"/>
      <c r="AB50" s="5" t="str">
        <f>IFERROR(IF(VLOOKUP(D50,Revistas!$A$21:$C$400,3,FALSE)=0,"",VLOOKUP(D50,Revistas!$A$21:$C$400,3,FALSE)),"")</f>
        <v/>
      </c>
      <c r="AC50" s="5"/>
      <c r="AD50" s="5"/>
      <c r="AE50" s="5"/>
    </row>
    <row r="51" ht="15.75" customHeight="1">
      <c r="A51" s="3" t="s">
        <v>321</v>
      </c>
      <c r="B51" s="3">
        <v>130.0</v>
      </c>
      <c r="C51" s="3" t="s">
        <v>322</v>
      </c>
      <c r="D51" s="3" t="s">
        <v>323</v>
      </c>
      <c r="E51" s="3" t="s">
        <v>132</v>
      </c>
      <c r="F51" s="3" t="s">
        <v>60</v>
      </c>
      <c r="G51" s="3" t="s">
        <v>324</v>
      </c>
      <c r="H51" s="4" t="s">
        <v>62</v>
      </c>
      <c r="I51" s="5"/>
      <c r="J51" s="5" t="s">
        <v>64</v>
      </c>
      <c r="K51" s="5"/>
      <c r="L51" s="5"/>
      <c r="M51" s="5"/>
      <c r="N51" s="5"/>
      <c r="O51" s="5"/>
      <c r="P51" s="5"/>
      <c r="Q51" s="5"/>
      <c r="R51" s="5"/>
      <c r="S51" s="5"/>
      <c r="T51" s="5"/>
      <c r="U51" s="5"/>
      <c r="V51" s="5"/>
      <c r="W51" s="5"/>
      <c r="X51" s="5"/>
      <c r="Y51" s="5"/>
      <c r="Z51" s="5"/>
      <c r="AA51" s="5"/>
      <c r="AB51" s="5" t="str">
        <f>IFERROR(IF(VLOOKUP(D51,Revistas!$A$21:$C$400,3,FALSE)=0,"",VLOOKUP(D51,Revistas!$A$21:$C$400,3,FALSE)),"")</f>
        <v/>
      </c>
      <c r="AC51" s="5"/>
      <c r="AD51" s="5"/>
      <c r="AE51" s="5"/>
    </row>
    <row r="52" ht="15.75" customHeight="1">
      <c r="A52" s="3" t="s">
        <v>325</v>
      </c>
      <c r="B52" s="3">
        <v>131.0</v>
      </c>
      <c r="C52" s="3" t="s">
        <v>326</v>
      </c>
      <c r="D52" s="3" t="s">
        <v>327</v>
      </c>
      <c r="E52" s="3" t="s">
        <v>132</v>
      </c>
      <c r="F52" s="3" t="s">
        <v>60</v>
      </c>
      <c r="G52" s="3" t="s">
        <v>328</v>
      </c>
      <c r="H52" s="4" t="s">
        <v>62</v>
      </c>
      <c r="I52" s="5"/>
      <c r="J52" s="5" t="s">
        <v>64</v>
      </c>
      <c r="K52" s="5"/>
      <c r="L52" s="5"/>
      <c r="M52" s="5"/>
      <c r="N52" s="5"/>
      <c r="O52" s="5"/>
      <c r="P52" s="5"/>
      <c r="Q52" s="5"/>
      <c r="R52" s="5"/>
      <c r="S52" s="5"/>
      <c r="T52" s="5"/>
      <c r="U52" s="5"/>
      <c r="V52" s="5"/>
      <c r="W52" s="5"/>
      <c r="X52" s="5"/>
      <c r="Y52" s="5"/>
      <c r="Z52" s="5"/>
      <c r="AA52" s="5"/>
      <c r="AB52" s="5" t="str">
        <f>IFERROR(IF(VLOOKUP(D52,Revistas!$A$21:$C$400,3,FALSE)=0,"",VLOOKUP(D52,Revistas!$A$21:$C$400,3,FALSE)),"")</f>
        <v>medio</v>
      </c>
      <c r="AC52" s="5"/>
      <c r="AD52" s="5"/>
      <c r="AE52" s="5"/>
    </row>
    <row r="53" ht="15.75" customHeight="1">
      <c r="A53" s="3" t="s">
        <v>329</v>
      </c>
      <c r="B53" s="3">
        <v>135.0</v>
      </c>
      <c r="C53" s="3" t="s">
        <v>330</v>
      </c>
      <c r="D53" s="3" t="s">
        <v>331</v>
      </c>
      <c r="E53" s="3" t="s">
        <v>132</v>
      </c>
      <c r="F53" s="3" t="s">
        <v>60</v>
      </c>
      <c r="G53" s="3" t="s">
        <v>332</v>
      </c>
      <c r="H53" s="4" t="s">
        <v>62</v>
      </c>
      <c r="I53" s="5"/>
      <c r="J53" s="5" t="s">
        <v>64</v>
      </c>
      <c r="K53" s="5"/>
      <c r="L53" s="5"/>
      <c r="M53" s="5"/>
      <c r="N53" s="5"/>
      <c r="O53" s="5"/>
      <c r="P53" s="5"/>
      <c r="Q53" s="5"/>
      <c r="R53" s="5"/>
      <c r="S53" s="5"/>
      <c r="T53" s="5"/>
      <c r="U53" s="5"/>
      <c r="V53" s="5"/>
      <c r="W53" s="5"/>
      <c r="X53" s="5"/>
      <c r="Y53" s="5"/>
      <c r="Z53" s="5"/>
      <c r="AA53" s="5"/>
      <c r="AB53" s="5" t="str">
        <f>IFERROR(IF(VLOOKUP(D53,Revistas!$A$21:$C$400,3,FALSE)=0,"",VLOOKUP(D53,Revistas!$A$21:$C$400,3,FALSE)),"")</f>
        <v/>
      </c>
      <c r="AC53" s="5"/>
      <c r="AD53" s="5"/>
      <c r="AE53" s="5"/>
    </row>
    <row r="54" ht="15.75" customHeight="1">
      <c r="A54" s="3" t="s">
        <v>333</v>
      </c>
      <c r="B54" s="3">
        <v>137.0</v>
      </c>
      <c r="C54" s="3" t="s">
        <v>334</v>
      </c>
      <c r="D54" s="3" t="s">
        <v>335</v>
      </c>
      <c r="E54" s="3" t="s">
        <v>111</v>
      </c>
      <c r="F54" s="3" t="s">
        <v>60</v>
      </c>
      <c r="G54" s="3" t="s">
        <v>336</v>
      </c>
      <c r="H54" s="4" t="s">
        <v>62</v>
      </c>
      <c r="I54" s="5"/>
      <c r="J54" s="5" t="s">
        <v>64</v>
      </c>
      <c r="K54" s="5"/>
      <c r="L54" s="5"/>
      <c r="M54" s="5"/>
      <c r="N54" s="5"/>
      <c r="O54" s="5"/>
      <c r="P54" s="5"/>
      <c r="Q54" s="5"/>
      <c r="R54" s="5"/>
      <c r="S54" s="5"/>
      <c r="T54" s="5"/>
      <c r="U54" s="5"/>
      <c r="V54" s="5"/>
      <c r="W54" s="5"/>
      <c r="X54" s="5"/>
      <c r="Y54" s="5"/>
      <c r="Z54" s="5"/>
      <c r="AA54" s="5"/>
      <c r="AB54" s="5" t="str">
        <f>IFERROR(IF(VLOOKUP(D54,Revistas!$A$21:$C$400,3,FALSE)=0,"",VLOOKUP(D54,Revistas!$A$21:$C$400,3,FALSE)),"")</f>
        <v>medio</v>
      </c>
      <c r="AC54" s="5"/>
      <c r="AD54" s="5"/>
      <c r="AE54" s="5"/>
    </row>
    <row r="55" ht="15.75" customHeight="1">
      <c r="A55" s="3" t="s">
        <v>337</v>
      </c>
      <c r="B55" s="3">
        <v>138.0</v>
      </c>
      <c r="C55" s="3" t="s">
        <v>338</v>
      </c>
      <c r="D55" s="3" t="s">
        <v>339</v>
      </c>
      <c r="E55" s="3" t="s">
        <v>111</v>
      </c>
      <c r="F55" s="3" t="s">
        <v>60</v>
      </c>
      <c r="G55" s="3" t="s">
        <v>340</v>
      </c>
      <c r="H55" s="4" t="s">
        <v>62</v>
      </c>
      <c r="I55" s="5"/>
      <c r="J55" s="5" t="s">
        <v>64</v>
      </c>
      <c r="K55" s="5"/>
      <c r="L55" s="5"/>
      <c r="M55" s="5"/>
      <c r="N55" s="5"/>
      <c r="O55" s="5"/>
      <c r="P55" s="5"/>
      <c r="Q55" s="5"/>
      <c r="R55" s="5"/>
      <c r="S55" s="5"/>
      <c r="T55" s="5"/>
      <c r="U55" s="5"/>
      <c r="V55" s="5"/>
      <c r="W55" s="5"/>
      <c r="X55" s="5"/>
      <c r="Y55" s="5"/>
      <c r="Z55" s="5"/>
      <c r="AA55" s="5"/>
      <c r="AB55" s="5" t="str">
        <f>IFERROR(IF(VLOOKUP(D55,Revistas!$A$21:$C$400,3,FALSE)=0,"",VLOOKUP(D55,Revistas!$A$21:$C$400,3,FALSE)),"")</f>
        <v/>
      </c>
      <c r="AC55" s="5"/>
      <c r="AD55" s="5"/>
      <c r="AE55" s="5"/>
    </row>
    <row r="56" ht="15.75" customHeight="1">
      <c r="A56" s="3" t="s">
        <v>341</v>
      </c>
      <c r="B56" s="3">
        <v>141.0</v>
      </c>
      <c r="C56" s="3" t="s">
        <v>342</v>
      </c>
      <c r="D56" s="3" t="s">
        <v>131</v>
      </c>
      <c r="E56" s="3" t="s">
        <v>111</v>
      </c>
      <c r="F56" s="3" t="s">
        <v>60</v>
      </c>
      <c r="G56" s="3" t="s">
        <v>343</v>
      </c>
      <c r="H56" s="4" t="s">
        <v>62</v>
      </c>
      <c r="I56" s="5"/>
      <c r="J56" s="5" t="s">
        <v>64</v>
      </c>
      <c r="K56" s="5"/>
      <c r="L56" s="5"/>
      <c r="M56" s="5"/>
      <c r="N56" s="5"/>
      <c r="O56" s="5"/>
      <c r="P56" s="5"/>
      <c r="Q56" s="5"/>
      <c r="R56" s="5"/>
      <c r="S56" s="5"/>
      <c r="T56" s="5"/>
      <c r="U56" s="5"/>
      <c r="V56" s="5"/>
      <c r="W56" s="5"/>
      <c r="X56" s="5"/>
      <c r="Y56" s="5"/>
      <c r="Z56" s="5"/>
      <c r="AA56" s="5"/>
      <c r="AB56" s="5" t="str">
        <f>IFERROR(IF(VLOOKUP(D56,Revistas!$A$21:$C$400,3,FALSE)=0,"",VLOOKUP(D56,Revistas!$A$21:$C$400,3,FALSE)),"")</f>
        <v>medio</v>
      </c>
      <c r="AC56" s="5"/>
      <c r="AD56" s="5"/>
      <c r="AE56" s="5"/>
    </row>
    <row r="57" ht="15.75" customHeight="1">
      <c r="A57" s="3" t="s">
        <v>344</v>
      </c>
      <c r="B57" s="3">
        <v>142.0</v>
      </c>
      <c r="C57" s="3" t="s">
        <v>345</v>
      </c>
      <c r="D57" s="3" t="s">
        <v>248</v>
      </c>
      <c r="E57" s="3" t="s">
        <v>111</v>
      </c>
      <c r="F57" s="3" t="s">
        <v>60</v>
      </c>
      <c r="G57" s="3" t="s">
        <v>346</v>
      </c>
      <c r="H57" s="4" t="s">
        <v>62</v>
      </c>
      <c r="I57" s="5"/>
      <c r="J57" s="5" t="s">
        <v>64</v>
      </c>
      <c r="K57" s="5"/>
      <c r="L57" s="5"/>
      <c r="M57" s="5"/>
      <c r="N57" s="5"/>
      <c r="O57" s="5"/>
      <c r="P57" s="5"/>
      <c r="Q57" s="5"/>
      <c r="R57" s="5"/>
      <c r="S57" s="5"/>
      <c r="T57" s="5"/>
      <c r="U57" s="5"/>
      <c r="V57" s="5"/>
      <c r="W57" s="5"/>
      <c r="X57" s="5"/>
      <c r="Y57" s="5"/>
      <c r="Z57" s="5"/>
      <c r="AA57" s="5"/>
      <c r="AB57" s="5" t="str">
        <f>IFERROR(IF(VLOOKUP(D57,Revistas!$A$21:$C$400,3,FALSE)=0,"",VLOOKUP(D57,Revistas!$A$21:$C$400,3,FALSE)),"")</f>
        <v>medio</v>
      </c>
      <c r="AC57" s="5"/>
      <c r="AD57" s="5"/>
      <c r="AE57" s="5"/>
    </row>
    <row r="58" ht="15.75" customHeight="1">
      <c r="A58" s="3" t="s">
        <v>347</v>
      </c>
      <c r="B58" s="3">
        <v>151.0</v>
      </c>
      <c r="C58" s="3" t="s">
        <v>348</v>
      </c>
      <c r="D58" s="3" t="s">
        <v>303</v>
      </c>
      <c r="E58" s="3" t="s">
        <v>304</v>
      </c>
      <c r="F58" s="3" t="s">
        <v>60</v>
      </c>
      <c r="G58" s="3" t="s">
        <v>349</v>
      </c>
      <c r="H58" s="4" t="s">
        <v>62</v>
      </c>
      <c r="I58" s="5"/>
      <c r="J58" s="5" t="s">
        <v>64</v>
      </c>
      <c r="K58" s="5"/>
      <c r="L58" s="5"/>
      <c r="M58" s="5"/>
      <c r="N58" s="5"/>
      <c r="O58" s="5"/>
      <c r="P58" s="5"/>
      <c r="Q58" s="5"/>
      <c r="R58" s="5"/>
      <c r="S58" s="5"/>
      <c r="T58" s="5"/>
      <c r="U58" s="5"/>
      <c r="V58" s="5"/>
      <c r="W58" s="5"/>
      <c r="X58" s="5"/>
      <c r="Y58" s="5"/>
      <c r="Z58" s="5"/>
      <c r="AA58" s="5"/>
      <c r="AB58" s="5" t="str">
        <f>IFERROR(IF(VLOOKUP(D58,Revistas!$A$21:$C$400,3,FALSE)=0,"",VLOOKUP(D58,Revistas!$A$21:$C$400,3,FALSE)),"")</f>
        <v/>
      </c>
      <c r="AC58" s="5"/>
      <c r="AD58" s="5"/>
      <c r="AE58" s="5"/>
    </row>
    <row r="59" ht="15.75" customHeight="1">
      <c r="A59" s="3" t="s">
        <v>350</v>
      </c>
      <c r="B59" s="3">
        <v>154.0</v>
      </c>
      <c r="C59" s="3" t="s">
        <v>351</v>
      </c>
      <c r="D59" s="3" t="s">
        <v>131</v>
      </c>
      <c r="E59" s="3" t="s">
        <v>257</v>
      </c>
      <c r="F59" s="3" t="s">
        <v>60</v>
      </c>
      <c r="G59" s="3" t="s">
        <v>352</v>
      </c>
      <c r="H59" s="4" t="s">
        <v>62</v>
      </c>
      <c r="I59" s="5"/>
      <c r="J59" s="5" t="s">
        <v>64</v>
      </c>
      <c r="K59" s="5"/>
      <c r="L59" s="5"/>
      <c r="M59" s="5"/>
      <c r="N59" s="5"/>
      <c r="O59" s="5"/>
      <c r="P59" s="5"/>
      <c r="Q59" s="5"/>
      <c r="R59" s="5"/>
      <c r="S59" s="5"/>
      <c r="T59" s="5"/>
      <c r="U59" s="5"/>
      <c r="V59" s="5"/>
      <c r="W59" s="5"/>
      <c r="X59" s="5"/>
      <c r="Y59" s="5"/>
      <c r="Z59" s="5"/>
      <c r="AA59" s="5"/>
      <c r="AB59" s="5" t="str">
        <f>IFERROR(IF(VLOOKUP(D59,Revistas!$A$21:$C$400,3,FALSE)=0,"",VLOOKUP(D59,Revistas!$A$21:$C$400,3,FALSE)),"")</f>
        <v>medio</v>
      </c>
      <c r="AC59" s="5"/>
      <c r="AD59" s="5"/>
      <c r="AE59" s="5"/>
    </row>
    <row r="60" ht="15.75" customHeight="1">
      <c r="A60" s="3" t="s">
        <v>353</v>
      </c>
      <c r="B60" s="3">
        <v>156.0</v>
      </c>
      <c r="C60" s="3" t="s">
        <v>354</v>
      </c>
      <c r="D60" s="3" t="s">
        <v>355</v>
      </c>
      <c r="E60" s="3" t="s">
        <v>123</v>
      </c>
      <c r="F60" s="3" t="s">
        <v>60</v>
      </c>
      <c r="G60" s="3" t="s">
        <v>356</v>
      </c>
      <c r="H60" s="4" t="s">
        <v>62</v>
      </c>
      <c r="I60" s="5"/>
      <c r="J60" s="5" t="s">
        <v>64</v>
      </c>
      <c r="K60" s="5"/>
      <c r="L60" s="5"/>
      <c r="M60" s="5"/>
      <c r="N60" s="5"/>
      <c r="O60" s="5"/>
      <c r="P60" s="5"/>
      <c r="Q60" s="5"/>
      <c r="R60" s="5"/>
      <c r="S60" s="5"/>
      <c r="T60" s="5"/>
      <c r="U60" s="5"/>
      <c r="V60" s="5"/>
      <c r="W60" s="5"/>
      <c r="X60" s="5"/>
      <c r="Y60" s="5"/>
      <c r="Z60" s="5"/>
      <c r="AA60" s="5"/>
      <c r="AB60" s="5" t="str">
        <f>IFERROR(IF(VLOOKUP(D60,Revistas!$A$21:$C$400,3,FALSE)=0,"",VLOOKUP(D60,Revistas!$A$21:$C$400,3,FALSE)),"")</f>
        <v>alto</v>
      </c>
      <c r="AC60" s="5"/>
      <c r="AD60" s="5"/>
      <c r="AE60" s="5"/>
    </row>
    <row r="61" ht="15.75" customHeight="1">
      <c r="A61" s="3" t="s">
        <v>357</v>
      </c>
      <c r="B61" s="3">
        <v>169.0</v>
      </c>
      <c r="C61" s="3" t="s">
        <v>358</v>
      </c>
      <c r="D61" s="3" t="s">
        <v>156</v>
      </c>
      <c r="E61" s="3" t="s">
        <v>157</v>
      </c>
      <c r="F61" s="3" t="s">
        <v>60</v>
      </c>
      <c r="G61" s="3" t="s">
        <v>359</v>
      </c>
      <c r="H61" s="4" t="s">
        <v>62</v>
      </c>
      <c r="I61" s="5"/>
      <c r="J61" s="5" t="s">
        <v>64</v>
      </c>
      <c r="K61" s="5"/>
      <c r="L61" s="5"/>
      <c r="M61" s="5"/>
      <c r="N61" s="5"/>
      <c r="O61" s="5"/>
      <c r="P61" s="5"/>
      <c r="Q61" s="5"/>
      <c r="R61" s="5"/>
      <c r="S61" s="5"/>
      <c r="T61" s="5"/>
      <c r="U61" s="5"/>
      <c r="V61" s="5"/>
      <c r="W61" s="5"/>
      <c r="X61" s="5"/>
      <c r="Y61" s="5"/>
      <c r="Z61" s="5"/>
      <c r="AA61" s="5"/>
      <c r="AB61" s="5" t="str">
        <f>IFERROR(IF(VLOOKUP(D61,Revistas!$A$21:$C$400,3,FALSE)=0,"",VLOOKUP(D61,Revistas!$A$21:$C$400,3,FALSE)),"")</f>
        <v/>
      </c>
      <c r="AC61" s="5"/>
      <c r="AD61" s="5"/>
      <c r="AE61" s="5"/>
    </row>
    <row r="62" ht="15.75" customHeight="1">
      <c r="A62" s="3" t="s">
        <v>360</v>
      </c>
      <c r="B62" s="3">
        <v>181.0</v>
      </c>
      <c r="C62" s="3" t="s">
        <v>361</v>
      </c>
      <c r="D62" s="3" t="s">
        <v>362</v>
      </c>
      <c r="E62" s="3" t="s">
        <v>80</v>
      </c>
      <c r="F62" s="3" t="s">
        <v>60</v>
      </c>
      <c r="G62" s="3" t="s">
        <v>363</v>
      </c>
      <c r="H62" s="4" t="s">
        <v>62</v>
      </c>
      <c r="I62" s="5"/>
      <c r="J62" s="5" t="s">
        <v>64</v>
      </c>
      <c r="K62" s="5"/>
      <c r="L62" s="5"/>
      <c r="M62" s="5"/>
      <c r="N62" s="5"/>
      <c r="O62" s="5"/>
      <c r="P62" s="5"/>
      <c r="Q62" s="5"/>
      <c r="R62" s="5"/>
      <c r="S62" s="5"/>
      <c r="T62" s="5"/>
      <c r="U62" s="5"/>
      <c r="V62" s="5"/>
      <c r="W62" s="5"/>
      <c r="X62" s="5"/>
      <c r="Y62" s="5"/>
      <c r="Z62" s="5"/>
      <c r="AA62" s="5"/>
      <c r="AB62" s="5" t="str">
        <f>IFERROR(IF(VLOOKUP(D62,Revistas!$A$21:$C$400,3,FALSE)=0,"",VLOOKUP(D62,Revistas!$A$21:$C$400,3,FALSE)),"")</f>
        <v/>
      </c>
      <c r="AC62" s="5"/>
      <c r="AD62" s="5"/>
      <c r="AE62" s="5"/>
    </row>
    <row r="63" ht="15.75" customHeight="1">
      <c r="A63" s="3" t="s">
        <v>364</v>
      </c>
      <c r="B63" s="3">
        <v>185.0</v>
      </c>
      <c r="C63" s="3" t="s">
        <v>365</v>
      </c>
      <c r="D63" s="3" t="s">
        <v>323</v>
      </c>
      <c r="E63" s="3" t="s">
        <v>111</v>
      </c>
      <c r="F63" s="3" t="s">
        <v>60</v>
      </c>
      <c r="G63" s="3" t="s">
        <v>366</v>
      </c>
      <c r="H63" s="4" t="s">
        <v>62</v>
      </c>
      <c r="I63" s="5"/>
      <c r="J63" s="5" t="s">
        <v>64</v>
      </c>
      <c r="K63" s="5"/>
      <c r="L63" s="5"/>
      <c r="M63" s="5"/>
      <c r="N63" s="5"/>
      <c r="O63" s="5"/>
      <c r="P63" s="5"/>
      <c r="Q63" s="5"/>
      <c r="R63" s="5"/>
      <c r="S63" s="5"/>
      <c r="T63" s="5"/>
      <c r="U63" s="5"/>
      <c r="V63" s="5"/>
      <c r="W63" s="5"/>
      <c r="X63" s="5"/>
      <c r="Y63" s="5"/>
      <c r="Z63" s="5"/>
      <c r="AA63" s="5"/>
      <c r="AB63" s="5" t="str">
        <f>IFERROR(IF(VLOOKUP(D63,Revistas!$A$21:$C$400,3,FALSE)=0,"",VLOOKUP(D63,Revistas!$A$21:$C$400,3,FALSE)),"")</f>
        <v/>
      </c>
      <c r="AC63" s="5"/>
      <c r="AD63" s="5"/>
      <c r="AE63" s="5"/>
    </row>
    <row r="64" ht="15.75" customHeight="1">
      <c r="A64" s="3" t="s">
        <v>367</v>
      </c>
      <c r="B64" s="3">
        <v>193.0</v>
      </c>
      <c r="C64" s="3" t="s">
        <v>368</v>
      </c>
      <c r="D64" s="3" t="s">
        <v>369</v>
      </c>
      <c r="E64" s="3" t="s">
        <v>111</v>
      </c>
      <c r="F64" s="3" t="s">
        <v>60</v>
      </c>
      <c r="G64" s="3" t="s">
        <v>370</v>
      </c>
      <c r="H64" s="4" t="s">
        <v>62</v>
      </c>
      <c r="I64" s="5"/>
      <c r="J64" s="5" t="s">
        <v>64</v>
      </c>
      <c r="K64" s="5"/>
      <c r="L64" s="5"/>
      <c r="M64" s="5"/>
      <c r="N64" s="5"/>
      <c r="O64" s="5"/>
      <c r="P64" s="5"/>
      <c r="Q64" s="5"/>
      <c r="R64" s="5"/>
      <c r="S64" s="5"/>
      <c r="T64" s="5"/>
      <c r="U64" s="5"/>
      <c r="V64" s="5"/>
      <c r="W64" s="5"/>
      <c r="X64" s="5"/>
      <c r="Y64" s="5"/>
      <c r="Z64" s="5"/>
      <c r="AA64" s="5"/>
      <c r="AB64" s="5" t="str">
        <f>IFERROR(IF(VLOOKUP(D64,Revistas!$A$21:$C$400,3,FALSE)=0,"",VLOOKUP(D64,Revistas!$A$21:$C$400,3,FALSE)),"")</f>
        <v/>
      </c>
      <c r="AC64" s="5"/>
      <c r="AD64" s="5"/>
      <c r="AE64" s="5"/>
    </row>
    <row r="65" ht="15.75" customHeight="1">
      <c r="A65" s="3" t="s">
        <v>371</v>
      </c>
      <c r="B65" s="3">
        <v>210.0</v>
      </c>
      <c r="C65" s="3" t="s">
        <v>372</v>
      </c>
      <c r="D65" s="3" t="s">
        <v>373</v>
      </c>
      <c r="E65" s="3" t="s">
        <v>59</v>
      </c>
      <c r="F65" s="3" t="s">
        <v>60</v>
      </c>
      <c r="G65" s="3" t="s">
        <v>374</v>
      </c>
      <c r="H65" s="4" t="s">
        <v>62</v>
      </c>
      <c r="I65" s="5"/>
      <c r="J65" s="5" t="s">
        <v>64</v>
      </c>
      <c r="K65" s="5"/>
      <c r="L65" s="5"/>
      <c r="M65" s="5"/>
      <c r="N65" s="5"/>
      <c r="O65" s="5"/>
      <c r="P65" s="5"/>
      <c r="Q65" s="5"/>
      <c r="R65" s="5"/>
      <c r="S65" s="5"/>
      <c r="T65" s="5"/>
      <c r="U65" s="5"/>
      <c r="V65" s="5"/>
      <c r="W65" s="5"/>
      <c r="X65" s="5"/>
      <c r="Y65" s="5"/>
      <c r="Z65" s="5"/>
      <c r="AA65" s="5"/>
      <c r="AB65" s="5" t="str">
        <f>IFERROR(IF(VLOOKUP(D65,Revistas!$A$21:$C$400,3,FALSE)=0,"",VLOOKUP(D65,Revistas!$A$21:$C$400,3,FALSE)),"")</f>
        <v/>
      </c>
      <c r="AC65" s="5"/>
      <c r="AD65" s="5"/>
      <c r="AE65" s="5"/>
    </row>
    <row r="66" ht="15.75" customHeight="1">
      <c r="A66" s="3" t="s">
        <v>375</v>
      </c>
      <c r="B66" s="3">
        <v>219.0</v>
      </c>
      <c r="C66" s="3" t="s">
        <v>376</v>
      </c>
      <c r="D66" s="3" t="s">
        <v>377</v>
      </c>
      <c r="E66" s="3" t="s">
        <v>80</v>
      </c>
      <c r="F66" s="3" t="s">
        <v>60</v>
      </c>
      <c r="G66" s="3" t="s">
        <v>378</v>
      </c>
      <c r="H66" s="4" t="s">
        <v>62</v>
      </c>
      <c r="I66" s="5"/>
      <c r="J66" s="5" t="s">
        <v>64</v>
      </c>
      <c r="K66" s="5"/>
      <c r="L66" s="5"/>
      <c r="M66" s="5"/>
      <c r="N66" s="5"/>
      <c r="O66" s="5"/>
      <c r="P66" s="5"/>
      <c r="Q66" s="5"/>
      <c r="R66" s="5"/>
      <c r="S66" s="5"/>
      <c r="T66" s="5"/>
      <c r="U66" s="5"/>
      <c r="V66" s="5"/>
      <c r="W66" s="5"/>
      <c r="X66" s="5"/>
      <c r="Y66" s="5"/>
      <c r="Z66" s="5"/>
      <c r="AA66" s="5"/>
      <c r="AB66" s="5" t="str">
        <f>IFERROR(IF(VLOOKUP(D66,Revistas!$A$21:$C$400,3,FALSE)=0,"",VLOOKUP(D66,Revistas!$A$21:$C$400,3,FALSE)),"")</f>
        <v/>
      </c>
      <c r="AC66" s="5"/>
      <c r="AD66" s="5"/>
      <c r="AE66" s="5"/>
    </row>
    <row r="67" ht="15.75" customHeight="1">
      <c r="A67" s="3" t="s">
        <v>379</v>
      </c>
      <c r="B67" s="3">
        <v>220.0</v>
      </c>
      <c r="C67" s="3" t="s">
        <v>380</v>
      </c>
      <c r="D67" s="3" t="s">
        <v>381</v>
      </c>
      <c r="E67" s="3" t="s">
        <v>80</v>
      </c>
      <c r="F67" s="3" t="s">
        <v>60</v>
      </c>
      <c r="G67" s="3" t="s">
        <v>382</v>
      </c>
      <c r="H67" s="4" t="s">
        <v>62</v>
      </c>
      <c r="I67" s="5"/>
      <c r="J67" s="5" t="s">
        <v>64</v>
      </c>
      <c r="K67" s="5"/>
      <c r="L67" s="5"/>
      <c r="M67" s="5"/>
      <c r="N67" s="5"/>
      <c r="O67" s="5"/>
      <c r="P67" s="5"/>
      <c r="Q67" s="5"/>
      <c r="R67" s="5"/>
      <c r="S67" s="5"/>
      <c r="T67" s="5"/>
      <c r="U67" s="5"/>
      <c r="V67" s="5"/>
      <c r="W67" s="5"/>
      <c r="X67" s="5"/>
      <c r="Y67" s="5"/>
      <c r="Z67" s="5"/>
      <c r="AA67" s="5"/>
      <c r="AB67" s="5" t="str">
        <f>IFERROR(IF(VLOOKUP(D67,Revistas!$A$21:$C$400,3,FALSE)=0,"",VLOOKUP(D67,Revistas!$A$21:$C$400,3,FALSE)),"")</f>
        <v>medio</v>
      </c>
      <c r="AC67" s="5"/>
      <c r="AD67" s="5"/>
      <c r="AE67" s="5"/>
    </row>
    <row r="68" ht="15.75" customHeight="1">
      <c r="A68" s="3" t="s">
        <v>383</v>
      </c>
      <c r="B68" s="3">
        <v>253.0</v>
      </c>
      <c r="C68" s="3" t="s">
        <v>384</v>
      </c>
      <c r="D68" s="3" t="s">
        <v>385</v>
      </c>
      <c r="E68" s="3" t="s">
        <v>123</v>
      </c>
      <c r="F68" s="3" t="s">
        <v>60</v>
      </c>
      <c r="G68" s="3" t="s">
        <v>386</v>
      </c>
      <c r="H68" s="4" t="s">
        <v>62</v>
      </c>
      <c r="I68" s="5"/>
      <c r="J68" s="5" t="s">
        <v>64</v>
      </c>
      <c r="K68" s="5"/>
      <c r="L68" s="5"/>
      <c r="M68" s="5"/>
      <c r="N68" s="5"/>
      <c r="O68" s="5"/>
      <c r="P68" s="5"/>
      <c r="Q68" s="5"/>
      <c r="R68" s="5"/>
      <c r="S68" s="5"/>
      <c r="T68" s="5"/>
      <c r="U68" s="5"/>
      <c r="V68" s="5"/>
      <c r="W68" s="5"/>
      <c r="X68" s="5"/>
      <c r="Y68" s="5"/>
      <c r="Z68" s="5"/>
      <c r="AA68" s="5"/>
      <c r="AB68" s="5" t="str">
        <f>IFERROR(IF(VLOOKUP(D68,Revistas!$A$21:$C$400,3,FALSE)=0,"",VLOOKUP(D68,Revistas!$A$21:$C$400,3,FALSE)),"")</f>
        <v/>
      </c>
      <c r="AC68" s="5"/>
      <c r="AD68" s="5"/>
      <c r="AE68" s="5"/>
    </row>
    <row r="69" ht="15.75" customHeight="1">
      <c r="A69" s="3" t="s">
        <v>387</v>
      </c>
      <c r="B69" s="3">
        <v>259.0</v>
      </c>
      <c r="C69" s="3" t="s">
        <v>388</v>
      </c>
      <c r="D69" s="3" t="s">
        <v>331</v>
      </c>
      <c r="E69" s="3" t="s">
        <v>266</v>
      </c>
      <c r="F69" s="3" t="s">
        <v>60</v>
      </c>
      <c r="G69" s="3" t="s">
        <v>389</v>
      </c>
      <c r="H69" s="4" t="s">
        <v>62</v>
      </c>
      <c r="I69" s="5"/>
      <c r="J69" s="5" t="s">
        <v>64</v>
      </c>
      <c r="K69" s="5"/>
      <c r="L69" s="5"/>
      <c r="M69" s="5"/>
      <c r="N69" s="5"/>
      <c r="O69" s="5"/>
      <c r="P69" s="5"/>
      <c r="Q69" s="5"/>
      <c r="R69" s="5"/>
      <c r="S69" s="5"/>
      <c r="T69" s="5"/>
      <c r="U69" s="5"/>
      <c r="V69" s="5"/>
      <c r="W69" s="5"/>
      <c r="X69" s="5"/>
      <c r="Y69" s="5"/>
      <c r="Z69" s="5"/>
      <c r="AA69" s="5"/>
      <c r="AB69" s="5" t="str">
        <f>IFERROR(IF(VLOOKUP(D69,Revistas!$A$21:$C$400,3,FALSE)=0,"",VLOOKUP(D69,Revistas!$A$21:$C$400,3,FALSE)),"")</f>
        <v/>
      </c>
      <c r="AC69" s="5"/>
      <c r="AD69" s="5"/>
      <c r="AE69" s="5"/>
    </row>
    <row r="70" ht="15.75" customHeight="1">
      <c r="A70" s="3" t="s">
        <v>390</v>
      </c>
      <c r="B70" s="3">
        <v>264.0</v>
      </c>
      <c r="C70" s="3" t="s">
        <v>391</v>
      </c>
      <c r="D70" s="3" t="s">
        <v>392</v>
      </c>
      <c r="E70" s="3" t="s">
        <v>59</v>
      </c>
      <c r="F70" s="3" t="s">
        <v>60</v>
      </c>
      <c r="G70" s="3" t="s">
        <v>393</v>
      </c>
      <c r="H70" s="4" t="s">
        <v>62</v>
      </c>
      <c r="I70" s="5"/>
      <c r="J70" s="5" t="s">
        <v>64</v>
      </c>
      <c r="K70" s="5"/>
      <c r="L70" s="5"/>
      <c r="M70" s="5"/>
      <c r="N70" s="5"/>
      <c r="O70" s="5"/>
      <c r="P70" s="5"/>
      <c r="Q70" s="5"/>
      <c r="R70" s="5"/>
      <c r="S70" s="5"/>
      <c r="T70" s="5"/>
      <c r="U70" s="5"/>
      <c r="V70" s="5"/>
      <c r="W70" s="5"/>
      <c r="X70" s="5"/>
      <c r="Y70" s="5"/>
      <c r="Z70" s="5"/>
      <c r="AA70" s="5"/>
      <c r="AB70" s="5" t="str">
        <f>IFERROR(IF(VLOOKUP(D70,Revistas!$A$21:$C$400,3,FALSE)=0,"",VLOOKUP(D70,Revistas!$A$21:$C$400,3,FALSE)),"")</f>
        <v/>
      </c>
      <c r="AC70" s="5"/>
      <c r="AD70" s="5"/>
      <c r="AE70" s="5"/>
    </row>
    <row r="71" ht="15.75" customHeight="1">
      <c r="A71" s="3" t="s">
        <v>394</v>
      </c>
      <c r="B71" s="3">
        <v>274.0</v>
      </c>
      <c r="C71" s="3" t="s">
        <v>395</v>
      </c>
      <c r="D71" s="3" t="s">
        <v>396</v>
      </c>
      <c r="E71" s="3" t="s">
        <v>80</v>
      </c>
      <c r="F71" s="3" t="s">
        <v>60</v>
      </c>
      <c r="G71" s="3" t="s">
        <v>397</v>
      </c>
      <c r="H71" s="4" t="s">
        <v>62</v>
      </c>
      <c r="I71" s="5"/>
      <c r="J71" s="5" t="s">
        <v>64</v>
      </c>
      <c r="K71" s="5"/>
      <c r="L71" s="5"/>
      <c r="M71" s="5"/>
      <c r="N71" s="5"/>
      <c r="O71" s="5"/>
      <c r="P71" s="5"/>
      <c r="Q71" s="5"/>
      <c r="R71" s="5"/>
      <c r="S71" s="5"/>
      <c r="T71" s="5"/>
      <c r="U71" s="5"/>
      <c r="V71" s="5"/>
      <c r="W71" s="5"/>
      <c r="X71" s="5"/>
      <c r="Y71" s="5"/>
      <c r="Z71" s="5"/>
      <c r="AA71" s="5"/>
      <c r="AB71" s="5" t="str">
        <f>IFERROR(IF(VLOOKUP(D71,Revistas!$A$21:$C$400,3,FALSE)=0,"",VLOOKUP(D71,Revistas!$A$21:$C$400,3,FALSE)),"")</f>
        <v>alto</v>
      </c>
      <c r="AC71" s="5"/>
      <c r="AD71" s="5"/>
      <c r="AE71" s="5"/>
    </row>
    <row r="72" ht="15.75" customHeight="1">
      <c r="A72" s="3" t="s">
        <v>398</v>
      </c>
      <c r="B72" s="3">
        <v>278.0</v>
      </c>
      <c r="C72" s="3" t="s">
        <v>399</v>
      </c>
      <c r="D72" s="3" t="s">
        <v>312</v>
      </c>
      <c r="E72" s="3" t="s">
        <v>132</v>
      </c>
      <c r="F72" s="3" t="s">
        <v>60</v>
      </c>
      <c r="G72" s="3" t="s">
        <v>400</v>
      </c>
      <c r="H72" s="4" t="s">
        <v>62</v>
      </c>
      <c r="I72" s="5"/>
      <c r="J72" s="5" t="s">
        <v>64</v>
      </c>
      <c r="K72" s="5"/>
      <c r="L72" s="5"/>
      <c r="M72" s="5"/>
      <c r="N72" s="5"/>
      <c r="O72" s="5"/>
      <c r="P72" s="5"/>
      <c r="Q72" s="5"/>
      <c r="R72" s="5"/>
      <c r="S72" s="5"/>
      <c r="T72" s="5"/>
      <c r="U72" s="5"/>
      <c r="V72" s="5"/>
      <c r="W72" s="5"/>
      <c r="X72" s="5"/>
      <c r="Y72" s="5"/>
      <c r="Z72" s="5"/>
      <c r="AA72" s="5"/>
      <c r="AB72" s="5" t="str">
        <f>IFERROR(IF(VLOOKUP(D72,Revistas!$A$21:$C$400,3,FALSE)=0,"",VLOOKUP(D72,Revistas!$A$21:$C$400,3,FALSE)),"")</f>
        <v>medio</v>
      </c>
      <c r="AC72" s="5"/>
      <c r="AD72" s="5"/>
      <c r="AE72" s="5"/>
    </row>
    <row r="73" ht="15.75" customHeight="1">
      <c r="A73" s="3" t="s">
        <v>401</v>
      </c>
      <c r="B73" s="3">
        <v>288.0</v>
      </c>
      <c r="C73" s="3" t="s">
        <v>402</v>
      </c>
      <c r="D73" s="3" t="s">
        <v>403</v>
      </c>
      <c r="E73" s="3" t="s">
        <v>111</v>
      </c>
      <c r="F73" s="3" t="s">
        <v>404</v>
      </c>
      <c r="G73" s="3" t="s">
        <v>405</v>
      </c>
      <c r="H73" s="4" t="s">
        <v>62</v>
      </c>
      <c r="I73" s="5"/>
      <c r="J73" s="5" t="s">
        <v>64</v>
      </c>
      <c r="K73" s="5"/>
      <c r="L73" s="5"/>
      <c r="M73" s="5"/>
      <c r="N73" s="5"/>
      <c r="O73" s="5"/>
      <c r="P73" s="5"/>
      <c r="Q73" s="5"/>
      <c r="R73" s="5"/>
      <c r="S73" s="5"/>
      <c r="T73" s="5"/>
      <c r="U73" s="5"/>
      <c r="V73" s="5"/>
      <c r="W73" s="5"/>
      <c r="X73" s="5"/>
      <c r="Y73" s="5"/>
      <c r="Z73" s="5"/>
      <c r="AA73" s="5"/>
      <c r="AB73" s="5" t="str">
        <f>IFERROR(IF(VLOOKUP(D73,Revistas!$A$21:$C$400,3,FALSE)=0,"",VLOOKUP(D73,Revistas!$A$21:$C$400,3,FALSE)),"")</f>
        <v/>
      </c>
      <c r="AC73" s="5"/>
      <c r="AD73" s="5"/>
      <c r="AE73" s="5"/>
    </row>
    <row r="74" ht="15.75" customHeight="1">
      <c r="A74" s="3" t="s">
        <v>406</v>
      </c>
      <c r="B74" s="3">
        <v>295.0</v>
      </c>
      <c r="C74" s="3" t="s">
        <v>407</v>
      </c>
      <c r="D74" s="3" t="s">
        <v>408</v>
      </c>
      <c r="E74" s="3" t="s">
        <v>111</v>
      </c>
      <c r="F74" s="3" t="s">
        <v>60</v>
      </c>
      <c r="G74" s="3" t="s">
        <v>409</v>
      </c>
      <c r="H74" s="4" t="s">
        <v>62</v>
      </c>
      <c r="I74" s="5"/>
      <c r="J74" s="5" t="s">
        <v>64</v>
      </c>
      <c r="K74" s="5"/>
      <c r="L74" s="5"/>
      <c r="M74" s="5"/>
      <c r="N74" s="5"/>
      <c r="O74" s="5"/>
      <c r="P74" s="5"/>
      <c r="Q74" s="5"/>
      <c r="R74" s="5"/>
      <c r="S74" s="5"/>
      <c r="T74" s="5"/>
      <c r="U74" s="5"/>
      <c r="V74" s="5"/>
      <c r="W74" s="5"/>
      <c r="X74" s="5"/>
      <c r="Y74" s="5"/>
      <c r="Z74" s="5"/>
      <c r="AA74" s="5"/>
      <c r="AB74" s="5" t="str">
        <f>IFERROR(IF(VLOOKUP(D74,Revistas!$A$21:$C$400,3,FALSE)=0,"",VLOOKUP(D74,Revistas!$A$21:$C$400,3,FALSE)),"")</f>
        <v/>
      </c>
      <c r="AC74" s="5"/>
      <c r="AD74" s="5"/>
      <c r="AE74" s="5"/>
    </row>
    <row r="75" ht="15.75" customHeight="1">
      <c r="A75" s="3" t="s">
        <v>410</v>
      </c>
      <c r="B75" s="3">
        <v>321.0</v>
      </c>
      <c r="C75" s="3" t="s">
        <v>411</v>
      </c>
      <c r="D75" s="3" t="s">
        <v>412</v>
      </c>
      <c r="E75" s="3" t="s">
        <v>266</v>
      </c>
      <c r="F75" s="3" t="s">
        <v>60</v>
      </c>
      <c r="G75" s="3" t="s">
        <v>413</v>
      </c>
      <c r="H75" s="4" t="s">
        <v>62</v>
      </c>
      <c r="I75" s="5"/>
      <c r="J75" s="5" t="s">
        <v>64</v>
      </c>
      <c r="K75" s="5"/>
      <c r="L75" s="5"/>
      <c r="M75" s="5"/>
      <c r="N75" s="5"/>
      <c r="O75" s="5"/>
      <c r="P75" s="5"/>
      <c r="Q75" s="5"/>
      <c r="R75" s="5"/>
      <c r="S75" s="5"/>
      <c r="T75" s="5"/>
      <c r="U75" s="5"/>
      <c r="V75" s="5"/>
      <c r="W75" s="5"/>
      <c r="X75" s="5"/>
      <c r="Y75" s="5"/>
      <c r="Z75" s="5"/>
      <c r="AA75" s="5"/>
      <c r="AB75" s="5" t="str">
        <f>IFERROR(IF(VLOOKUP(D75,Revistas!$A$21:$C$400,3,FALSE)=0,"",VLOOKUP(D75,Revistas!$A$21:$C$400,3,FALSE)),"")</f>
        <v/>
      </c>
      <c r="AC75" s="5"/>
      <c r="AD75" s="5"/>
      <c r="AE75" s="5"/>
    </row>
    <row r="76" ht="15.75" customHeight="1">
      <c r="A76" s="3" t="s">
        <v>414</v>
      </c>
      <c r="B76" s="3">
        <v>324.0</v>
      </c>
      <c r="C76" s="3" t="s">
        <v>415</v>
      </c>
      <c r="D76" s="3" t="s">
        <v>416</v>
      </c>
      <c r="E76" s="3" t="s">
        <v>266</v>
      </c>
      <c r="F76" s="3" t="s">
        <v>60</v>
      </c>
      <c r="G76" s="3" t="s">
        <v>417</v>
      </c>
      <c r="H76" s="4" t="s">
        <v>62</v>
      </c>
      <c r="I76" s="5"/>
      <c r="J76" s="5" t="s">
        <v>64</v>
      </c>
      <c r="K76" s="5"/>
      <c r="L76" s="5"/>
      <c r="M76" s="5"/>
      <c r="N76" s="5"/>
      <c r="O76" s="5"/>
      <c r="P76" s="5"/>
      <c r="Q76" s="5"/>
      <c r="R76" s="5"/>
      <c r="S76" s="5"/>
      <c r="T76" s="5"/>
      <c r="U76" s="5"/>
      <c r="V76" s="5"/>
      <c r="W76" s="5"/>
      <c r="X76" s="5"/>
      <c r="Y76" s="5"/>
      <c r="Z76" s="5"/>
      <c r="AA76" s="5"/>
      <c r="AB76" s="5" t="str">
        <f>IFERROR(IF(VLOOKUP(D76,Revistas!$A$21:$C$400,3,FALSE)=0,"",VLOOKUP(D76,Revistas!$A$21:$C$400,3,FALSE)),"")</f>
        <v/>
      </c>
      <c r="AC76" s="5"/>
      <c r="AD76" s="5"/>
      <c r="AE76" s="5"/>
    </row>
    <row r="77" ht="15.75" customHeight="1">
      <c r="A77" s="3" t="s">
        <v>418</v>
      </c>
      <c r="B77" s="3">
        <v>336.0</v>
      </c>
      <c r="C77" s="3" t="s">
        <v>419</v>
      </c>
      <c r="D77" s="3" t="s">
        <v>131</v>
      </c>
      <c r="E77" s="3" t="s">
        <v>59</v>
      </c>
      <c r="F77" s="3" t="s">
        <v>60</v>
      </c>
      <c r="G77" s="3" t="s">
        <v>420</v>
      </c>
      <c r="H77" s="4" t="s">
        <v>62</v>
      </c>
      <c r="I77" s="5"/>
      <c r="J77" s="5" t="s">
        <v>64</v>
      </c>
      <c r="K77" s="5"/>
      <c r="L77" s="5"/>
      <c r="M77" s="5"/>
      <c r="N77" s="5"/>
      <c r="O77" s="5"/>
      <c r="P77" s="5"/>
      <c r="Q77" s="5"/>
      <c r="R77" s="5"/>
      <c r="S77" s="5"/>
      <c r="T77" s="5"/>
      <c r="U77" s="5"/>
      <c r="V77" s="5"/>
      <c r="W77" s="5"/>
      <c r="X77" s="5"/>
      <c r="Y77" s="5"/>
      <c r="Z77" s="5"/>
      <c r="AA77" s="5"/>
      <c r="AB77" s="5" t="str">
        <f>IFERROR(IF(VLOOKUP(D77,Revistas!$A$21:$C$400,3,FALSE)=0,"",VLOOKUP(D77,Revistas!$A$21:$C$400,3,FALSE)),"")</f>
        <v>medio</v>
      </c>
      <c r="AC77" s="5"/>
      <c r="AD77" s="5"/>
      <c r="AE77" s="5"/>
    </row>
    <row r="78" ht="15.75" customHeight="1">
      <c r="A78" s="3" t="s">
        <v>421</v>
      </c>
      <c r="B78" s="3">
        <v>359.0</v>
      </c>
      <c r="C78" s="3" t="s">
        <v>422</v>
      </c>
      <c r="D78" s="3" t="s">
        <v>423</v>
      </c>
      <c r="E78" s="3" t="s">
        <v>80</v>
      </c>
      <c r="F78" s="3" t="s">
        <v>60</v>
      </c>
      <c r="G78" s="3" t="s">
        <v>424</v>
      </c>
      <c r="H78" s="4" t="s">
        <v>62</v>
      </c>
      <c r="I78" s="5"/>
      <c r="J78" s="5" t="s">
        <v>64</v>
      </c>
      <c r="K78" s="5"/>
      <c r="L78" s="5"/>
      <c r="M78" s="5"/>
      <c r="N78" s="5"/>
      <c r="O78" s="5"/>
      <c r="P78" s="5"/>
      <c r="Q78" s="5"/>
      <c r="R78" s="5"/>
      <c r="S78" s="5"/>
      <c r="T78" s="5"/>
      <c r="U78" s="5"/>
      <c r="V78" s="5"/>
      <c r="W78" s="5"/>
      <c r="X78" s="5"/>
      <c r="Y78" s="5"/>
      <c r="Z78" s="5"/>
      <c r="AA78" s="5"/>
      <c r="AB78" s="5" t="str">
        <f>IFERROR(IF(VLOOKUP(D78,Revistas!$A$21:$C$400,3,FALSE)=0,"",VLOOKUP(D78,Revistas!$A$21:$C$400,3,FALSE)),"")</f>
        <v>medio</v>
      </c>
      <c r="AC78" s="5"/>
      <c r="AD78" s="5"/>
      <c r="AE78" s="5"/>
    </row>
    <row r="79" ht="15.75" customHeight="1">
      <c r="A79" s="3" t="s">
        <v>425</v>
      </c>
      <c r="B79" s="3">
        <v>361.0</v>
      </c>
      <c r="C79" s="3" t="s">
        <v>426</v>
      </c>
      <c r="D79" s="3" t="s">
        <v>427</v>
      </c>
      <c r="E79" s="3" t="s">
        <v>80</v>
      </c>
      <c r="F79" s="3" t="s">
        <v>60</v>
      </c>
      <c r="G79" s="3" t="s">
        <v>428</v>
      </c>
      <c r="H79" s="4" t="s">
        <v>62</v>
      </c>
      <c r="I79" s="5"/>
      <c r="J79" s="5" t="s">
        <v>64</v>
      </c>
      <c r="K79" s="5"/>
      <c r="L79" s="5"/>
      <c r="M79" s="5"/>
      <c r="N79" s="5"/>
      <c r="O79" s="5"/>
      <c r="P79" s="5"/>
      <c r="Q79" s="5"/>
      <c r="R79" s="5"/>
      <c r="S79" s="5"/>
      <c r="T79" s="5"/>
      <c r="U79" s="5"/>
      <c r="V79" s="5"/>
      <c r="W79" s="5"/>
      <c r="X79" s="5"/>
      <c r="Y79" s="5"/>
      <c r="Z79" s="5"/>
      <c r="AA79" s="5"/>
      <c r="AB79" s="5" t="str">
        <f>IFERROR(IF(VLOOKUP(D79,Revistas!$A$21:$C$400,3,FALSE)=0,"",VLOOKUP(D79,Revistas!$A$21:$C$400,3,FALSE)),"")</f>
        <v/>
      </c>
      <c r="AC79" s="5"/>
      <c r="AD79" s="5"/>
      <c r="AE79" s="5"/>
    </row>
    <row r="80" ht="15.75" customHeight="1">
      <c r="A80" s="3" t="s">
        <v>429</v>
      </c>
      <c r="B80" s="3">
        <v>373.0</v>
      </c>
      <c r="C80" s="3" t="s">
        <v>430</v>
      </c>
      <c r="D80" s="3" t="s">
        <v>431</v>
      </c>
      <c r="E80" s="3" t="s">
        <v>132</v>
      </c>
      <c r="F80" s="3" t="s">
        <v>60</v>
      </c>
      <c r="G80" s="3" t="s">
        <v>432</v>
      </c>
      <c r="H80" s="4" t="s">
        <v>62</v>
      </c>
      <c r="I80" s="5"/>
      <c r="J80" s="5" t="s">
        <v>64</v>
      </c>
      <c r="K80" s="5"/>
      <c r="L80" s="5"/>
      <c r="M80" s="5"/>
      <c r="N80" s="5"/>
      <c r="O80" s="5"/>
      <c r="P80" s="5"/>
      <c r="Q80" s="5"/>
      <c r="R80" s="5"/>
      <c r="S80" s="5"/>
      <c r="T80" s="5"/>
      <c r="U80" s="5"/>
      <c r="V80" s="5"/>
      <c r="W80" s="5"/>
      <c r="X80" s="5"/>
      <c r="Y80" s="5"/>
      <c r="Z80" s="5"/>
      <c r="AA80" s="5"/>
      <c r="AB80" s="5" t="str">
        <f>IFERROR(IF(VLOOKUP(D80,Revistas!$A$21:$C$400,3,FALSE)=0,"",VLOOKUP(D80,Revistas!$A$21:$C$400,3,FALSE)),"")</f>
        <v/>
      </c>
      <c r="AC80" s="5"/>
      <c r="AD80" s="5"/>
      <c r="AE80" s="5"/>
    </row>
    <row r="81" ht="15.75" customHeight="1">
      <c r="A81" s="3" t="s">
        <v>433</v>
      </c>
      <c r="B81" s="3">
        <v>375.0</v>
      </c>
      <c r="C81" s="3" t="s">
        <v>434</v>
      </c>
      <c r="D81" s="3" t="s">
        <v>435</v>
      </c>
      <c r="E81" s="3" t="s">
        <v>132</v>
      </c>
      <c r="F81" s="3" t="s">
        <v>60</v>
      </c>
      <c r="G81" s="3" t="s">
        <v>436</v>
      </c>
      <c r="H81" s="4" t="s">
        <v>62</v>
      </c>
      <c r="I81" s="5"/>
      <c r="J81" s="5" t="s">
        <v>64</v>
      </c>
      <c r="K81" s="5"/>
      <c r="L81" s="5"/>
      <c r="M81" s="5"/>
      <c r="N81" s="5"/>
      <c r="O81" s="5"/>
      <c r="P81" s="5"/>
      <c r="Q81" s="5"/>
      <c r="R81" s="5"/>
      <c r="S81" s="5"/>
      <c r="T81" s="5"/>
      <c r="U81" s="5"/>
      <c r="V81" s="5"/>
      <c r="W81" s="5"/>
      <c r="X81" s="5"/>
      <c r="Y81" s="5"/>
      <c r="Z81" s="5"/>
      <c r="AA81" s="5"/>
      <c r="AB81" s="5" t="str">
        <f>IFERROR(IF(VLOOKUP(D81,Revistas!$A$21:$C$400,3,FALSE)=0,"",VLOOKUP(D81,Revistas!$A$21:$C$400,3,FALSE)),"")</f>
        <v/>
      </c>
      <c r="AC81" s="5"/>
      <c r="AD81" s="5"/>
      <c r="AE81" s="5"/>
    </row>
    <row r="82" ht="15.75" customHeight="1">
      <c r="A82" s="3" t="s">
        <v>437</v>
      </c>
      <c r="B82" s="3">
        <v>386.0</v>
      </c>
      <c r="C82" s="3" t="s">
        <v>438</v>
      </c>
      <c r="D82" s="3" t="s">
        <v>439</v>
      </c>
      <c r="E82" s="3" t="s">
        <v>111</v>
      </c>
      <c r="F82" s="3" t="s">
        <v>60</v>
      </c>
      <c r="G82" s="3" t="s">
        <v>440</v>
      </c>
      <c r="H82" s="4" t="s">
        <v>62</v>
      </c>
      <c r="I82" s="5"/>
      <c r="J82" s="5" t="s">
        <v>64</v>
      </c>
      <c r="K82" s="5"/>
      <c r="L82" s="5"/>
      <c r="M82" s="5"/>
      <c r="N82" s="5"/>
      <c r="O82" s="5"/>
      <c r="P82" s="5"/>
      <c r="Q82" s="5"/>
      <c r="R82" s="5"/>
      <c r="S82" s="5"/>
      <c r="T82" s="5"/>
      <c r="U82" s="5"/>
      <c r="V82" s="5"/>
      <c r="W82" s="5"/>
      <c r="X82" s="5"/>
      <c r="Y82" s="5"/>
      <c r="Z82" s="5"/>
      <c r="AA82" s="5"/>
      <c r="AB82" s="5" t="str">
        <f>IFERROR(IF(VLOOKUP(D82,Revistas!$A$21:$C$400,3,FALSE)=0,"",VLOOKUP(D82,Revistas!$A$21:$C$400,3,FALSE)),"")</f>
        <v/>
      </c>
      <c r="AC82" s="5"/>
      <c r="AD82" s="5"/>
      <c r="AE82" s="5"/>
    </row>
    <row r="83" ht="15.75" customHeight="1">
      <c r="A83" s="3" t="s">
        <v>441</v>
      </c>
      <c r="B83" s="3">
        <v>387.0</v>
      </c>
      <c r="C83" s="3" t="s">
        <v>442</v>
      </c>
      <c r="D83" s="3" t="s">
        <v>443</v>
      </c>
      <c r="E83" s="3" t="s">
        <v>111</v>
      </c>
      <c r="F83" s="3" t="s">
        <v>60</v>
      </c>
      <c r="G83" s="3" t="s">
        <v>444</v>
      </c>
      <c r="H83" s="4" t="s">
        <v>62</v>
      </c>
      <c r="I83" s="5"/>
      <c r="J83" s="5" t="s">
        <v>64</v>
      </c>
      <c r="K83" s="5"/>
      <c r="L83" s="5"/>
      <c r="M83" s="5"/>
      <c r="N83" s="5"/>
      <c r="O83" s="5"/>
      <c r="P83" s="5"/>
      <c r="Q83" s="5"/>
      <c r="R83" s="5"/>
      <c r="S83" s="5"/>
      <c r="T83" s="5"/>
      <c r="U83" s="5"/>
      <c r="V83" s="5"/>
      <c r="W83" s="5"/>
      <c r="X83" s="5"/>
      <c r="Y83" s="5"/>
      <c r="Z83" s="5"/>
      <c r="AA83" s="5"/>
      <c r="AB83" s="5" t="str">
        <f>IFERROR(IF(VLOOKUP(D83,Revistas!$A$21:$C$400,3,FALSE)=0,"",VLOOKUP(D83,Revistas!$A$21:$C$400,3,FALSE)),"")</f>
        <v/>
      </c>
      <c r="AC83" s="5"/>
      <c r="AD83" s="5"/>
      <c r="AE83" s="5"/>
    </row>
    <row r="84" ht="15.75" customHeight="1">
      <c r="A84" s="3" t="s">
        <v>445</v>
      </c>
      <c r="B84" s="3">
        <v>399.0</v>
      </c>
      <c r="C84" s="3" t="s">
        <v>446</v>
      </c>
      <c r="D84" s="3" t="s">
        <v>447</v>
      </c>
      <c r="E84" s="3" t="s">
        <v>111</v>
      </c>
      <c r="F84" s="3" t="s">
        <v>60</v>
      </c>
      <c r="G84" s="3" t="s">
        <v>448</v>
      </c>
      <c r="H84" s="4" t="s">
        <v>62</v>
      </c>
      <c r="I84" s="5"/>
      <c r="J84" s="5" t="s">
        <v>64</v>
      </c>
      <c r="K84" s="5"/>
      <c r="L84" s="5"/>
      <c r="M84" s="5"/>
      <c r="N84" s="5"/>
      <c r="O84" s="5"/>
      <c r="P84" s="5"/>
      <c r="Q84" s="5"/>
      <c r="R84" s="5"/>
      <c r="S84" s="5"/>
      <c r="T84" s="5"/>
      <c r="U84" s="5"/>
      <c r="V84" s="5"/>
      <c r="W84" s="5"/>
      <c r="X84" s="5"/>
      <c r="Y84" s="5"/>
      <c r="Z84" s="5"/>
      <c r="AA84" s="5"/>
      <c r="AB84" s="5" t="str">
        <f>IFERROR(IF(VLOOKUP(D84,Revistas!$A$21:$C$400,3,FALSE)=0,"",VLOOKUP(D84,Revistas!$A$21:$C$400,3,FALSE)),"")</f>
        <v/>
      </c>
      <c r="AC84" s="5"/>
      <c r="AD84" s="5"/>
      <c r="AE84" s="5"/>
    </row>
    <row r="85" ht="15.75" customHeight="1">
      <c r="A85" s="3" t="s">
        <v>449</v>
      </c>
      <c r="B85" s="3">
        <v>414.0</v>
      </c>
      <c r="C85" s="3" t="s">
        <v>450</v>
      </c>
      <c r="D85" s="3" t="s">
        <v>199</v>
      </c>
      <c r="E85" s="3" t="s">
        <v>142</v>
      </c>
      <c r="F85" s="3" t="s">
        <v>60</v>
      </c>
      <c r="G85" s="3" t="s">
        <v>451</v>
      </c>
      <c r="H85" s="4" t="s">
        <v>62</v>
      </c>
      <c r="I85" s="5"/>
      <c r="J85" s="5" t="s">
        <v>64</v>
      </c>
      <c r="K85" s="5"/>
      <c r="L85" s="5"/>
      <c r="M85" s="5"/>
      <c r="N85" s="5"/>
      <c r="O85" s="5"/>
      <c r="P85" s="5"/>
      <c r="Q85" s="5"/>
      <c r="R85" s="5"/>
      <c r="S85" s="5"/>
      <c r="T85" s="5"/>
      <c r="U85" s="5"/>
      <c r="V85" s="5"/>
      <c r="W85" s="5"/>
      <c r="X85" s="5"/>
      <c r="Y85" s="5"/>
      <c r="Z85" s="5"/>
      <c r="AA85" s="5"/>
      <c r="AB85" s="5" t="str">
        <f>IFERROR(IF(VLOOKUP(D85,Revistas!$A$21:$C$400,3,FALSE)=0,"",VLOOKUP(D85,Revistas!$A$21:$C$400,3,FALSE)),"")</f>
        <v/>
      </c>
      <c r="AC85" s="5"/>
      <c r="AD85" s="5"/>
      <c r="AE85" s="5"/>
    </row>
    <row r="86" ht="15.75" customHeight="1">
      <c r="A86" s="3" t="s">
        <v>452</v>
      </c>
      <c r="B86" s="3">
        <v>418.0</v>
      </c>
      <c r="C86" s="3" t="s">
        <v>453</v>
      </c>
      <c r="D86" s="3" t="s">
        <v>156</v>
      </c>
      <c r="E86" s="3" t="s">
        <v>142</v>
      </c>
      <c r="F86" s="3" t="s">
        <v>60</v>
      </c>
      <c r="G86" s="3" t="s">
        <v>454</v>
      </c>
      <c r="H86" s="4" t="s">
        <v>62</v>
      </c>
      <c r="I86" s="5"/>
      <c r="J86" s="5" t="s">
        <v>64</v>
      </c>
      <c r="K86" s="5"/>
      <c r="L86" s="5"/>
      <c r="M86" s="5"/>
      <c r="N86" s="5"/>
      <c r="O86" s="5"/>
      <c r="P86" s="5"/>
      <c r="Q86" s="5"/>
      <c r="R86" s="5"/>
      <c r="S86" s="5"/>
      <c r="T86" s="5"/>
      <c r="U86" s="5"/>
      <c r="V86" s="5"/>
      <c r="W86" s="5"/>
      <c r="X86" s="5"/>
      <c r="Y86" s="5"/>
      <c r="Z86" s="5"/>
      <c r="AA86" s="5"/>
      <c r="AB86" s="5" t="str">
        <f>IFERROR(IF(VLOOKUP(D86,Revistas!$A$21:$C$400,3,FALSE)=0,"",VLOOKUP(D86,Revistas!$A$21:$C$400,3,FALSE)),"")</f>
        <v/>
      </c>
      <c r="AC86" s="5"/>
      <c r="AD86" s="5"/>
      <c r="AE86" s="5"/>
    </row>
    <row r="87" ht="15.75" customHeight="1">
      <c r="A87" s="3" t="s">
        <v>455</v>
      </c>
      <c r="B87" s="3">
        <v>436.0</v>
      </c>
      <c r="C87" s="3" t="s">
        <v>456</v>
      </c>
      <c r="D87" s="3" t="s">
        <v>457</v>
      </c>
      <c r="E87" s="3" t="s">
        <v>59</v>
      </c>
      <c r="F87" s="3" t="s">
        <v>60</v>
      </c>
      <c r="G87" s="3" t="s">
        <v>458</v>
      </c>
      <c r="H87" s="4" t="s">
        <v>62</v>
      </c>
      <c r="I87" s="5"/>
      <c r="J87" s="5" t="s">
        <v>64</v>
      </c>
      <c r="K87" s="5"/>
      <c r="L87" s="5"/>
      <c r="M87" s="5"/>
      <c r="N87" s="5"/>
      <c r="O87" s="5"/>
      <c r="P87" s="5"/>
      <c r="Q87" s="5"/>
      <c r="R87" s="5"/>
      <c r="S87" s="5"/>
      <c r="T87" s="5"/>
      <c r="U87" s="5"/>
      <c r="V87" s="5"/>
      <c r="W87" s="5"/>
      <c r="X87" s="5"/>
      <c r="Y87" s="5"/>
      <c r="Z87" s="5"/>
      <c r="AA87" s="5"/>
      <c r="AB87" s="5" t="str">
        <f>IFERROR(IF(VLOOKUP(D87,Revistas!$A$21:$C$400,3,FALSE)=0,"",VLOOKUP(D87,Revistas!$A$21:$C$400,3,FALSE)),"")</f>
        <v>medio</v>
      </c>
      <c r="AC87" s="5"/>
      <c r="AD87" s="5"/>
      <c r="AE87" s="5"/>
    </row>
    <row r="88" ht="15.75" customHeight="1">
      <c r="A88" s="3" t="s">
        <v>459</v>
      </c>
      <c r="B88" s="3">
        <v>443.0</v>
      </c>
      <c r="C88" s="3" t="s">
        <v>460</v>
      </c>
      <c r="D88" s="3" t="s">
        <v>281</v>
      </c>
      <c r="E88" s="3" t="s">
        <v>59</v>
      </c>
      <c r="F88" s="3" t="s">
        <v>60</v>
      </c>
      <c r="G88" s="3" t="s">
        <v>461</v>
      </c>
      <c r="H88" s="4" t="s">
        <v>62</v>
      </c>
      <c r="I88" s="5"/>
      <c r="J88" s="5" t="s">
        <v>64</v>
      </c>
      <c r="K88" s="5"/>
      <c r="L88" s="5"/>
      <c r="M88" s="5"/>
      <c r="N88" s="5"/>
      <c r="O88" s="5"/>
      <c r="P88" s="5"/>
      <c r="Q88" s="5"/>
      <c r="R88" s="5"/>
      <c r="S88" s="5"/>
      <c r="T88" s="5"/>
      <c r="U88" s="5"/>
      <c r="V88" s="5"/>
      <c r="W88" s="5"/>
      <c r="X88" s="5"/>
      <c r="Y88" s="5"/>
      <c r="Z88" s="5"/>
      <c r="AA88" s="5"/>
      <c r="AB88" s="5" t="str">
        <f>IFERROR(IF(VLOOKUP(D88,Revistas!$A$21:$C$400,3,FALSE)=0,"",VLOOKUP(D88,Revistas!$A$21:$C$400,3,FALSE)),"")</f>
        <v>medio</v>
      </c>
      <c r="AC88" s="5"/>
      <c r="AD88" s="5"/>
      <c r="AE88" s="5"/>
    </row>
    <row r="89" ht="15.75" customHeight="1">
      <c r="A89" s="3" t="s">
        <v>462</v>
      </c>
      <c r="B89" s="3">
        <v>451.0</v>
      </c>
      <c r="C89" s="3" t="s">
        <v>463</v>
      </c>
      <c r="D89" s="3" t="s">
        <v>464</v>
      </c>
      <c r="E89" s="3" t="s">
        <v>157</v>
      </c>
      <c r="F89" s="3" t="s">
        <v>60</v>
      </c>
      <c r="G89" s="3" t="s">
        <v>465</v>
      </c>
      <c r="H89" s="4" t="s">
        <v>62</v>
      </c>
      <c r="I89" s="5"/>
      <c r="J89" s="5" t="s">
        <v>64</v>
      </c>
      <c r="K89" s="5"/>
      <c r="L89" s="5"/>
      <c r="M89" s="5"/>
      <c r="N89" s="5"/>
      <c r="O89" s="5"/>
      <c r="P89" s="5"/>
      <c r="Q89" s="5"/>
      <c r="R89" s="5"/>
      <c r="S89" s="5"/>
      <c r="T89" s="5"/>
      <c r="U89" s="5"/>
      <c r="V89" s="5"/>
      <c r="W89" s="5"/>
      <c r="X89" s="5"/>
      <c r="Y89" s="5"/>
      <c r="Z89" s="5"/>
      <c r="AA89" s="5"/>
      <c r="AB89" s="5" t="str">
        <f>IFERROR(IF(VLOOKUP(D89,Revistas!$A$21:$C$400,3,FALSE)=0,"",VLOOKUP(D89,Revistas!$A$21:$C$400,3,FALSE)),"")</f>
        <v/>
      </c>
      <c r="AC89" s="5"/>
      <c r="AD89" s="5"/>
      <c r="AE89" s="5"/>
    </row>
    <row r="90" ht="15.75" customHeight="1">
      <c r="A90" s="3" t="s">
        <v>466</v>
      </c>
      <c r="B90" s="3">
        <v>479.0</v>
      </c>
      <c r="C90" s="3" t="s">
        <v>467</v>
      </c>
      <c r="D90" s="3" t="s">
        <v>303</v>
      </c>
      <c r="E90" s="3" t="s">
        <v>132</v>
      </c>
      <c r="F90" s="3" t="s">
        <v>60</v>
      </c>
      <c r="G90" s="3" t="s">
        <v>468</v>
      </c>
      <c r="H90" s="4" t="s">
        <v>62</v>
      </c>
      <c r="I90" s="5"/>
      <c r="J90" s="5" t="s">
        <v>64</v>
      </c>
      <c r="K90" s="5"/>
      <c r="L90" s="5"/>
      <c r="M90" s="5"/>
      <c r="N90" s="5"/>
      <c r="O90" s="5"/>
      <c r="P90" s="5"/>
      <c r="Q90" s="5"/>
      <c r="R90" s="5"/>
      <c r="S90" s="5"/>
      <c r="T90" s="5"/>
      <c r="U90" s="5"/>
      <c r="V90" s="5"/>
      <c r="W90" s="5"/>
      <c r="X90" s="5"/>
      <c r="Y90" s="5"/>
      <c r="Z90" s="5"/>
      <c r="AA90" s="5"/>
      <c r="AB90" s="5" t="str">
        <f>IFERROR(IF(VLOOKUP(D90,Revistas!$A$21:$C$400,3,FALSE)=0,"",VLOOKUP(D90,Revistas!$A$21:$C$400,3,FALSE)),"")</f>
        <v/>
      </c>
      <c r="AC90" s="5"/>
      <c r="AD90" s="5"/>
      <c r="AE90" s="5"/>
    </row>
    <row r="91" ht="15.75" customHeight="1">
      <c r="A91" s="3" t="s">
        <v>469</v>
      </c>
      <c r="B91" s="3">
        <v>498.0</v>
      </c>
      <c r="C91" s="3" t="s">
        <v>470</v>
      </c>
      <c r="D91" s="3" t="s">
        <v>471</v>
      </c>
      <c r="E91" s="3" t="s">
        <v>111</v>
      </c>
      <c r="F91" s="3" t="s">
        <v>60</v>
      </c>
      <c r="G91" s="3" t="s">
        <v>472</v>
      </c>
      <c r="H91" s="4" t="s">
        <v>62</v>
      </c>
      <c r="I91" s="5"/>
      <c r="J91" s="5" t="s">
        <v>64</v>
      </c>
      <c r="K91" s="5"/>
      <c r="L91" s="5"/>
      <c r="M91" s="5"/>
      <c r="N91" s="5"/>
      <c r="O91" s="5"/>
      <c r="P91" s="5"/>
      <c r="Q91" s="5"/>
      <c r="R91" s="5"/>
      <c r="S91" s="5"/>
      <c r="T91" s="5"/>
      <c r="U91" s="5"/>
      <c r="V91" s="5"/>
      <c r="W91" s="5"/>
      <c r="X91" s="5"/>
      <c r="Y91" s="5"/>
      <c r="Z91" s="5"/>
      <c r="AA91" s="5"/>
      <c r="AB91" s="5" t="str">
        <f>IFERROR(IF(VLOOKUP(D91,Revistas!$A$21:$C$400,3,FALSE)=0,"",VLOOKUP(D91,Revistas!$A$21:$C$400,3,FALSE)),"")</f>
        <v/>
      </c>
      <c r="AC91" s="5"/>
      <c r="AD91" s="5"/>
      <c r="AE91" s="5"/>
    </row>
    <row r="92" ht="15.75" customHeight="1">
      <c r="A92" s="3" t="s">
        <v>473</v>
      </c>
      <c r="B92" s="3">
        <v>506.0</v>
      </c>
      <c r="C92" s="3" t="s">
        <v>474</v>
      </c>
      <c r="D92" s="3" t="s">
        <v>447</v>
      </c>
      <c r="E92" s="3" t="s">
        <v>142</v>
      </c>
      <c r="F92" s="3" t="s">
        <v>60</v>
      </c>
      <c r="G92" s="3" t="s">
        <v>475</v>
      </c>
      <c r="H92" s="4" t="s">
        <v>62</v>
      </c>
      <c r="I92" s="5"/>
      <c r="J92" s="5" t="s">
        <v>64</v>
      </c>
      <c r="K92" s="5"/>
      <c r="L92" s="5"/>
      <c r="M92" s="5"/>
      <c r="N92" s="5"/>
      <c r="O92" s="5"/>
      <c r="P92" s="5"/>
      <c r="Q92" s="5"/>
      <c r="R92" s="5"/>
      <c r="S92" s="5"/>
      <c r="T92" s="5"/>
      <c r="U92" s="5"/>
      <c r="V92" s="5"/>
      <c r="W92" s="5"/>
      <c r="X92" s="5"/>
      <c r="Y92" s="5"/>
      <c r="Z92" s="5"/>
      <c r="AA92" s="5"/>
      <c r="AB92" s="5" t="str">
        <f>IFERROR(IF(VLOOKUP(D92,Revistas!$A$21:$C$400,3,FALSE)=0,"",VLOOKUP(D92,Revistas!$A$21:$C$400,3,FALSE)),"")</f>
        <v/>
      </c>
      <c r="AC92" s="5"/>
      <c r="AD92" s="5"/>
      <c r="AE92" s="5"/>
    </row>
    <row r="93" ht="15.75" customHeight="1">
      <c r="A93" s="3" t="s">
        <v>476</v>
      </c>
      <c r="B93" s="3">
        <v>525.0</v>
      </c>
      <c r="C93" s="3" t="s">
        <v>477</v>
      </c>
      <c r="D93" s="3" t="s">
        <v>478</v>
      </c>
      <c r="E93" s="3" t="s">
        <v>257</v>
      </c>
      <c r="F93" s="3" t="s">
        <v>60</v>
      </c>
      <c r="G93" s="3" t="s">
        <v>479</v>
      </c>
      <c r="H93" s="4" t="s">
        <v>62</v>
      </c>
      <c r="I93" s="5"/>
      <c r="J93" s="5" t="s">
        <v>64</v>
      </c>
      <c r="K93" s="5"/>
      <c r="L93" s="5"/>
      <c r="M93" s="5"/>
      <c r="N93" s="5"/>
      <c r="O93" s="5"/>
      <c r="P93" s="5"/>
      <c r="Q93" s="5"/>
      <c r="R93" s="5"/>
      <c r="S93" s="5"/>
      <c r="T93" s="5"/>
      <c r="U93" s="5"/>
      <c r="V93" s="5"/>
      <c r="W93" s="5"/>
      <c r="X93" s="5"/>
      <c r="Y93" s="5"/>
      <c r="Z93" s="5"/>
      <c r="AA93" s="5"/>
      <c r="AB93" s="5" t="str">
        <f>IFERROR(IF(VLOOKUP(D93,Revistas!$A$21:$C$400,3,FALSE)=0,"",VLOOKUP(D93,Revistas!$A$21:$C$400,3,FALSE)),"")</f>
        <v>medio</v>
      </c>
      <c r="AC93" s="5"/>
      <c r="AD93" s="5"/>
      <c r="AE93" s="5"/>
    </row>
    <row r="94" ht="15.75" customHeight="1">
      <c r="A94" s="3" t="s">
        <v>480</v>
      </c>
      <c r="B94" s="3">
        <v>529.0</v>
      </c>
      <c r="C94" s="3" t="s">
        <v>481</v>
      </c>
      <c r="D94" s="3" t="s">
        <v>482</v>
      </c>
      <c r="E94" s="3" t="s">
        <v>257</v>
      </c>
      <c r="F94" s="3" t="s">
        <v>60</v>
      </c>
      <c r="G94" s="3" t="s">
        <v>483</v>
      </c>
      <c r="H94" s="4" t="s">
        <v>62</v>
      </c>
      <c r="I94" s="5"/>
      <c r="J94" s="5" t="s">
        <v>64</v>
      </c>
      <c r="K94" s="5"/>
      <c r="L94" s="5"/>
      <c r="M94" s="5"/>
      <c r="N94" s="5"/>
      <c r="O94" s="5"/>
      <c r="P94" s="5"/>
      <c r="Q94" s="5"/>
      <c r="R94" s="5"/>
      <c r="S94" s="5"/>
      <c r="T94" s="5"/>
      <c r="U94" s="5"/>
      <c r="V94" s="5"/>
      <c r="W94" s="5"/>
      <c r="X94" s="5"/>
      <c r="Y94" s="5"/>
      <c r="Z94" s="5"/>
      <c r="AA94" s="5"/>
      <c r="AB94" s="5" t="str">
        <f>IFERROR(IF(VLOOKUP(D94,Revistas!$A$21:$C$400,3,FALSE)=0,"",VLOOKUP(D94,Revistas!$A$21:$C$400,3,FALSE)),"")</f>
        <v>medio</v>
      </c>
      <c r="AC94" s="5"/>
      <c r="AD94" s="5"/>
      <c r="AE94" s="5"/>
    </row>
    <row r="95" ht="15.75" customHeight="1">
      <c r="A95" s="3" t="s">
        <v>484</v>
      </c>
      <c r="B95" s="3">
        <v>606.0</v>
      </c>
      <c r="C95" s="3" t="s">
        <v>485</v>
      </c>
      <c r="D95" s="3" t="s">
        <v>486</v>
      </c>
      <c r="E95" s="3" t="s">
        <v>132</v>
      </c>
      <c r="F95" s="3" t="s">
        <v>60</v>
      </c>
      <c r="G95" s="3" t="s">
        <v>487</v>
      </c>
      <c r="H95" s="4" t="s">
        <v>62</v>
      </c>
      <c r="I95" s="5"/>
      <c r="J95" s="5" t="s">
        <v>64</v>
      </c>
      <c r="K95" s="5"/>
      <c r="L95" s="5"/>
      <c r="M95" s="5"/>
      <c r="N95" s="5"/>
      <c r="O95" s="5"/>
      <c r="P95" s="5"/>
      <c r="Q95" s="5"/>
      <c r="R95" s="5"/>
      <c r="S95" s="5"/>
      <c r="T95" s="5"/>
      <c r="U95" s="5"/>
      <c r="V95" s="5"/>
      <c r="W95" s="5"/>
      <c r="X95" s="5"/>
      <c r="Y95" s="5"/>
      <c r="Z95" s="5"/>
      <c r="AA95" s="5"/>
      <c r="AB95" s="5" t="str">
        <f>IFERROR(IF(VLOOKUP(D95,Revistas!$A$21:$C$400,3,FALSE)=0,"",VLOOKUP(D95,Revistas!$A$21:$C$400,3,FALSE)),"")</f>
        <v>alto</v>
      </c>
      <c r="AC95" s="5"/>
      <c r="AD95" s="5"/>
      <c r="AE95" s="5"/>
    </row>
    <row r="96" ht="15.75" customHeight="1">
      <c r="A96" s="3" t="s">
        <v>488</v>
      </c>
      <c r="B96" s="3">
        <v>610.0</v>
      </c>
      <c r="C96" s="3" t="s">
        <v>489</v>
      </c>
      <c r="D96" s="3" t="s">
        <v>490</v>
      </c>
      <c r="E96" s="3" t="s">
        <v>132</v>
      </c>
      <c r="F96" s="3" t="s">
        <v>60</v>
      </c>
      <c r="G96" s="3" t="s">
        <v>491</v>
      </c>
      <c r="H96" s="4" t="s">
        <v>62</v>
      </c>
      <c r="I96" s="5"/>
      <c r="J96" s="5" t="s">
        <v>64</v>
      </c>
      <c r="K96" s="5"/>
      <c r="L96" s="5"/>
      <c r="M96" s="5"/>
      <c r="N96" s="5"/>
      <c r="O96" s="5"/>
      <c r="P96" s="5"/>
      <c r="Q96" s="5"/>
      <c r="R96" s="5"/>
      <c r="S96" s="5"/>
      <c r="T96" s="5"/>
      <c r="U96" s="5"/>
      <c r="V96" s="5"/>
      <c r="W96" s="5"/>
      <c r="X96" s="5"/>
      <c r="Y96" s="5"/>
      <c r="Z96" s="5"/>
      <c r="AA96" s="5"/>
      <c r="AB96" s="5" t="str">
        <f>IFERROR(IF(VLOOKUP(D96,Revistas!$A$21:$C$400,3,FALSE)=0,"",VLOOKUP(D96,Revistas!$A$21:$C$400,3,FALSE)),"")</f>
        <v/>
      </c>
      <c r="AC96" s="5"/>
      <c r="AD96" s="5"/>
      <c r="AE96" s="5"/>
    </row>
    <row r="97" ht="15.75" customHeight="1">
      <c r="A97" s="3" t="s">
        <v>492</v>
      </c>
      <c r="B97" s="3">
        <v>613.0</v>
      </c>
      <c r="C97" s="3" t="s">
        <v>493</v>
      </c>
      <c r="D97" s="3" t="s">
        <v>494</v>
      </c>
      <c r="E97" s="3" t="s">
        <v>132</v>
      </c>
      <c r="F97" s="3" t="s">
        <v>60</v>
      </c>
      <c r="G97" s="3" t="s">
        <v>495</v>
      </c>
      <c r="H97" s="4" t="s">
        <v>62</v>
      </c>
      <c r="I97" s="5"/>
      <c r="J97" s="5" t="s">
        <v>64</v>
      </c>
      <c r="K97" s="5"/>
      <c r="L97" s="5"/>
      <c r="M97" s="5"/>
      <c r="N97" s="5"/>
      <c r="O97" s="5"/>
      <c r="P97" s="5"/>
      <c r="Q97" s="5"/>
      <c r="R97" s="5"/>
      <c r="S97" s="5"/>
      <c r="T97" s="5"/>
      <c r="U97" s="5"/>
      <c r="V97" s="5"/>
      <c r="W97" s="5"/>
      <c r="X97" s="5"/>
      <c r="Y97" s="5"/>
      <c r="Z97" s="5"/>
      <c r="AA97" s="5"/>
      <c r="AB97" s="5" t="str">
        <f>IFERROR(IF(VLOOKUP(D97,Revistas!$A$21:$C$400,3,FALSE)=0,"",VLOOKUP(D97,Revistas!$A$21:$C$400,3,FALSE)),"")</f>
        <v/>
      </c>
      <c r="AC97" s="5"/>
      <c r="AD97" s="5"/>
      <c r="AE97" s="5"/>
    </row>
    <row r="98" ht="15.75" customHeight="1">
      <c r="A98" s="3" t="s">
        <v>496</v>
      </c>
      <c r="B98" s="3">
        <v>665.0</v>
      </c>
      <c r="C98" s="3" t="s">
        <v>497</v>
      </c>
      <c r="D98" s="3" t="s">
        <v>498</v>
      </c>
      <c r="E98" s="3" t="s">
        <v>304</v>
      </c>
      <c r="F98" s="3" t="s">
        <v>60</v>
      </c>
      <c r="G98" s="3" t="s">
        <v>499</v>
      </c>
      <c r="H98" s="4" t="s">
        <v>62</v>
      </c>
      <c r="I98" s="5"/>
      <c r="J98" s="5" t="s">
        <v>64</v>
      </c>
      <c r="K98" s="5"/>
      <c r="L98" s="5"/>
      <c r="M98" s="5"/>
      <c r="N98" s="5"/>
      <c r="O98" s="5"/>
      <c r="P98" s="5"/>
      <c r="Q98" s="5"/>
      <c r="R98" s="5"/>
      <c r="S98" s="5"/>
      <c r="T98" s="5"/>
      <c r="U98" s="5"/>
      <c r="V98" s="5"/>
      <c r="W98" s="5"/>
      <c r="X98" s="5"/>
      <c r="Y98" s="5"/>
      <c r="Z98" s="5"/>
      <c r="AA98" s="5"/>
      <c r="AB98" s="5" t="str">
        <f>IFERROR(IF(VLOOKUP(D98,Revistas!$A$21:$C$400,3,FALSE)=0,"",VLOOKUP(D98,Revistas!$A$21:$C$400,3,FALSE)),"")</f>
        <v/>
      </c>
      <c r="AC98" s="5"/>
      <c r="AD98" s="5"/>
      <c r="AE98" s="5"/>
    </row>
    <row r="99" ht="15.75" customHeight="1">
      <c r="A99" s="3" t="s">
        <v>500</v>
      </c>
      <c r="B99" s="3">
        <v>686.0</v>
      </c>
      <c r="C99" s="3" t="s">
        <v>501</v>
      </c>
      <c r="D99" s="3" t="s">
        <v>131</v>
      </c>
      <c r="E99" s="3" t="s">
        <v>123</v>
      </c>
      <c r="F99" s="3" t="s">
        <v>60</v>
      </c>
      <c r="G99" s="3" t="s">
        <v>502</v>
      </c>
      <c r="H99" s="4" t="s">
        <v>62</v>
      </c>
      <c r="I99" s="5"/>
      <c r="J99" s="5" t="s">
        <v>64</v>
      </c>
      <c r="K99" s="5"/>
      <c r="L99" s="5"/>
      <c r="M99" s="5"/>
      <c r="N99" s="5"/>
      <c r="O99" s="5"/>
      <c r="P99" s="5"/>
      <c r="Q99" s="5"/>
      <c r="R99" s="5"/>
      <c r="S99" s="5"/>
      <c r="T99" s="5"/>
      <c r="U99" s="5"/>
      <c r="V99" s="5"/>
      <c r="W99" s="5"/>
      <c r="X99" s="5"/>
      <c r="Y99" s="5"/>
      <c r="Z99" s="5"/>
      <c r="AA99" s="5"/>
      <c r="AB99" s="5" t="str">
        <f>IFERROR(IF(VLOOKUP(D99,Revistas!$A$21:$C$400,3,FALSE)=0,"",VLOOKUP(D99,Revistas!$A$21:$C$400,3,FALSE)),"")</f>
        <v>medio</v>
      </c>
      <c r="AC99" s="5"/>
      <c r="AD99" s="5"/>
      <c r="AE99" s="5"/>
    </row>
    <row r="100" ht="15.75" customHeight="1">
      <c r="A100" s="3" t="s">
        <v>503</v>
      </c>
      <c r="B100" s="3">
        <v>707.0</v>
      </c>
      <c r="C100" s="3" t="s">
        <v>504</v>
      </c>
      <c r="D100" s="3" t="s">
        <v>505</v>
      </c>
      <c r="E100" s="3" t="s">
        <v>59</v>
      </c>
      <c r="F100" s="3" t="s">
        <v>60</v>
      </c>
      <c r="G100" s="3" t="s">
        <v>506</v>
      </c>
      <c r="H100" s="4" t="s">
        <v>62</v>
      </c>
      <c r="I100" s="5"/>
      <c r="J100" s="5" t="s">
        <v>64</v>
      </c>
      <c r="K100" s="5"/>
      <c r="L100" s="5"/>
      <c r="M100" s="5"/>
      <c r="N100" s="5"/>
      <c r="O100" s="5"/>
      <c r="P100" s="5"/>
      <c r="Q100" s="5"/>
      <c r="R100" s="5"/>
      <c r="S100" s="5"/>
      <c r="T100" s="5"/>
      <c r="U100" s="5"/>
      <c r="V100" s="5"/>
      <c r="W100" s="5"/>
      <c r="X100" s="5"/>
      <c r="Y100" s="5"/>
      <c r="Z100" s="5"/>
      <c r="AA100" s="5"/>
      <c r="AB100" s="5" t="str">
        <f>IFERROR(IF(VLOOKUP(D100,Revistas!$A$21:$C$400,3,FALSE)=0,"",VLOOKUP(D100,Revistas!$A$21:$C$400,3,FALSE)),"")</f>
        <v/>
      </c>
      <c r="AC100" s="5"/>
      <c r="AD100" s="5"/>
      <c r="AE100" s="5"/>
    </row>
    <row r="101" ht="15.75" customHeight="1">
      <c r="A101" s="3" t="s">
        <v>507</v>
      </c>
      <c r="B101" s="3">
        <v>719.0</v>
      </c>
      <c r="C101" s="3" t="s">
        <v>508</v>
      </c>
      <c r="D101" s="3" t="s">
        <v>234</v>
      </c>
      <c r="E101" s="3" t="s">
        <v>59</v>
      </c>
      <c r="F101" s="3" t="s">
        <v>60</v>
      </c>
      <c r="G101" s="3" t="s">
        <v>509</v>
      </c>
      <c r="H101" s="4" t="s">
        <v>62</v>
      </c>
      <c r="I101" s="5"/>
      <c r="J101" s="5" t="s">
        <v>64</v>
      </c>
      <c r="K101" s="5"/>
      <c r="L101" s="5"/>
      <c r="M101" s="5"/>
      <c r="N101" s="5"/>
      <c r="O101" s="5"/>
      <c r="P101" s="5"/>
      <c r="Q101" s="5"/>
      <c r="R101" s="5"/>
      <c r="S101" s="5"/>
      <c r="T101" s="5"/>
      <c r="U101" s="5"/>
      <c r="V101" s="5"/>
      <c r="W101" s="5"/>
      <c r="X101" s="5"/>
      <c r="Y101" s="5"/>
      <c r="Z101" s="5"/>
      <c r="AA101" s="5"/>
      <c r="AB101" s="5" t="str">
        <f>IFERROR(IF(VLOOKUP(D101,Revistas!$A$21:$C$400,3,FALSE)=0,"",VLOOKUP(D101,Revistas!$A$21:$C$400,3,FALSE)),"")</f>
        <v>alto</v>
      </c>
      <c r="AC101" s="5"/>
      <c r="AD101" s="5"/>
      <c r="AE101" s="5"/>
    </row>
    <row r="102" ht="15.75" customHeight="1">
      <c r="A102" s="3" t="s">
        <v>510</v>
      </c>
      <c r="B102" s="3">
        <v>729.0</v>
      </c>
      <c r="C102" s="3" t="s">
        <v>511</v>
      </c>
      <c r="D102" s="3" t="s">
        <v>408</v>
      </c>
      <c r="E102" s="3" t="s">
        <v>59</v>
      </c>
      <c r="F102" s="3" t="s">
        <v>60</v>
      </c>
      <c r="G102" s="3" t="s">
        <v>512</v>
      </c>
      <c r="H102" s="4" t="s">
        <v>62</v>
      </c>
      <c r="I102" s="5"/>
      <c r="J102" s="5" t="s">
        <v>64</v>
      </c>
      <c r="K102" s="5"/>
      <c r="L102" s="5"/>
      <c r="M102" s="5"/>
      <c r="N102" s="5"/>
      <c r="O102" s="5"/>
      <c r="P102" s="5"/>
      <c r="Q102" s="5"/>
      <c r="R102" s="5"/>
      <c r="S102" s="5"/>
      <c r="T102" s="5"/>
      <c r="U102" s="5"/>
      <c r="V102" s="5"/>
      <c r="W102" s="5"/>
      <c r="X102" s="5"/>
      <c r="Y102" s="5"/>
      <c r="Z102" s="5"/>
      <c r="AA102" s="5"/>
      <c r="AB102" s="5" t="str">
        <f>IFERROR(IF(VLOOKUP(D102,Revistas!$A$21:$C$400,3,FALSE)=0,"",VLOOKUP(D102,Revistas!$A$21:$C$400,3,FALSE)),"")</f>
        <v/>
      </c>
      <c r="AC102" s="5"/>
      <c r="AD102" s="5"/>
      <c r="AE102" s="5"/>
    </row>
    <row r="103" ht="15.75" customHeight="1">
      <c r="A103" s="3" t="s">
        <v>513</v>
      </c>
      <c r="B103" s="3">
        <v>741.0</v>
      </c>
      <c r="C103" s="3" t="s">
        <v>514</v>
      </c>
      <c r="D103" s="3" t="s">
        <v>281</v>
      </c>
      <c r="E103" s="3" t="s">
        <v>157</v>
      </c>
      <c r="F103" s="3" t="s">
        <v>60</v>
      </c>
      <c r="G103" s="3" t="s">
        <v>515</v>
      </c>
      <c r="H103" s="4" t="s">
        <v>62</v>
      </c>
      <c r="I103" s="5"/>
      <c r="J103" s="5" t="s">
        <v>64</v>
      </c>
      <c r="K103" s="5"/>
      <c r="L103" s="5"/>
      <c r="M103" s="5"/>
      <c r="N103" s="5"/>
      <c r="O103" s="5"/>
      <c r="P103" s="5"/>
      <c r="Q103" s="5"/>
      <c r="R103" s="5"/>
      <c r="S103" s="5"/>
      <c r="T103" s="5"/>
      <c r="U103" s="5"/>
      <c r="V103" s="5"/>
      <c r="W103" s="5"/>
      <c r="X103" s="5"/>
      <c r="Y103" s="5"/>
      <c r="Z103" s="5"/>
      <c r="AA103" s="5"/>
      <c r="AB103" s="5" t="str">
        <f>IFERROR(IF(VLOOKUP(D103,Revistas!$A$21:$C$400,3,FALSE)=0,"",VLOOKUP(D103,Revistas!$A$21:$C$400,3,FALSE)),"")</f>
        <v>medio</v>
      </c>
      <c r="AC103" s="5"/>
      <c r="AD103" s="5"/>
      <c r="AE103" s="5"/>
    </row>
    <row r="104" ht="15.75" customHeight="1">
      <c r="A104" s="3" t="s">
        <v>516</v>
      </c>
      <c r="B104" s="3">
        <v>751.0</v>
      </c>
      <c r="C104" s="3" t="s">
        <v>517</v>
      </c>
      <c r="D104" s="3" t="s">
        <v>518</v>
      </c>
      <c r="E104" s="3" t="s">
        <v>157</v>
      </c>
      <c r="F104" s="3" t="s">
        <v>60</v>
      </c>
      <c r="G104" s="3" t="s">
        <v>519</v>
      </c>
      <c r="H104" s="4" t="s">
        <v>62</v>
      </c>
      <c r="I104" s="5"/>
      <c r="J104" s="5" t="s">
        <v>64</v>
      </c>
      <c r="K104" s="5"/>
      <c r="L104" s="5"/>
      <c r="M104" s="5"/>
      <c r="N104" s="5"/>
      <c r="O104" s="5"/>
      <c r="P104" s="5"/>
      <c r="Q104" s="5"/>
      <c r="R104" s="5"/>
      <c r="S104" s="5"/>
      <c r="T104" s="5"/>
      <c r="U104" s="5"/>
      <c r="V104" s="5"/>
      <c r="W104" s="5"/>
      <c r="X104" s="5"/>
      <c r="Y104" s="5"/>
      <c r="Z104" s="5"/>
      <c r="AA104" s="5"/>
      <c r="AB104" s="5" t="str">
        <f>IFERROR(IF(VLOOKUP(D104,Revistas!$A$21:$C$400,3,FALSE)=0,"",VLOOKUP(D104,Revistas!$A$21:$C$400,3,FALSE)),"")</f>
        <v/>
      </c>
      <c r="AC104" s="5"/>
      <c r="AD104" s="5"/>
      <c r="AE104" s="5"/>
    </row>
    <row r="105" ht="15.75" customHeight="1">
      <c r="A105" s="3" t="s">
        <v>520</v>
      </c>
      <c r="B105" s="3">
        <v>759.0</v>
      </c>
      <c r="C105" s="3" t="s">
        <v>521</v>
      </c>
      <c r="D105" s="3" t="s">
        <v>522</v>
      </c>
      <c r="E105" s="3" t="s">
        <v>80</v>
      </c>
      <c r="F105" s="3" t="s">
        <v>60</v>
      </c>
      <c r="G105" s="3" t="s">
        <v>523</v>
      </c>
      <c r="H105" s="4" t="s">
        <v>62</v>
      </c>
      <c r="I105" s="5"/>
      <c r="J105" s="5" t="s">
        <v>64</v>
      </c>
      <c r="K105" s="5"/>
      <c r="L105" s="5"/>
      <c r="M105" s="5"/>
      <c r="N105" s="5"/>
      <c r="O105" s="5"/>
      <c r="P105" s="5"/>
      <c r="Q105" s="5"/>
      <c r="R105" s="5"/>
      <c r="S105" s="5"/>
      <c r="T105" s="5"/>
      <c r="U105" s="5"/>
      <c r="V105" s="5"/>
      <c r="W105" s="5"/>
      <c r="X105" s="5"/>
      <c r="Y105" s="5"/>
      <c r="Z105" s="5"/>
      <c r="AA105" s="5"/>
      <c r="AB105" s="5" t="str">
        <f>IFERROR(IF(VLOOKUP(D105,Revistas!$A$21:$C$400,3,FALSE)=0,"",VLOOKUP(D105,Revistas!$A$21:$C$400,3,FALSE)),"")</f>
        <v/>
      </c>
      <c r="AC105" s="5"/>
      <c r="AD105" s="5"/>
      <c r="AE105" s="5"/>
    </row>
    <row r="106" ht="15.75" customHeight="1">
      <c r="A106" s="3" t="s">
        <v>524</v>
      </c>
      <c r="B106" s="3">
        <v>772.0</v>
      </c>
      <c r="C106" s="3" t="s">
        <v>525</v>
      </c>
      <c r="D106" s="3" t="s">
        <v>131</v>
      </c>
      <c r="E106" s="3" t="s">
        <v>80</v>
      </c>
      <c r="F106" s="3" t="s">
        <v>60</v>
      </c>
      <c r="G106" s="3" t="s">
        <v>526</v>
      </c>
      <c r="H106" s="4" t="s">
        <v>62</v>
      </c>
      <c r="I106" s="5"/>
      <c r="J106" s="5" t="s">
        <v>64</v>
      </c>
      <c r="K106" s="5"/>
      <c r="L106" s="5"/>
      <c r="M106" s="5"/>
      <c r="N106" s="5"/>
      <c r="O106" s="5"/>
      <c r="P106" s="5"/>
      <c r="Q106" s="5"/>
      <c r="R106" s="5"/>
      <c r="S106" s="5"/>
      <c r="T106" s="5"/>
      <c r="U106" s="5"/>
      <c r="V106" s="5"/>
      <c r="W106" s="5"/>
      <c r="X106" s="5"/>
      <c r="Y106" s="5"/>
      <c r="Z106" s="5"/>
      <c r="AA106" s="5"/>
      <c r="AB106" s="5" t="str">
        <f>IFERROR(IF(VLOOKUP(D106,Revistas!$A$21:$C$400,3,FALSE)=0,"",VLOOKUP(D106,Revistas!$A$21:$C$400,3,FALSE)),"")</f>
        <v>medio</v>
      </c>
      <c r="AC106" s="5"/>
      <c r="AD106" s="5"/>
      <c r="AE106" s="5"/>
    </row>
    <row r="107" ht="15.75" customHeight="1">
      <c r="A107" s="3" t="s">
        <v>527</v>
      </c>
      <c r="B107" s="3">
        <v>778.0</v>
      </c>
      <c r="C107" s="3" t="s">
        <v>528</v>
      </c>
      <c r="D107" s="3" t="s">
        <v>529</v>
      </c>
      <c r="E107" s="3" t="s">
        <v>80</v>
      </c>
      <c r="F107" s="3" t="s">
        <v>60</v>
      </c>
      <c r="G107" s="3" t="s">
        <v>530</v>
      </c>
      <c r="H107" s="4" t="s">
        <v>62</v>
      </c>
      <c r="I107" s="5"/>
      <c r="J107" s="5" t="s">
        <v>64</v>
      </c>
      <c r="K107" s="5"/>
      <c r="L107" s="5"/>
      <c r="M107" s="5"/>
      <c r="N107" s="5"/>
      <c r="O107" s="5"/>
      <c r="P107" s="5"/>
      <c r="Q107" s="5"/>
      <c r="R107" s="5"/>
      <c r="S107" s="5"/>
      <c r="T107" s="5"/>
      <c r="U107" s="5"/>
      <c r="V107" s="5"/>
      <c r="W107" s="5"/>
      <c r="X107" s="5"/>
      <c r="Y107" s="5"/>
      <c r="Z107" s="5"/>
      <c r="AA107" s="5"/>
      <c r="AB107" s="5" t="str">
        <f>IFERROR(IF(VLOOKUP(D107,Revistas!$A$21:$C$400,3,FALSE)=0,"",VLOOKUP(D107,Revistas!$A$21:$C$400,3,FALSE)),"")</f>
        <v/>
      </c>
      <c r="AC107" s="5"/>
      <c r="AD107" s="5"/>
      <c r="AE107" s="5"/>
    </row>
    <row r="108" ht="15.75" customHeight="1">
      <c r="A108" s="3" t="s">
        <v>531</v>
      </c>
      <c r="B108" s="3">
        <v>785.0</v>
      </c>
      <c r="C108" s="3" t="s">
        <v>532</v>
      </c>
      <c r="D108" s="3" t="s">
        <v>533</v>
      </c>
      <c r="E108" s="3" t="s">
        <v>132</v>
      </c>
      <c r="F108" s="3" t="s">
        <v>60</v>
      </c>
      <c r="G108" s="3" t="s">
        <v>534</v>
      </c>
      <c r="H108" s="4" t="s">
        <v>62</v>
      </c>
      <c r="I108" s="5"/>
      <c r="J108" s="5" t="s">
        <v>64</v>
      </c>
      <c r="K108" s="5"/>
      <c r="L108" s="5"/>
      <c r="M108" s="5"/>
      <c r="N108" s="5"/>
      <c r="O108" s="5"/>
      <c r="P108" s="5"/>
      <c r="Q108" s="5"/>
      <c r="R108" s="5"/>
      <c r="S108" s="5"/>
      <c r="T108" s="5"/>
      <c r="U108" s="5"/>
      <c r="V108" s="5"/>
      <c r="W108" s="5"/>
      <c r="X108" s="5"/>
      <c r="Y108" s="5"/>
      <c r="Z108" s="5"/>
      <c r="AA108" s="5"/>
      <c r="AB108" s="5" t="str">
        <f>IFERROR(IF(VLOOKUP(D108,Revistas!$A$21:$C$400,3,FALSE)=0,"",VLOOKUP(D108,Revistas!$A$21:$C$400,3,FALSE)),"")</f>
        <v/>
      </c>
      <c r="AC108" s="5"/>
      <c r="AD108" s="5"/>
      <c r="AE108" s="5"/>
    </row>
    <row r="109" ht="15.75" customHeight="1">
      <c r="A109" s="3" t="s">
        <v>535</v>
      </c>
      <c r="B109" s="3">
        <v>788.0</v>
      </c>
      <c r="C109" s="3" t="s">
        <v>536</v>
      </c>
      <c r="D109" s="3" t="s">
        <v>537</v>
      </c>
      <c r="E109" s="3" t="s">
        <v>132</v>
      </c>
      <c r="F109" s="3" t="s">
        <v>60</v>
      </c>
      <c r="G109" s="3" t="s">
        <v>538</v>
      </c>
      <c r="H109" s="4" t="s">
        <v>62</v>
      </c>
      <c r="I109" s="5"/>
      <c r="J109" s="5" t="s">
        <v>64</v>
      </c>
      <c r="K109" s="5"/>
      <c r="L109" s="5"/>
      <c r="M109" s="5"/>
      <c r="N109" s="5"/>
      <c r="O109" s="5"/>
      <c r="P109" s="5"/>
      <c r="Q109" s="5"/>
      <c r="R109" s="5"/>
      <c r="S109" s="5"/>
      <c r="T109" s="5"/>
      <c r="U109" s="5"/>
      <c r="V109" s="5"/>
      <c r="W109" s="5"/>
      <c r="X109" s="5"/>
      <c r="Y109" s="5"/>
      <c r="Z109" s="5"/>
      <c r="AA109" s="5"/>
      <c r="AB109" s="5" t="str">
        <f>IFERROR(IF(VLOOKUP(D109,Revistas!$A$21:$C$400,3,FALSE)=0,"",VLOOKUP(D109,Revistas!$A$21:$C$400,3,FALSE)),"")</f>
        <v/>
      </c>
      <c r="AC109" s="5"/>
      <c r="AD109" s="5"/>
      <c r="AE109" s="5"/>
    </row>
    <row r="110" ht="15.75" customHeight="1">
      <c r="A110" s="3" t="s">
        <v>539</v>
      </c>
      <c r="B110" s="3">
        <v>793.0</v>
      </c>
      <c r="C110" s="3" t="s">
        <v>540</v>
      </c>
      <c r="D110" s="3" t="s">
        <v>541</v>
      </c>
      <c r="E110" s="3" t="s">
        <v>132</v>
      </c>
      <c r="F110" s="3" t="s">
        <v>60</v>
      </c>
      <c r="G110" s="3" t="s">
        <v>542</v>
      </c>
      <c r="H110" s="4" t="s">
        <v>62</v>
      </c>
      <c r="I110" s="5"/>
      <c r="J110" s="5" t="s">
        <v>64</v>
      </c>
      <c r="K110" s="5"/>
      <c r="L110" s="5"/>
      <c r="M110" s="5"/>
      <c r="N110" s="5"/>
      <c r="O110" s="5"/>
      <c r="P110" s="5"/>
      <c r="Q110" s="5"/>
      <c r="R110" s="5"/>
      <c r="S110" s="5"/>
      <c r="T110" s="5"/>
      <c r="U110" s="5"/>
      <c r="V110" s="5"/>
      <c r="W110" s="5"/>
      <c r="X110" s="5"/>
      <c r="Y110" s="5"/>
      <c r="Z110" s="5"/>
      <c r="AA110" s="5"/>
      <c r="AB110" s="5" t="str">
        <f>IFERROR(IF(VLOOKUP(D110,Revistas!$A$21:$C$400,3,FALSE)=0,"",VLOOKUP(D110,Revistas!$A$21:$C$400,3,FALSE)),"")</f>
        <v>medio</v>
      </c>
      <c r="AC110" s="5"/>
      <c r="AD110" s="5"/>
      <c r="AE110" s="5"/>
    </row>
    <row r="111" ht="15.75" customHeight="1">
      <c r="A111" s="3" t="s">
        <v>543</v>
      </c>
      <c r="B111" s="3">
        <v>843.0</v>
      </c>
      <c r="C111" s="3" t="s">
        <v>544</v>
      </c>
      <c r="D111" s="3" t="s">
        <v>281</v>
      </c>
      <c r="E111" s="3" t="s">
        <v>111</v>
      </c>
      <c r="F111" s="3" t="s">
        <v>60</v>
      </c>
      <c r="G111" s="3" t="s">
        <v>545</v>
      </c>
      <c r="H111" s="4" t="s">
        <v>62</v>
      </c>
      <c r="I111" s="5"/>
      <c r="J111" s="5" t="s">
        <v>64</v>
      </c>
      <c r="K111" s="5"/>
      <c r="L111" s="5"/>
      <c r="M111" s="5"/>
      <c r="N111" s="5"/>
      <c r="O111" s="5"/>
      <c r="P111" s="5"/>
      <c r="Q111" s="5"/>
      <c r="R111" s="5"/>
      <c r="S111" s="5"/>
      <c r="T111" s="5"/>
      <c r="U111" s="5"/>
      <c r="V111" s="5"/>
      <c r="W111" s="5"/>
      <c r="X111" s="5"/>
      <c r="Y111" s="5"/>
      <c r="Z111" s="5"/>
      <c r="AA111" s="5"/>
      <c r="AB111" s="5" t="str">
        <f>IFERROR(IF(VLOOKUP(D111,Revistas!$A$21:$C$400,3,FALSE)=0,"",VLOOKUP(D111,Revistas!$A$21:$C$400,3,FALSE)),"")</f>
        <v>medio</v>
      </c>
      <c r="AC111" s="5"/>
      <c r="AD111" s="5"/>
      <c r="AE111" s="5"/>
    </row>
    <row r="112" ht="15.75" customHeight="1">
      <c r="A112" s="3" t="s">
        <v>546</v>
      </c>
      <c r="B112" s="3">
        <v>853.0</v>
      </c>
      <c r="C112" s="3" t="s">
        <v>547</v>
      </c>
      <c r="D112" s="3" t="s">
        <v>178</v>
      </c>
      <c r="E112" s="3" t="s">
        <v>111</v>
      </c>
      <c r="F112" s="3" t="s">
        <v>60</v>
      </c>
      <c r="G112" s="3" t="s">
        <v>548</v>
      </c>
      <c r="H112" s="4" t="s">
        <v>62</v>
      </c>
      <c r="I112" s="5"/>
      <c r="J112" s="5" t="s">
        <v>64</v>
      </c>
      <c r="K112" s="5"/>
      <c r="L112" s="5"/>
      <c r="M112" s="5"/>
      <c r="N112" s="5"/>
      <c r="O112" s="5"/>
      <c r="P112" s="5"/>
      <c r="Q112" s="5"/>
      <c r="R112" s="5"/>
      <c r="S112" s="5"/>
      <c r="T112" s="5"/>
      <c r="U112" s="5"/>
      <c r="V112" s="5"/>
      <c r="W112" s="5"/>
      <c r="X112" s="5"/>
      <c r="Y112" s="5"/>
      <c r="Z112" s="5"/>
      <c r="AA112" s="5"/>
      <c r="AB112" s="5" t="str">
        <f>IFERROR(IF(VLOOKUP(D112,Revistas!$A$21:$C$400,3,FALSE)=0,"",VLOOKUP(D112,Revistas!$A$21:$C$400,3,FALSE)),"")</f>
        <v>alto</v>
      </c>
      <c r="AC112" s="5"/>
      <c r="AD112" s="5"/>
      <c r="AE112" s="5"/>
    </row>
    <row r="113" ht="15.75" customHeight="1">
      <c r="A113" s="3" t="s">
        <v>549</v>
      </c>
      <c r="B113" s="3">
        <v>856.0</v>
      </c>
      <c r="C113" s="3" t="s">
        <v>550</v>
      </c>
      <c r="D113" s="3" t="s">
        <v>323</v>
      </c>
      <c r="E113" s="3" t="s">
        <v>111</v>
      </c>
      <c r="F113" s="3" t="s">
        <v>60</v>
      </c>
      <c r="G113" s="3" t="s">
        <v>551</v>
      </c>
      <c r="H113" s="4" t="s">
        <v>62</v>
      </c>
      <c r="I113" s="5"/>
      <c r="J113" s="5" t="s">
        <v>64</v>
      </c>
      <c r="K113" s="5"/>
      <c r="L113" s="5"/>
      <c r="M113" s="5"/>
      <c r="N113" s="5"/>
      <c r="O113" s="5"/>
      <c r="P113" s="5"/>
      <c r="Q113" s="5"/>
      <c r="R113" s="5"/>
      <c r="S113" s="5"/>
      <c r="T113" s="5"/>
      <c r="U113" s="5"/>
      <c r="V113" s="5"/>
      <c r="W113" s="5"/>
      <c r="X113" s="5"/>
      <c r="Y113" s="5"/>
      <c r="Z113" s="5"/>
      <c r="AA113" s="5"/>
      <c r="AB113" s="5" t="str">
        <f>IFERROR(IF(VLOOKUP(D113,Revistas!$A$21:$C$400,3,FALSE)=0,"",VLOOKUP(D113,Revistas!$A$21:$C$400,3,FALSE)),"")</f>
        <v/>
      </c>
      <c r="AC113" s="5"/>
      <c r="AD113" s="5"/>
      <c r="AE113" s="5"/>
    </row>
    <row r="114" ht="15.75" customHeight="1">
      <c r="A114" s="3" t="s">
        <v>552</v>
      </c>
      <c r="B114" s="3">
        <v>867.0</v>
      </c>
      <c r="C114" s="3" t="s">
        <v>553</v>
      </c>
      <c r="D114" s="3" t="s">
        <v>554</v>
      </c>
      <c r="E114" s="3" t="s">
        <v>142</v>
      </c>
      <c r="F114" s="3" t="s">
        <v>60</v>
      </c>
      <c r="G114" s="3" t="s">
        <v>555</v>
      </c>
      <c r="H114" s="4" t="s">
        <v>62</v>
      </c>
      <c r="I114" s="5"/>
      <c r="J114" s="5" t="s">
        <v>64</v>
      </c>
      <c r="K114" s="5"/>
      <c r="L114" s="5"/>
      <c r="M114" s="5"/>
      <c r="N114" s="5"/>
      <c r="O114" s="5"/>
      <c r="P114" s="5"/>
      <c r="Q114" s="5"/>
      <c r="R114" s="5"/>
      <c r="S114" s="5"/>
      <c r="T114" s="5"/>
      <c r="U114" s="5"/>
      <c r="V114" s="5"/>
      <c r="W114" s="5"/>
      <c r="X114" s="5"/>
      <c r="Y114" s="5"/>
      <c r="Z114" s="5"/>
      <c r="AA114" s="5"/>
      <c r="AB114" s="5" t="str">
        <f>IFERROR(IF(VLOOKUP(D114,Revistas!$A$21:$C$400,3,FALSE)=0,"",VLOOKUP(D114,Revistas!$A$21:$C$400,3,FALSE)),"")</f>
        <v/>
      </c>
      <c r="AC114" s="5"/>
      <c r="AD114" s="5"/>
      <c r="AE114" s="5"/>
    </row>
    <row r="115" ht="15.75" customHeight="1">
      <c r="A115" s="3" t="s">
        <v>556</v>
      </c>
      <c r="B115" s="3">
        <v>888.0</v>
      </c>
      <c r="C115" s="3" t="s">
        <v>557</v>
      </c>
      <c r="D115" s="3" t="s">
        <v>558</v>
      </c>
      <c r="E115" s="3" t="s">
        <v>559</v>
      </c>
      <c r="F115" s="3" t="s">
        <v>404</v>
      </c>
      <c r="G115" s="3" t="s">
        <v>560</v>
      </c>
      <c r="H115" s="4" t="s">
        <v>62</v>
      </c>
      <c r="I115" s="5"/>
      <c r="J115" s="5" t="s">
        <v>64</v>
      </c>
      <c r="K115" s="5"/>
      <c r="L115" s="5"/>
      <c r="M115" s="5"/>
      <c r="N115" s="5"/>
      <c r="O115" s="5"/>
      <c r="P115" s="5"/>
      <c r="Q115" s="5"/>
      <c r="R115" s="5"/>
      <c r="S115" s="5"/>
      <c r="T115" s="5"/>
      <c r="U115" s="5"/>
      <c r="V115" s="5"/>
      <c r="W115" s="5"/>
      <c r="X115" s="5"/>
      <c r="Y115" s="5"/>
      <c r="Z115" s="5"/>
      <c r="AA115" s="5"/>
      <c r="AB115" s="5" t="str">
        <f>IFERROR(IF(VLOOKUP(D115,Revistas!$A$21:$C$400,3,FALSE)=0,"",VLOOKUP(D115,Revistas!$A$21:$C$400,3,FALSE)),"")</f>
        <v/>
      </c>
      <c r="AC115" s="5"/>
      <c r="AD115" s="5"/>
      <c r="AE115" s="5"/>
    </row>
    <row r="116" ht="15.75" customHeight="1">
      <c r="A116" s="3" t="s">
        <v>561</v>
      </c>
      <c r="B116" s="3">
        <v>894.0</v>
      </c>
      <c r="C116" s="3" t="s">
        <v>562</v>
      </c>
      <c r="D116" s="3" t="s">
        <v>563</v>
      </c>
      <c r="E116" s="3" t="s">
        <v>257</v>
      </c>
      <c r="F116" s="3" t="s">
        <v>60</v>
      </c>
      <c r="G116" s="3" t="s">
        <v>564</v>
      </c>
      <c r="H116" s="4" t="s">
        <v>62</v>
      </c>
      <c r="I116" s="5"/>
      <c r="J116" s="5" t="s">
        <v>64</v>
      </c>
      <c r="K116" s="5"/>
      <c r="L116" s="5"/>
      <c r="M116" s="5"/>
      <c r="N116" s="5"/>
      <c r="O116" s="5"/>
      <c r="P116" s="5"/>
      <c r="Q116" s="5"/>
      <c r="R116" s="5"/>
      <c r="S116" s="5"/>
      <c r="T116" s="5"/>
      <c r="U116" s="5"/>
      <c r="V116" s="5"/>
      <c r="W116" s="5"/>
      <c r="X116" s="5"/>
      <c r="Y116" s="5"/>
      <c r="Z116" s="5"/>
      <c r="AA116" s="5"/>
      <c r="AB116" s="5" t="str">
        <f>IFERROR(IF(VLOOKUP(D116,Revistas!$A$21:$C$400,3,FALSE)=0,"",VLOOKUP(D116,Revistas!$A$21:$C$400,3,FALSE)),"")</f>
        <v/>
      </c>
      <c r="AC116" s="5"/>
      <c r="AD116" s="5"/>
      <c r="AE116" s="5"/>
    </row>
    <row r="117" ht="15.75" customHeight="1">
      <c r="A117" s="3" t="s">
        <v>565</v>
      </c>
      <c r="B117" s="3">
        <v>911.0</v>
      </c>
      <c r="C117" s="3" t="s">
        <v>566</v>
      </c>
      <c r="D117" s="3" t="s">
        <v>327</v>
      </c>
      <c r="E117" s="3" t="s">
        <v>266</v>
      </c>
      <c r="F117" s="3" t="s">
        <v>60</v>
      </c>
      <c r="G117" s="3" t="s">
        <v>567</v>
      </c>
      <c r="H117" s="4" t="s">
        <v>62</v>
      </c>
      <c r="I117" s="5"/>
      <c r="J117" s="5" t="s">
        <v>64</v>
      </c>
      <c r="K117" s="5"/>
      <c r="L117" s="5"/>
      <c r="M117" s="5"/>
      <c r="N117" s="5"/>
      <c r="O117" s="5"/>
      <c r="P117" s="5"/>
      <c r="Q117" s="5"/>
      <c r="R117" s="5"/>
      <c r="S117" s="5"/>
      <c r="T117" s="5"/>
      <c r="U117" s="5"/>
      <c r="V117" s="5"/>
      <c r="W117" s="5"/>
      <c r="X117" s="5"/>
      <c r="Y117" s="5"/>
      <c r="Z117" s="5"/>
      <c r="AA117" s="5"/>
      <c r="AB117" s="5" t="str">
        <f>IFERROR(IF(VLOOKUP(D117,Revistas!$A$21:$C$400,3,FALSE)=0,"",VLOOKUP(D117,Revistas!$A$21:$C$400,3,FALSE)),"")</f>
        <v>medio</v>
      </c>
      <c r="AC117" s="5"/>
      <c r="AD117" s="5"/>
      <c r="AE117" s="5"/>
    </row>
    <row r="118" ht="15.75" customHeight="1">
      <c r="A118" s="3" t="s">
        <v>568</v>
      </c>
      <c r="B118" s="3">
        <v>979.0</v>
      </c>
      <c r="C118" s="3" t="s">
        <v>569</v>
      </c>
      <c r="D118" s="3" t="s">
        <v>529</v>
      </c>
      <c r="E118" s="3" t="s">
        <v>111</v>
      </c>
      <c r="F118" s="3" t="s">
        <v>60</v>
      </c>
      <c r="G118" s="3" t="s">
        <v>570</v>
      </c>
      <c r="H118" s="4" t="s">
        <v>62</v>
      </c>
      <c r="I118" s="5"/>
      <c r="J118" s="5" t="s">
        <v>64</v>
      </c>
      <c r="K118" s="5"/>
      <c r="L118" s="5"/>
      <c r="M118" s="5"/>
      <c r="N118" s="5"/>
      <c r="O118" s="5"/>
      <c r="P118" s="5"/>
      <c r="Q118" s="5"/>
      <c r="R118" s="5"/>
      <c r="S118" s="5"/>
      <c r="T118" s="5"/>
      <c r="U118" s="5"/>
      <c r="V118" s="5"/>
      <c r="W118" s="5"/>
      <c r="X118" s="5"/>
      <c r="Y118" s="5"/>
      <c r="Z118" s="5"/>
      <c r="AA118" s="5"/>
      <c r="AB118" s="5" t="str">
        <f>IFERROR(IF(VLOOKUP(D118,Revistas!$A$21:$C$400,3,FALSE)=0,"",VLOOKUP(D118,Revistas!$A$21:$C$400,3,FALSE)),"")</f>
        <v/>
      </c>
      <c r="AC118" s="5"/>
      <c r="AD118" s="5"/>
      <c r="AE118" s="5"/>
    </row>
    <row r="119" ht="15.75" customHeight="1">
      <c r="A119" s="3" t="s">
        <v>571</v>
      </c>
      <c r="B119" s="3">
        <v>1041.0</v>
      </c>
      <c r="C119" s="3" t="s">
        <v>572</v>
      </c>
      <c r="D119" s="3" t="s">
        <v>573</v>
      </c>
      <c r="E119" s="3" t="s">
        <v>257</v>
      </c>
      <c r="F119" s="3" t="s">
        <v>60</v>
      </c>
      <c r="G119" s="3" t="s">
        <v>574</v>
      </c>
      <c r="H119" s="4" t="s">
        <v>62</v>
      </c>
      <c r="I119" s="5"/>
      <c r="J119" s="5" t="s">
        <v>64</v>
      </c>
      <c r="K119" s="5"/>
      <c r="L119" s="5"/>
      <c r="M119" s="5"/>
      <c r="N119" s="5"/>
      <c r="O119" s="5"/>
      <c r="P119" s="5"/>
      <c r="Q119" s="5"/>
      <c r="R119" s="5"/>
      <c r="S119" s="5"/>
      <c r="T119" s="5"/>
      <c r="U119" s="5"/>
      <c r="V119" s="5"/>
      <c r="W119" s="5"/>
      <c r="X119" s="5"/>
      <c r="Y119" s="5"/>
      <c r="Z119" s="5"/>
      <c r="AA119" s="5"/>
      <c r="AB119" s="5" t="str">
        <f>IFERROR(IF(VLOOKUP(D119,Revistas!$A$21:$C$400,3,FALSE)=0,"",VLOOKUP(D119,Revistas!$A$21:$C$400,3,FALSE)),"")</f>
        <v/>
      </c>
      <c r="AC119" s="5"/>
      <c r="AD119" s="5"/>
      <c r="AE119" s="5"/>
    </row>
    <row r="120" ht="15.75" customHeight="1">
      <c r="A120" s="3" t="s">
        <v>575</v>
      </c>
      <c r="B120" s="3">
        <v>1077.0</v>
      </c>
      <c r="C120" s="3" t="s">
        <v>576</v>
      </c>
      <c r="D120" s="3" t="s">
        <v>464</v>
      </c>
      <c r="E120" s="3" t="s">
        <v>123</v>
      </c>
      <c r="F120" s="3" t="s">
        <v>60</v>
      </c>
      <c r="G120" s="3" t="s">
        <v>577</v>
      </c>
      <c r="H120" s="4" t="s">
        <v>62</v>
      </c>
      <c r="I120" s="5"/>
      <c r="J120" s="5" t="s">
        <v>64</v>
      </c>
      <c r="K120" s="5"/>
      <c r="L120" s="5"/>
      <c r="M120" s="5"/>
      <c r="N120" s="5"/>
      <c r="O120" s="5"/>
      <c r="P120" s="5"/>
      <c r="Q120" s="5"/>
      <c r="R120" s="5"/>
      <c r="S120" s="5"/>
      <c r="T120" s="5"/>
      <c r="U120" s="5"/>
      <c r="V120" s="5"/>
      <c r="W120" s="5"/>
      <c r="X120" s="5"/>
      <c r="Y120" s="5"/>
      <c r="Z120" s="5"/>
      <c r="AA120" s="5"/>
      <c r="AB120" s="5" t="str">
        <f>IFERROR(IF(VLOOKUP(D120,Revistas!$A$21:$C$400,3,FALSE)=0,"",VLOOKUP(D120,Revistas!$A$21:$C$400,3,FALSE)),"")</f>
        <v/>
      </c>
      <c r="AC120" s="5"/>
      <c r="AD120" s="5"/>
      <c r="AE120" s="5"/>
    </row>
    <row r="121" ht="15.75" customHeight="1">
      <c r="A121" s="3" t="s">
        <v>578</v>
      </c>
      <c r="B121" s="3">
        <v>1135.0</v>
      </c>
      <c r="C121" s="3" t="s">
        <v>579</v>
      </c>
      <c r="D121" s="3" t="s">
        <v>580</v>
      </c>
      <c r="E121" s="3" t="s">
        <v>59</v>
      </c>
      <c r="F121" s="3" t="s">
        <v>60</v>
      </c>
      <c r="G121" s="3" t="s">
        <v>581</v>
      </c>
      <c r="H121" s="4" t="s">
        <v>62</v>
      </c>
      <c r="I121" s="5"/>
      <c r="J121" s="5" t="s">
        <v>64</v>
      </c>
      <c r="K121" s="5"/>
      <c r="L121" s="5"/>
      <c r="M121" s="5"/>
      <c r="N121" s="5"/>
      <c r="O121" s="5"/>
      <c r="P121" s="5"/>
      <c r="Q121" s="5"/>
      <c r="R121" s="5"/>
      <c r="S121" s="5"/>
      <c r="T121" s="5"/>
      <c r="U121" s="5"/>
      <c r="V121" s="5"/>
      <c r="W121" s="5"/>
      <c r="X121" s="5"/>
      <c r="Y121" s="5"/>
      <c r="Z121" s="5"/>
      <c r="AA121" s="5"/>
      <c r="AB121" s="5" t="str">
        <f>IFERROR(IF(VLOOKUP(D121,Revistas!$A$21:$C$400,3,FALSE)=0,"",VLOOKUP(D121,Revistas!$A$21:$C$400,3,FALSE)),"")</f>
        <v/>
      </c>
      <c r="AC121" s="5"/>
      <c r="AD121" s="5"/>
      <c r="AE121" s="5"/>
    </row>
    <row r="122" ht="15.75" customHeight="1">
      <c r="A122" s="3" t="s">
        <v>582</v>
      </c>
      <c r="B122" s="3">
        <v>1169.0</v>
      </c>
      <c r="C122" s="3" t="s">
        <v>583</v>
      </c>
      <c r="D122" s="3" t="s">
        <v>584</v>
      </c>
      <c r="E122" s="3" t="s">
        <v>59</v>
      </c>
      <c r="F122" s="3" t="s">
        <v>60</v>
      </c>
      <c r="G122" s="3" t="s">
        <v>585</v>
      </c>
      <c r="H122" s="4" t="s">
        <v>62</v>
      </c>
      <c r="I122" s="5"/>
      <c r="J122" s="5" t="s">
        <v>64</v>
      </c>
      <c r="K122" s="5"/>
      <c r="L122" s="5"/>
      <c r="M122" s="5"/>
      <c r="N122" s="5"/>
      <c r="O122" s="5"/>
      <c r="P122" s="5"/>
      <c r="Q122" s="5"/>
      <c r="R122" s="5"/>
      <c r="S122" s="5"/>
      <c r="T122" s="5"/>
      <c r="U122" s="5"/>
      <c r="V122" s="5"/>
      <c r="W122" s="5"/>
      <c r="X122" s="5"/>
      <c r="Y122" s="5"/>
      <c r="Z122" s="5"/>
      <c r="AA122" s="5"/>
      <c r="AB122" s="5" t="str">
        <f>IFERROR(IF(VLOOKUP(D122,Revistas!$A$21:$C$400,3,FALSE)=0,"",VLOOKUP(D122,Revistas!$A$21:$C$400,3,FALSE)),"")</f>
        <v/>
      </c>
      <c r="AC122" s="5"/>
      <c r="AD122" s="5"/>
      <c r="AE122" s="5"/>
    </row>
    <row r="123" ht="15.75" customHeight="1">
      <c r="A123" s="3" t="s">
        <v>586</v>
      </c>
      <c r="B123" s="3">
        <v>1230.0</v>
      </c>
      <c r="C123" s="3" t="s">
        <v>587</v>
      </c>
      <c r="D123" s="3" t="s">
        <v>588</v>
      </c>
      <c r="E123" s="3" t="s">
        <v>157</v>
      </c>
      <c r="F123" s="3" t="s">
        <v>60</v>
      </c>
      <c r="G123" s="3" t="s">
        <v>589</v>
      </c>
      <c r="H123" s="4" t="s">
        <v>62</v>
      </c>
      <c r="I123" s="5"/>
      <c r="J123" s="5" t="s">
        <v>64</v>
      </c>
      <c r="K123" s="5"/>
      <c r="L123" s="5"/>
      <c r="M123" s="5"/>
      <c r="N123" s="5"/>
      <c r="O123" s="5"/>
      <c r="P123" s="5"/>
      <c r="Q123" s="5"/>
      <c r="R123" s="5"/>
      <c r="S123" s="5"/>
      <c r="T123" s="5"/>
      <c r="U123" s="5"/>
      <c r="V123" s="5"/>
      <c r="W123" s="5"/>
      <c r="X123" s="5"/>
      <c r="Y123" s="5"/>
      <c r="Z123" s="5"/>
      <c r="AA123" s="5"/>
      <c r="AB123" s="5" t="str">
        <f>IFERROR(IF(VLOOKUP(D123,Revistas!$A$21:$C$400,3,FALSE)=0,"",VLOOKUP(D123,Revistas!$A$21:$C$400,3,FALSE)),"")</f>
        <v/>
      </c>
      <c r="AC123" s="5"/>
      <c r="AD123" s="5"/>
      <c r="AE123" s="5"/>
    </row>
    <row r="124" ht="15.75" customHeight="1">
      <c r="A124" s="3" t="s">
        <v>590</v>
      </c>
      <c r="B124" s="3">
        <v>1231.0</v>
      </c>
      <c r="C124" s="3" t="s">
        <v>591</v>
      </c>
      <c r="D124" s="3" t="s">
        <v>396</v>
      </c>
      <c r="E124" s="3" t="s">
        <v>80</v>
      </c>
      <c r="F124" s="3" t="s">
        <v>60</v>
      </c>
      <c r="G124" s="3" t="s">
        <v>592</v>
      </c>
      <c r="H124" s="4" t="s">
        <v>62</v>
      </c>
      <c r="I124" s="5"/>
      <c r="J124" s="5" t="s">
        <v>64</v>
      </c>
      <c r="K124" s="5"/>
      <c r="L124" s="5"/>
      <c r="M124" s="5"/>
      <c r="N124" s="5"/>
      <c r="O124" s="5"/>
      <c r="P124" s="5"/>
      <c r="Q124" s="5"/>
      <c r="R124" s="5"/>
      <c r="S124" s="5"/>
      <c r="T124" s="5"/>
      <c r="U124" s="5"/>
      <c r="V124" s="5"/>
      <c r="W124" s="5"/>
      <c r="X124" s="5"/>
      <c r="Y124" s="5"/>
      <c r="Z124" s="5"/>
      <c r="AA124" s="5"/>
      <c r="AB124" s="5" t="str">
        <f>IFERROR(IF(VLOOKUP(D124,Revistas!$A$21:$C$400,3,FALSE)=0,"",VLOOKUP(D124,Revistas!$A$21:$C$400,3,FALSE)),"")</f>
        <v>alto</v>
      </c>
      <c r="AC124" s="5"/>
      <c r="AD124" s="5"/>
      <c r="AE124" s="5"/>
    </row>
    <row r="125" ht="15.75" customHeight="1">
      <c r="A125" s="3" t="s">
        <v>593</v>
      </c>
      <c r="B125" s="3">
        <v>1243.0</v>
      </c>
      <c r="C125" s="3" t="s">
        <v>594</v>
      </c>
      <c r="D125" s="3" t="s">
        <v>447</v>
      </c>
      <c r="E125" s="3" t="s">
        <v>80</v>
      </c>
      <c r="F125" s="3" t="s">
        <v>60</v>
      </c>
      <c r="G125" s="3" t="s">
        <v>595</v>
      </c>
      <c r="H125" s="4" t="s">
        <v>62</v>
      </c>
      <c r="I125" s="5"/>
      <c r="J125" s="5" t="s">
        <v>64</v>
      </c>
      <c r="K125" s="5"/>
      <c r="L125" s="5"/>
      <c r="M125" s="5"/>
      <c r="N125" s="5"/>
      <c r="O125" s="5"/>
      <c r="P125" s="5"/>
      <c r="Q125" s="5"/>
      <c r="R125" s="5"/>
      <c r="S125" s="5"/>
      <c r="T125" s="5"/>
      <c r="U125" s="5"/>
      <c r="V125" s="5"/>
      <c r="W125" s="5"/>
      <c r="X125" s="5"/>
      <c r="Y125" s="5"/>
      <c r="Z125" s="5"/>
      <c r="AA125" s="5"/>
      <c r="AB125" s="5" t="str">
        <f>IFERROR(IF(VLOOKUP(D125,Revistas!$A$21:$C$400,3,FALSE)=0,"",VLOOKUP(D125,Revistas!$A$21:$C$400,3,FALSE)),"")</f>
        <v/>
      </c>
      <c r="AC125" s="5"/>
      <c r="AD125" s="5"/>
      <c r="AE125" s="5"/>
    </row>
    <row r="126" ht="15.75" customHeight="1">
      <c r="A126" s="3" t="s">
        <v>596</v>
      </c>
      <c r="B126" s="3">
        <v>1335.0</v>
      </c>
      <c r="C126" s="3" t="s">
        <v>597</v>
      </c>
      <c r="D126" s="3" t="s">
        <v>598</v>
      </c>
      <c r="E126" s="3" t="s">
        <v>132</v>
      </c>
      <c r="F126" s="3" t="s">
        <v>60</v>
      </c>
      <c r="G126" s="3" t="s">
        <v>599</v>
      </c>
      <c r="H126" s="4" t="s">
        <v>62</v>
      </c>
      <c r="I126" s="5"/>
      <c r="J126" s="5" t="s">
        <v>64</v>
      </c>
      <c r="K126" s="5"/>
      <c r="L126" s="5"/>
      <c r="M126" s="5"/>
      <c r="N126" s="5"/>
      <c r="O126" s="5"/>
      <c r="P126" s="5"/>
      <c r="Q126" s="5"/>
      <c r="R126" s="5"/>
      <c r="S126" s="5"/>
      <c r="T126" s="5"/>
      <c r="U126" s="5"/>
      <c r="V126" s="5"/>
      <c r="W126" s="5"/>
      <c r="X126" s="5"/>
      <c r="Y126" s="5"/>
      <c r="Z126" s="5"/>
      <c r="AA126" s="5"/>
      <c r="AB126" s="5" t="str">
        <f>IFERROR(IF(VLOOKUP(D126,Revistas!$A$21:$C$400,3,FALSE)=0,"",VLOOKUP(D126,Revistas!$A$21:$C$400,3,FALSE)),"")</f>
        <v/>
      </c>
      <c r="AC126" s="5"/>
      <c r="AD126" s="5"/>
      <c r="AE126" s="5"/>
    </row>
    <row r="127" ht="15.75" customHeight="1">
      <c r="A127" s="3" t="s">
        <v>600</v>
      </c>
      <c r="B127" s="3">
        <v>1401.0</v>
      </c>
      <c r="C127" s="3" t="s">
        <v>601</v>
      </c>
      <c r="D127" s="3" t="s">
        <v>281</v>
      </c>
      <c r="E127" s="3" t="s">
        <v>111</v>
      </c>
      <c r="F127" s="3" t="s">
        <v>60</v>
      </c>
      <c r="G127" s="3" t="s">
        <v>602</v>
      </c>
      <c r="H127" s="4" t="s">
        <v>62</v>
      </c>
      <c r="I127" s="5"/>
      <c r="J127" s="5" t="s">
        <v>64</v>
      </c>
      <c r="K127" s="5"/>
      <c r="L127" s="5"/>
      <c r="M127" s="5"/>
      <c r="N127" s="5"/>
      <c r="O127" s="5"/>
      <c r="P127" s="5"/>
      <c r="Q127" s="5"/>
      <c r="R127" s="5"/>
      <c r="S127" s="5"/>
      <c r="T127" s="5"/>
      <c r="U127" s="5"/>
      <c r="V127" s="5"/>
      <c r="W127" s="5"/>
      <c r="X127" s="5"/>
      <c r="Y127" s="5"/>
      <c r="Z127" s="5"/>
      <c r="AA127" s="5"/>
      <c r="AB127" s="5" t="str">
        <f>IFERROR(IF(VLOOKUP(D127,Revistas!$A$21:$C$400,3,FALSE)=0,"",VLOOKUP(D127,Revistas!$A$21:$C$400,3,FALSE)),"")</f>
        <v>medio</v>
      </c>
      <c r="AC127" s="5"/>
      <c r="AD127" s="5"/>
      <c r="AE127" s="5"/>
    </row>
    <row r="128" ht="15.75" customHeight="1">
      <c r="A128" s="3" t="s">
        <v>603</v>
      </c>
      <c r="B128" s="3">
        <v>1630.0</v>
      </c>
      <c r="C128" s="3" t="s">
        <v>604</v>
      </c>
      <c r="D128" s="3" t="s">
        <v>385</v>
      </c>
      <c r="E128" s="3" t="s">
        <v>142</v>
      </c>
      <c r="F128" s="3" t="s">
        <v>60</v>
      </c>
      <c r="G128" s="3" t="s">
        <v>605</v>
      </c>
      <c r="H128" s="4" t="s">
        <v>62</v>
      </c>
      <c r="I128" s="5"/>
      <c r="J128" s="5" t="s">
        <v>64</v>
      </c>
      <c r="K128" s="5"/>
      <c r="L128" s="5"/>
      <c r="M128" s="5"/>
      <c r="N128" s="5"/>
      <c r="O128" s="5"/>
      <c r="P128" s="5"/>
      <c r="Q128" s="5"/>
      <c r="R128" s="5"/>
      <c r="S128" s="5"/>
      <c r="T128" s="5"/>
      <c r="U128" s="5"/>
      <c r="V128" s="5"/>
      <c r="W128" s="5"/>
      <c r="X128" s="5"/>
      <c r="Y128" s="5"/>
      <c r="Z128" s="5"/>
      <c r="AA128" s="5"/>
      <c r="AB128" s="5" t="str">
        <f>IFERROR(IF(VLOOKUP(D128,Revistas!$A$21:$C$400,3,FALSE)=0,"",VLOOKUP(D128,Revistas!$A$21:$C$400,3,FALSE)),"")</f>
        <v/>
      </c>
      <c r="AC128" s="5"/>
      <c r="AD128" s="5"/>
      <c r="AE128" s="5"/>
    </row>
    <row r="129" ht="15.75" customHeight="1">
      <c r="A129" s="3" t="s">
        <v>606</v>
      </c>
      <c r="B129" s="3">
        <v>1842.0</v>
      </c>
      <c r="C129" s="3" t="s">
        <v>607</v>
      </c>
      <c r="D129" s="3" t="s">
        <v>281</v>
      </c>
      <c r="E129" s="3" t="s">
        <v>157</v>
      </c>
      <c r="F129" s="3" t="s">
        <v>60</v>
      </c>
      <c r="G129" s="3" t="s">
        <v>608</v>
      </c>
      <c r="H129" s="4" t="s">
        <v>62</v>
      </c>
      <c r="I129" s="5"/>
      <c r="J129" s="5" t="s">
        <v>64</v>
      </c>
      <c r="K129" s="5"/>
      <c r="L129" s="5"/>
      <c r="M129" s="5"/>
      <c r="N129" s="5"/>
      <c r="O129" s="5"/>
      <c r="P129" s="5"/>
      <c r="Q129" s="5"/>
      <c r="R129" s="5"/>
      <c r="S129" s="5"/>
      <c r="T129" s="5"/>
      <c r="U129" s="5"/>
      <c r="V129" s="5"/>
      <c r="W129" s="5"/>
      <c r="X129" s="5"/>
      <c r="Y129" s="5"/>
      <c r="Z129" s="5"/>
      <c r="AA129" s="5"/>
      <c r="AB129" s="5" t="str">
        <f>IFERROR(IF(VLOOKUP(D129,Revistas!$A$21:$C$400,3,FALSE)=0,"",VLOOKUP(D129,Revistas!$A$21:$C$400,3,FALSE)),"")</f>
        <v>medio</v>
      </c>
      <c r="AC129" s="5"/>
      <c r="AD129" s="5"/>
      <c r="AE129" s="5"/>
    </row>
    <row r="130" ht="15.75" customHeight="1">
      <c r="A130" s="3" t="s">
        <v>609</v>
      </c>
      <c r="B130" s="3">
        <v>2071.0</v>
      </c>
      <c r="C130" s="3" t="s">
        <v>610</v>
      </c>
      <c r="D130" s="3" t="s">
        <v>435</v>
      </c>
      <c r="E130" s="3" t="s">
        <v>257</v>
      </c>
      <c r="F130" s="3" t="s">
        <v>60</v>
      </c>
      <c r="G130" s="3" t="s">
        <v>611</v>
      </c>
      <c r="H130" s="4" t="s">
        <v>62</v>
      </c>
      <c r="I130" s="5"/>
      <c r="J130" s="5" t="s">
        <v>64</v>
      </c>
      <c r="K130" s="5"/>
      <c r="L130" s="5"/>
      <c r="M130" s="5"/>
      <c r="N130" s="5"/>
      <c r="O130" s="5"/>
      <c r="P130" s="5"/>
      <c r="Q130" s="5"/>
      <c r="R130" s="5"/>
      <c r="S130" s="5"/>
      <c r="T130" s="5"/>
      <c r="U130" s="5"/>
      <c r="V130" s="5"/>
      <c r="W130" s="5"/>
      <c r="X130" s="5"/>
      <c r="Y130" s="5"/>
      <c r="Z130" s="5"/>
      <c r="AA130" s="5"/>
      <c r="AB130" s="5" t="str">
        <f>IFERROR(IF(VLOOKUP(D130,Revistas!$A$21:$C$400,3,FALSE)=0,"",VLOOKUP(D130,Revistas!$A$21:$C$400,3,FALSE)),"")</f>
        <v/>
      </c>
      <c r="AC130" s="5"/>
      <c r="AD130" s="5"/>
      <c r="AE130" s="5"/>
    </row>
    <row r="131" ht="15.75" customHeight="1">
      <c r="A131" s="3" t="s">
        <v>612</v>
      </c>
      <c r="B131" s="3">
        <v>2072.0</v>
      </c>
      <c r="C131" s="3" t="s">
        <v>613</v>
      </c>
      <c r="D131" s="3" t="s">
        <v>131</v>
      </c>
      <c r="E131" s="3" t="s">
        <v>123</v>
      </c>
      <c r="F131" s="3" t="s">
        <v>60</v>
      </c>
      <c r="G131" s="3" t="s">
        <v>614</v>
      </c>
      <c r="H131" s="4" t="s">
        <v>62</v>
      </c>
      <c r="I131" s="5"/>
      <c r="J131" s="5" t="s">
        <v>64</v>
      </c>
      <c r="K131" s="5"/>
      <c r="L131" s="5"/>
      <c r="M131" s="5"/>
      <c r="N131" s="5"/>
      <c r="O131" s="5"/>
      <c r="P131" s="5"/>
      <c r="Q131" s="5"/>
      <c r="R131" s="5"/>
      <c r="S131" s="5"/>
      <c r="T131" s="5"/>
      <c r="U131" s="5"/>
      <c r="V131" s="5"/>
      <c r="W131" s="5"/>
      <c r="X131" s="5"/>
      <c r="Y131" s="5"/>
      <c r="Z131" s="5"/>
      <c r="AA131" s="5"/>
      <c r="AB131" s="5" t="str">
        <f>IFERROR(IF(VLOOKUP(D131,Revistas!$A$21:$C$400,3,FALSE)=0,"",VLOOKUP(D131,Revistas!$A$21:$C$400,3,FALSE)),"")</f>
        <v>medio</v>
      </c>
      <c r="AC131" s="5"/>
      <c r="AD131" s="5"/>
      <c r="AE131" s="5"/>
    </row>
    <row r="132" ht="15.75" customHeight="1">
      <c r="A132" s="3" t="s">
        <v>615</v>
      </c>
      <c r="B132" s="3">
        <v>2162.0</v>
      </c>
      <c r="C132" s="3" t="s">
        <v>616</v>
      </c>
      <c r="D132" s="3" t="s">
        <v>385</v>
      </c>
      <c r="E132" s="3" t="s">
        <v>59</v>
      </c>
      <c r="F132" s="3" t="s">
        <v>60</v>
      </c>
      <c r="G132" s="3" t="s">
        <v>617</v>
      </c>
      <c r="H132" s="4" t="s">
        <v>62</v>
      </c>
      <c r="I132" s="5"/>
      <c r="J132" s="5" t="s">
        <v>64</v>
      </c>
      <c r="K132" s="5"/>
      <c r="L132" s="5"/>
      <c r="M132" s="5"/>
      <c r="N132" s="5"/>
      <c r="O132" s="5"/>
      <c r="P132" s="5"/>
      <c r="Q132" s="5"/>
      <c r="R132" s="5"/>
      <c r="S132" s="5"/>
      <c r="T132" s="5"/>
      <c r="U132" s="5"/>
      <c r="V132" s="5"/>
      <c r="W132" s="5"/>
      <c r="X132" s="5"/>
      <c r="Y132" s="5"/>
      <c r="Z132" s="5"/>
      <c r="AA132" s="5"/>
      <c r="AB132" s="5" t="str">
        <f>IFERROR(IF(VLOOKUP(D132,Revistas!$A$21:$C$400,3,FALSE)=0,"",VLOOKUP(D132,Revistas!$A$21:$C$400,3,FALSE)),"")</f>
        <v/>
      </c>
      <c r="AC132" s="5"/>
      <c r="AD132" s="5"/>
      <c r="AE132" s="5"/>
    </row>
    <row r="133" ht="15.75" customHeight="1">
      <c r="A133" s="3" t="s">
        <v>618</v>
      </c>
      <c r="B133" s="3">
        <v>2197.0</v>
      </c>
      <c r="C133" s="3" t="s">
        <v>619</v>
      </c>
      <c r="D133" s="3" t="s">
        <v>620</v>
      </c>
      <c r="E133" s="3" t="s">
        <v>157</v>
      </c>
      <c r="F133" s="3" t="s">
        <v>60</v>
      </c>
      <c r="G133" s="3" t="s">
        <v>621</v>
      </c>
      <c r="H133" s="4" t="s">
        <v>62</v>
      </c>
      <c r="I133" s="5"/>
      <c r="J133" s="5" t="s">
        <v>64</v>
      </c>
      <c r="K133" s="5"/>
      <c r="L133" s="5"/>
      <c r="M133" s="5"/>
      <c r="N133" s="5"/>
      <c r="O133" s="5"/>
      <c r="P133" s="5"/>
      <c r="Q133" s="5"/>
      <c r="R133" s="5"/>
      <c r="S133" s="5"/>
      <c r="T133" s="5"/>
      <c r="U133" s="5"/>
      <c r="V133" s="5"/>
      <c r="W133" s="5"/>
      <c r="X133" s="5"/>
      <c r="Y133" s="5"/>
      <c r="Z133" s="5"/>
      <c r="AA133" s="5"/>
      <c r="AB133" s="5" t="str">
        <f>IFERROR(IF(VLOOKUP(D133,Revistas!$A$21:$C$400,3,FALSE)=0,"",VLOOKUP(D133,Revistas!$A$21:$C$400,3,FALSE)),"")</f>
        <v/>
      </c>
      <c r="AC133" s="5"/>
      <c r="AD133" s="5"/>
      <c r="AE133" s="5"/>
    </row>
    <row r="134" ht="15.75" customHeight="1">
      <c r="A134" s="3" t="s">
        <v>622</v>
      </c>
      <c r="B134" s="3">
        <v>2256.0</v>
      </c>
      <c r="C134" s="3" t="s">
        <v>623</v>
      </c>
      <c r="D134" s="3" t="s">
        <v>385</v>
      </c>
      <c r="E134" s="3" t="s">
        <v>132</v>
      </c>
      <c r="F134" s="3" t="s">
        <v>60</v>
      </c>
      <c r="G134" s="3" t="s">
        <v>624</v>
      </c>
      <c r="H134" s="4" t="s">
        <v>62</v>
      </c>
      <c r="I134" s="5"/>
      <c r="J134" s="5" t="s">
        <v>64</v>
      </c>
      <c r="K134" s="5"/>
      <c r="L134" s="5"/>
      <c r="M134" s="5"/>
      <c r="N134" s="5"/>
      <c r="O134" s="5"/>
      <c r="P134" s="5"/>
      <c r="Q134" s="5"/>
      <c r="R134" s="5"/>
      <c r="S134" s="5"/>
      <c r="T134" s="5"/>
      <c r="U134" s="5"/>
      <c r="V134" s="5"/>
      <c r="W134" s="5"/>
      <c r="X134" s="5"/>
      <c r="Y134" s="5"/>
      <c r="Z134" s="5"/>
      <c r="AA134" s="5"/>
      <c r="AB134" s="5" t="str">
        <f>IFERROR(IF(VLOOKUP(D134,Revistas!$A$21:$C$400,3,FALSE)=0,"",VLOOKUP(D134,Revistas!$A$21:$C$400,3,FALSE)),"")</f>
        <v/>
      </c>
      <c r="AC134" s="5"/>
      <c r="AD134" s="5"/>
      <c r="AE134" s="5"/>
    </row>
    <row r="135" ht="15.75" customHeight="1">
      <c r="A135" s="3" t="s">
        <v>625</v>
      </c>
      <c r="B135" s="3">
        <v>2259.0</v>
      </c>
      <c r="C135" s="3" t="s">
        <v>626</v>
      </c>
      <c r="D135" s="3" t="s">
        <v>537</v>
      </c>
      <c r="E135" s="3" t="s">
        <v>132</v>
      </c>
      <c r="F135" s="3" t="s">
        <v>60</v>
      </c>
      <c r="G135" s="3" t="s">
        <v>627</v>
      </c>
      <c r="H135" s="4" t="s">
        <v>62</v>
      </c>
      <c r="I135" s="5"/>
      <c r="J135" s="5" t="s">
        <v>64</v>
      </c>
      <c r="K135" s="5"/>
      <c r="L135" s="5"/>
      <c r="M135" s="5"/>
      <c r="N135" s="5"/>
      <c r="O135" s="5"/>
      <c r="P135" s="5"/>
      <c r="Q135" s="5"/>
      <c r="R135" s="5"/>
      <c r="S135" s="5"/>
      <c r="T135" s="5"/>
      <c r="U135" s="5"/>
      <c r="V135" s="5"/>
      <c r="W135" s="5"/>
      <c r="X135" s="5"/>
      <c r="Y135" s="5"/>
      <c r="Z135" s="5"/>
      <c r="AA135" s="5"/>
      <c r="AB135" s="5" t="str">
        <f>IFERROR(IF(VLOOKUP(D135,Revistas!$A$21:$C$400,3,FALSE)=0,"",VLOOKUP(D135,Revistas!$A$21:$C$400,3,FALSE)),"")</f>
        <v/>
      </c>
      <c r="AC135" s="5"/>
      <c r="AD135" s="5"/>
      <c r="AE135" s="5"/>
    </row>
    <row r="136" ht="15.75" customHeight="1">
      <c r="A136" s="3" t="s">
        <v>628</v>
      </c>
      <c r="B136" s="3">
        <v>2304.0</v>
      </c>
      <c r="C136" s="3" t="s">
        <v>629</v>
      </c>
      <c r="D136" s="3" t="s">
        <v>630</v>
      </c>
      <c r="E136" s="3" t="s">
        <v>132</v>
      </c>
      <c r="F136" s="3" t="s">
        <v>60</v>
      </c>
      <c r="G136" s="3" t="s">
        <v>631</v>
      </c>
      <c r="H136" s="4" t="s">
        <v>62</v>
      </c>
      <c r="I136" s="5"/>
      <c r="J136" s="5" t="s">
        <v>64</v>
      </c>
      <c r="K136" s="5"/>
      <c r="L136" s="5"/>
      <c r="M136" s="5"/>
      <c r="N136" s="5"/>
      <c r="O136" s="5"/>
      <c r="P136" s="5"/>
      <c r="Q136" s="5"/>
      <c r="R136" s="5"/>
      <c r="S136" s="5"/>
      <c r="T136" s="5"/>
      <c r="U136" s="5"/>
      <c r="V136" s="5"/>
      <c r="W136" s="5"/>
      <c r="X136" s="5"/>
      <c r="Y136" s="5"/>
      <c r="Z136" s="5"/>
      <c r="AA136" s="5"/>
      <c r="AB136" s="5" t="str">
        <f>IFERROR(IF(VLOOKUP(D136,Revistas!$A$21:$C$400,3,FALSE)=0,"",VLOOKUP(D136,Revistas!$A$21:$C$400,3,FALSE)),"")</f>
        <v/>
      </c>
      <c r="AC136" s="5"/>
      <c r="AD136" s="5"/>
      <c r="AE136" s="5"/>
    </row>
    <row r="137" ht="15.75" customHeight="1">
      <c r="A137" s="3" t="s">
        <v>632</v>
      </c>
      <c r="B137" s="3">
        <v>2313.0</v>
      </c>
      <c r="C137" s="3" t="s">
        <v>633</v>
      </c>
      <c r="D137" s="3" t="s">
        <v>634</v>
      </c>
      <c r="E137" s="3" t="s">
        <v>132</v>
      </c>
      <c r="F137" s="3" t="s">
        <v>60</v>
      </c>
      <c r="G137" s="3" t="s">
        <v>635</v>
      </c>
      <c r="H137" s="4" t="s">
        <v>62</v>
      </c>
      <c r="I137" s="5"/>
      <c r="J137" s="5" t="s">
        <v>64</v>
      </c>
      <c r="K137" s="5"/>
      <c r="L137" s="5"/>
      <c r="M137" s="5"/>
      <c r="N137" s="5"/>
      <c r="O137" s="5"/>
      <c r="P137" s="5"/>
      <c r="Q137" s="5"/>
      <c r="R137" s="5"/>
      <c r="S137" s="5"/>
      <c r="T137" s="5"/>
      <c r="U137" s="5"/>
      <c r="V137" s="5"/>
      <c r="W137" s="5"/>
      <c r="X137" s="5"/>
      <c r="Y137" s="5"/>
      <c r="Z137" s="5"/>
      <c r="AA137" s="5"/>
      <c r="AB137" s="5" t="str">
        <f>IFERROR(IF(VLOOKUP(D137,Revistas!$A$21:$C$400,3,FALSE)=0,"",VLOOKUP(D137,Revistas!$A$21:$C$400,3,FALSE)),"")</f>
        <v/>
      </c>
      <c r="AC137" s="5"/>
      <c r="AD137" s="5"/>
      <c r="AE137" s="5"/>
    </row>
    <row r="138" ht="15.75" customHeight="1">
      <c r="A138" s="3" t="s">
        <v>636</v>
      </c>
      <c r="B138" s="3">
        <v>2743.0</v>
      </c>
      <c r="C138" s="3" t="s">
        <v>637</v>
      </c>
      <c r="D138" s="3" t="s">
        <v>638</v>
      </c>
      <c r="E138" s="3" t="s">
        <v>559</v>
      </c>
      <c r="F138" s="3" t="s">
        <v>60</v>
      </c>
      <c r="G138" s="3" t="s">
        <v>639</v>
      </c>
      <c r="H138" s="4" t="s">
        <v>62</v>
      </c>
      <c r="I138" s="5"/>
      <c r="J138" s="5" t="s">
        <v>64</v>
      </c>
      <c r="K138" s="5"/>
      <c r="L138" s="5"/>
      <c r="M138" s="5"/>
      <c r="N138" s="5"/>
      <c r="O138" s="5"/>
      <c r="P138" s="5"/>
      <c r="Q138" s="5"/>
      <c r="R138" s="5"/>
      <c r="S138" s="5"/>
      <c r="T138" s="5"/>
      <c r="U138" s="5"/>
      <c r="V138" s="5"/>
      <c r="W138" s="5"/>
      <c r="X138" s="5"/>
      <c r="Y138" s="5"/>
      <c r="Z138" s="5"/>
      <c r="AA138" s="5"/>
      <c r="AB138" s="5" t="str">
        <f>IFERROR(IF(VLOOKUP(D138,Revistas!$A$21:$C$400,3,FALSE)=0,"",VLOOKUP(D138,Revistas!$A$21:$C$400,3,FALSE)),"")</f>
        <v/>
      </c>
      <c r="AC138" s="5"/>
      <c r="AD138" s="5"/>
      <c r="AE138" s="5"/>
    </row>
    <row r="139" ht="15.75" customHeight="1">
      <c r="A139" s="3" t="s">
        <v>640</v>
      </c>
      <c r="B139" s="3">
        <v>2744.0</v>
      </c>
      <c r="C139" s="3" t="s">
        <v>641</v>
      </c>
      <c r="D139" s="3" t="s">
        <v>642</v>
      </c>
      <c r="E139" s="3" t="s">
        <v>559</v>
      </c>
      <c r="F139" s="3" t="s">
        <v>60</v>
      </c>
      <c r="G139" s="3" t="s">
        <v>643</v>
      </c>
      <c r="H139" s="4" t="s">
        <v>62</v>
      </c>
      <c r="I139" s="5"/>
      <c r="J139" s="5" t="s">
        <v>64</v>
      </c>
      <c r="K139" s="5"/>
      <c r="L139" s="5"/>
      <c r="M139" s="5"/>
      <c r="N139" s="5"/>
      <c r="O139" s="5"/>
      <c r="P139" s="5"/>
      <c r="Q139" s="5"/>
      <c r="R139" s="5"/>
      <c r="S139" s="5"/>
      <c r="T139" s="5"/>
      <c r="U139" s="5"/>
      <c r="V139" s="5"/>
      <c r="W139" s="5"/>
      <c r="X139" s="5"/>
      <c r="Y139" s="5"/>
      <c r="Z139" s="5"/>
      <c r="AA139" s="5"/>
      <c r="AB139" s="5" t="str">
        <f>IFERROR(IF(VLOOKUP(D139,Revistas!$A$21:$C$400,3,FALSE)=0,"",VLOOKUP(D139,Revistas!$A$21:$C$400,3,FALSE)),"")</f>
        <v/>
      </c>
      <c r="AC139" s="5"/>
      <c r="AD139" s="5"/>
      <c r="AE139" s="5"/>
    </row>
    <row r="140" ht="15.75" customHeight="1">
      <c r="A140" s="3" t="s">
        <v>644</v>
      </c>
      <c r="B140" s="3">
        <v>2904.0</v>
      </c>
      <c r="C140" s="3" t="s">
        <v>645</v>
      </c>
      <c r="D140" s="3" t="s">
        <v>529</v>
      </c>
      <c r="E140" s="3" t="s">
        <v>123</v>
      </c>
      <c r="F140" s="3" t="s">
        <v>60</v>
      </c>
      <c r="G140" s="3" t="s">
        <v>646</v>
      </c>
      <c r="H140" s="4" t="s">
        <v>62</v>
      </c>
      <c r="I140" s="5"/>
      <c r="J140" s="5" t="s">
        <v>64</v>
      </c>
      <c r="K140" s="5"/>
      <c r="L140" s="5"/>
      <c r="M140" s="5"/>
      <c r="N140" s="5"/>
      <c r="O140" s="5"/>
      <c r="P140" s="5"/>
      <c r="Q140" s="5"/>
      <c r="R140" s="5"/>
      <c r="S140" s="5"/>
      <c r="T140" s="5"/>
      <c r="U140" s="5"/>
      <c r="V140" s="5"/>
      <c r="W140" s="5"/>
      <c r="X140" s="5"/>
      <c r="Y140" s="5"/>
      <c r="Z140" s="5"/>
      <c r="AA140" s="5"/>
      <c r="AB140" s="5" t="str">
        <f>IFERROR(IF(VLOOKUP(D140,Revistas!$A$21:$C$400,3,FALSE)=0,"",VLOOKUP(D140,Revistas!$A$21:$C$400,3,FALSE)),"")</f>
        <v/>
      </c>
      <c r="AC140" s="5"/>
      <c r="AD140" s="5"/>
      <c r="AE140" s="5"/>
    </row>
    <row r="141" ht="15.75" customHeight="1">
      <c r="A141" s="3" t="s">
        <v>647</v>
      </c>
      <c r="B141" s="3">
        <v>2929.0</v>
      </c>
      <c r="C141" s="3" t="s">
        <v>648</v>
      </c>
      <c r="D141" s="3" t="s">
        <v>649</v>
      </c>
      <c r="E141" s="3" t="s">
        <v>266</v>
      </c>
      <c r="F141" s="3" t="s">
        <v>60</v>
      </c>
      <c r="G141" s="3" t="s">
        <v>650</v>
      </c>
      <c r="H141" s="4" t="s">
        <v>62</v>
      </c>
      <c r="I141" s="5"/>
      <c r="J141" s="5" t="s">
        <v>64</v>
      </c>
      <c r="K141" s="5"/>
      <c r="L141" s="5"/>
      <c r="M141" s="5"/>
      <c r="N141" s="5"/>
      <c r="O141" s="5"/>
      <c r="P141" s="5"/>
      <c r="Q141" s="5"/>
      <c r="R141" s="5"/>
      <c r="S141" s="5"/>
      <c r="T141" s="5"/>
      <c r="U141" s="5"/>
      <c r="V141" s="5"/>
      <c r="W141" s="5"/>
      <c r="X141" s="5"/>
      <c r="Y141" s="5"/>
      <c r="Z141" s="5"/>
      <c r="AA141" s="5"/>
      <c r="AB141" s="5" t="str">
        <f>IFERROR(IF(VLOOKUP(D141,Revistas!$A$21:$C$400,3,FALSE)=0,"",VLOOKUP(D141,Revistas!$A$21:$C$400,3,FALSE)),"")</f>
        <v/>
      </c>
      <c r="AC141" s="5"/>
      <c r="AD141" s="5"/>
      <c r="AE141" s="5"/>
    </row>
    <row r="142" ht="15.75" customHeight="1">
      <c r="A142" s="3" t="s">
        <v>651</v>
      </c>
      <c r="B142" s="3">
        <v>2998.0</v>
      </c>
      <c r="C142" s="3" t="s">
        <v>652</v>
      </c>
      <c r="D142" s="3" t="s">
        <v>653</v>
      </c>
      <c r="E142" s="3" t="s">
        <v>59</v>
      </c>
      <c r="F142" s="3" t="s">
        <v>60</v>
      </c>
      <c r="G142" s="3" t="s">
        <v>654</v>
      </c>
      <c r="H142" s="4" t="s">
        <v>62</v>
      </c>
      <c r="I142" s="5"/>
      <c r="J142" s="5" t="s">
        <v>64</v>
      </c>
      <c r="K142" s="5"/>
      <c r="L142" s="5"/>
      <c r="M142" s="5"/>
      <c r="N142" s="5"/>
      <c r="O142" s="5"/>
      <c r="P142" s="5"/>
      <c r="Q142" s="5"/>
      <c r="R142" s="5"/>
      <c r="S142" s="5"/>
      <c r="T142" s="5"/>
      <c r="U142" s="5"/>
      <c r="V142" s="5"/>
      <c r="W142" s="5"/>
      <c r="X142" s="5"/>
      <c r="Y142" s="5"/>
      <c r="Z142" s="5"/>
      <c r="AA142" s="5"/>
      <c r="AB142" s="5" t="str">
        <f>IFERROR(IF(VLOOKUP(D142,Revistas!$A$21:$C$400,3,FALSE)=0,"",VLOOKUP(D142,Revistas!$A$21:$C$400,3,FALSE)),"")</f>
        <v/>
      </c>
      <c r="AC142" s="5"/>
      <c r="AD142" s="5"/>
      <c r="AE142" s="5"/>
    </row>
    <row r="143" ht="15.75" customHeight="1">
      <c r="A143" s="3" t="s">
        <v>655</v>
      </c>
      <c r="B143" s="3">
        <v>3020.0</v>
      </c>
      <c r="C143" s="3" t="s">
        <v>656</v>
      </c>
      <c r="D143" s="3" t="s">
        <v>657</v>
      </c>
      <c r="E143" s="3" t="s">
        <v>59</v>
      </c>
      <c r="F143" s="3" t="s">
        <v>60</v>
      </c>
      <c r="G143" s="3" t="s">
        <v>658</v>
      </c>
      <c r="H143" s="4" t="s">
        <v>62</v>
      </c>
      <c r="I143" s="5"/>
      <c r="J143" s="5" t="s">
        <v>64</v>
      </c>
      <c r="K143" s="5"/>
      <c r="L143" s="5"/>
      <c r="M143" s="5"/>
      <c r="N143" s="5"/>
      <c r="O143" s="5"/>
      <c r="P143" s="5"/>
      <c r="Q143" s="5"/>
      <c r="R143" s="5"/>
      <c r="S143" s="5"/>
      <c r="T143" s="5"/>
      <c r="U143" s="5"/>
      <c r="V143" s="5"/>
      <c r="W143" s="5"/>
      <c r="X143" s="5"/>
      <c r="Y143" s="5"/>
      <c r="Z143" s="5"/>
      <c r="AA143" s="5"/>
      <c r="AB143" s="5" t="str">
        <f>IFERROR(IF(VLOOKUP(D143,Revistas!$A$21:$C$400,3,FALSE)=0,"",VLOOKUP(D143,Revistas!$A$21:$C$400,3,FALSE)),"")</f>
        <v/>
      </c>
      <c r="AC143" s="5"/>
      <c r="AD143" s="5"/>
      <c r="AE143" s="5"/>
    </row>
    <row r="144" ht="15.75" customHeight="1">
      <c r="A144" s="3" t="s">
        <v>659</v>
      </c>
      <c r="B144" s="3">
        <v>3128.0</v>
      </c>
      <c r="C144" s="3" t="s">
        <v>660</v>
      </c>
      <c r="D144" s="3" t="s">
        <v>661</v>
      </c>
      <c r="E144" s="3" t="s">
        <v>157</v>
      </c>
      <c r="F144" s="3" t="s">
        <v>60</v>
      </c>
      <c r="G144" s="3" t="s">
        <v>662</v>
      </c>
      <c r="H144" s="4" t="s">
        <v>62</v>
      </c>
      <c r="I144" s="5"/>
      <c r="J144" s="5" t="s">
        <v>64</v>
      </c>
      <c r="K144" s="5"/>
      <c r="L144" s="5"/>
      <c r="M144" s="5"/>
      <c r="N144" s="5"/>
      <c r="O144" s="5"/>
      <c r="P144" s="5"/>
      <c r="Q144" s="5"/>
      <c r="R144" s="5"/>
      <c r="S144" s="5"/>
      <c r="T144" s="5"/>
      <c r="U144" s="5"/>
      <c r="V144" s="5"/>
      <c r="W144" s="5"/>
      <c r="X144" s="5"/>
      <c r="Y144" s="5"/>
      <c r="Z144" s="5"/>
      <c r="AA144" s="5"/>
      <c r="AB144" s="5" t="str">
        <f>IFERROR(IF(VLOOKUP(D144,Revistas!$A$21:$C$400,3,FALSE)=0,"",VLOOKUP(D144,Revistas!$A$21:$C$400,3,FALSE)),"")</f>
        <v/>
      </c>
      <c r="AC144" s="5"/>
      <c r="AD144" s="5"/>
      <c r="AE144" s="5"/>
    </row>
    <row r="145" ht="15.75" customHeight="1">
      <c r="A145" s="3" t="s">
        <v>663</v>
      </c>
      <c r="B145" s="3">
        <v>3311.0</v>
      </c>
      <c r="C145" s="3" t="s">
        <v>664</v>
      </c>
      <c r="D145" s="3" t="s">
        <v>665</v>
      </c>
      <c r="E145" s="3" t="s">
        <v>80</v>
      </c>
      <c r="F145" s="3" t="s">
        <v>60</v>
      </c>
      <c r="G145" s="3" t="s">
        <v>666</v>
      </c>
      <c r="H145" s="4" t="s">
        <v>62</v>
      </c>
      <c r="I145" s="5"/>
      <c r="J145" s="5" t="s">
        <v>64</v>
      </c>
      <c r="K145" s="5"/>
      <c r="L145" s="5"/>
      <c r="M145" s="5"/>
      <c r="N145" s="5"/>
      <c r="O145" s="5"/>
      <c r="P145" s="5"/>
      <c r="Q145" s="5"/>
      <c r="R145" s="5"/>
      <c r="S145" s="5"/>
      <c r="T145" s="5"/>
      <c r="U145" s="5"/>
      <c r="V145" s="5"/>
      <c r="W145" s="5"/>
      <c r="X145" s="5"/>
      <c r="Y145" s="5"/>
      <c r="Z145" s="5"/>
      <c r="AA145" s="5"/>
      <c r="AB145" s="5" t="str">
        <f>IFERROR(IF(VLOOKUP(D145,Revistas!$A$21:$C$400,3,FALSE)=0,"",VLOOKUP(D145,Revistas!$A$21:$C$400,3,FALSE)),"")</f>
        <v/>
      </c>
      <c r="AC145" s="5"/>
      <c r="AD145" s="5"/>
      <c r="AE145" s="5"/>
    </row>
    <row r="146" ht="15.75" customHeight="1">
      <c r="A146" s="3" t="s">
        <v>667</v>
      </c>
      <c r="B146" s="3">
        <v>3346.0</v>
      </c>
      <c r="C146" s="3" t="s">
        <v>668</v>
      </c>
      <c r="D146" s="3" t="s">
        <v>131</v>
      </c>
      <c r="E146" s="3" t="s">
        <v>80</v>
      </c>
      <c r="F146" s="3" t="s">
        <v>60</v>
      </c>
      <c r="G146" s="3" t="s">
        <v>669</v>
      </c>
      <c r="H146" s="4" t="s">
        <v>62</v>
      </c>
      <c r="I146" s="5"/>
      <c r="J146" s="5" t="s">
        <v>64</v>
      </c>
      <c r="K146" s="5"/>
      <c r="L146" s="5"/>
      <c r="M146" s="5"/>
      <c r="N146" s="5"/>
      <c r="O146" s="5"/>
      <c r="P146" s="5"/>
      <c r="Q146" s="5"/>
      <c r="R146" s="5"/>
      <c r="S146" s="5"/>
      <c r="T146" s="5"/>
      <c r="U146" s="5"/>
      <c r="V146" s="5"/>
      <c r="W146" s="5"/>
      <c r="X146" s="5"/>
      <c r="Y146" s="5"/>
      <c r="Z146" s="5"/>
      <c r="AA146" s="5"/>
      <c r="AB146" s="5" t="str">
        <f>IFERROR(IF(VLOOKUP(D146,Revistas!$A$21:$C$400,3,FALSE)=0,"",VLOOKUP(D146,Revistas!$A$21:$C$400,3,FALSE)),"")</f>
        <v>medio</v>
      </c>
      <c r="AC146" s="5"/>
      <c r="AD146" s="5"/>
      <c r="AE146" s="5"/>
    </row>
    <row r="147" ht="15.75" customHeight="1">
      <c r="A147" s="3" t="s">
        <v>670</v>
      </c>
      <c r="B147" s="3">
        <v>3688.0</v>
      </c>
      <c r="C147" s="3" t="s">
        <v>671</v>
      </c>
      <c r="D147" s="3" t="s">
        <v>672</v>
      </c>
      <c r="E147" s="3" t="s">
        <v>111</v>
      </c>
      <c r="F147" s="3" t="s">
        <v>60</v>
      </c>
      <c r="G147" s="3" t="s">
        <v>673</v>
      </c>
      <c r="H147" s="4" t="s">
        <v>62</v>
      </c>
      <c r="I147" s="5"/>
      <c r="J147" s="5" t="s">
        <v>64</v>
      </c>
      <c r="K147" s="5"/>
      <c r="L147" s="5"/>
      <c r="M147" s="5"/>
      <c r="N147" s="5"/>
      <c r="O147" s="5"/>
      <c r="P147" s="5"/>
      <c r="Q147" s="5"/>
      <c r="R147" s="5"/>
      <c r="S147" s="5"/>
      <c r="T147" s="5"/>
      <c r="U147" s="5"/>
      <c r="V147" s="5"/>
      <c r="W147" s="5"/>
      <c r="X147" s="5"/>
      <c r="Y147" s="5"/>
      <c r="Z147" s="5"/>
      <c r="AA147" s="5"/>
      <c r="AB147" s="5" t="str">
        <f>IFERROR(IF(VLOOKUP(D147,Revistas!$A$21:$C$400,3,FALSE)=0,"",VLOOKUP(D147,Revistas!$A$21:$C$400,3,FALSE)),"")</f>
        <v/>
      </c>
      <c r="AC147" s="5"/>
      <c r="AD147" s="5"/>
      <c r="AE147" s="5"/>
    </row>
    <row r="148" ht="15.75" customHeight="1">
      <c r="A148" s="3" t="s">
        <v>674</v>
      </c>
      <c r="B148" s="3">
        <v>3870.0</v>
      </c>
      <c r="C148" s="3" t="s">
        <v>675</v>
      </c>
      <c r="D148" s="3" t="s">
        <v>676</v>
      </c>
      <c r="E148" s="3" t="s">
        <v>142</v>
      </c>
      <c r="F148" s="3" t="s">
        <v>60</v>
      </c>
      <c r="G148" s="3" t="s">
        <v>677</v>
      </c>
      <c r="H148" s="4" t="s">
        <v>62</v>
      </c>
      <c r="I148" s="5"/>
      <c r="J148" s="5" t="s">
        <v>64</v>
      </c>
      <c r="K148" s="5"/>
      <c r="L148" s="5"/>
      <c r="M148" s="5"/>
      <c r="N148" s="5"/>
      <c r="O148" s="5"/>
      <c r="P148" s="5"/>
      <c r="Q148" s="5"/>
      <c r="R148" s="5"/>
      <c r="S148" s="5"/>
      <c r="T148" s="5"/>
      <c r="U148" s="5"/>
      <c r="V148" s="5"/>
      <c r="W148" s="5"/>
      <c r="X148" s="5"/>
      <c r="Y148" s="5"/>
      <c r="Z148" s="5"/>
      <c r="AA148" s="5"/>
      <c r="AB148" s="5" t="str">
        <f>IFERROR(IF(VLOOKUP(D148,Revistas!$A$21:$C$400,3,FALSE)=0,"",VLOOKUP(D148,Revistas!$A$21:$C$400,3,FALSE)),"")</f>
        <v/>
      </c>
      <c r="AC148" s="5"/>
      <c r="AD148" s="5"/>
      <c r="AE148" s="5"/>
    </row>
    <row r="149" ht="15.75" customHeight="1">
      <c r="A149" s="3" t="s">
        <v>678</v>
      </c>
      <c r="B149" s="3">
        <v>3891.0</v>
      </c>
      <c r="C149" s="3" t="s">
        <v>679</v>
      </c>
      <c r="D149" s="3" t="s">
        <v>680</v>
      </c>
      <c r="E149" s="3" t="s">
        <v>142</v>
      </c>
      <c r="F149" s="3" t="s">
        <v>60</v>
      </c>
      <c r="G149" s="3" t="s">
        <v>681</v>
      </c>
      <c r="H149" s="4" t="s">
        <v>62</v>
      </c>
      <c r="I149" s="5"/>
      <c r="J149" s="5" t="s">
        <v>64</v>
      </c>
      <c r="K149" s="5"/>
      <c r="L149" s="5"/>
      <c r="M149" s="5"/>
      <c r="N149" s="5"/>
      <c r="O149" s="5"/>
      <c r="P149" s="5"/>
      <c r="Q149" s="5"/>
      <c r="R149" s="5"/>
      <c r="S149" s="5"/>
      <c r="T149" s="5"/>
      <c r="U149" s="5"/>
      <c r="V149" s="5"/>
      <c r="W149" s="5"/>
      <c r="X149" s="5"/>
      <c r="Y149" s="5"/>
      <c r="Z149" s="5"/>
      <c r="AA149" s="5"/>
      <c r="AB149" s="5" t="str">
        <f>IFERROR(IF(VLOOKUP(D149,Revistas!$A$21:$C$400,3,FALSE)=0,"",VLOOKUP(D149,Revistas!$A$21:$C$400,3,FALSE)),"")</f>
        <v/>
      </c>
      <c r="AC149" s="5"/>
      <c r="AD149" s="5"/>
      <c r="AE149" s="5"/>
    </row>
    <row r="150" ht="15.75" customHeight="1">
      <c r="A150" s="3" t="s">
        <v>682</v>
      </c>
      <c r="B150" s="3">
        <v>4039.0</v>
      </c>
      <c r="C150" s="3" t="s">
        <v>683</v>
      </c>
      <c r="D150" s="3" t="s">
        <v>684</v>
      </c>
      <c r="E150" s="3" t="s">
        <v>266</v>
      </c>
      <c r="F150" s="3" t="s">
        <v>404</v>
      </c>
      <c r="G150" s="3" t="s">
        <v>685</v>
      </c>
      <c r="H150" s="4" t="s">
        <v>62</v>
      </c>
      <c r="I150" s="5"/>
      <c r="J150" s="5" t="s">
        <v>64</v>
      </c>
      <c r="K150" s="5"/>
      <c r="L150" s="5"/>
      <c r="M150" s="5"/>
      <c r="N150" s="5"/>
      <c r="O150" s="5"/>
      <c r="P150" s="5"/>
      <c r="Q150" s="5"/>
      <c r="R150" s="5"/>
      <c r="S150" s="5"/>
      <c r="T150" s="5"/>
      <c r="U150" s="5"/>
      <c r="V150" s="5"/>
      <c r="W150" s="5"/>
      <c r="X150" s="5"/>
      <c r="Y150" s="5"/>
      <c r="Z150" s="5"/>
      <c r="AA150" s="5"/>
      <c r="AB150" s="5" t="str">
        <f>IFERROR(IF(VLOOKUP(D150,Revistas!$A$21:$C$400,3,FALSE)=0,"",VLOOKUP(D150,Revistas!$A$21:$C$400,3,FALSE)),"")</f>
        <v/>
      </c>
      <c r="AC150" s="5"/>
      <c r="AD150" s="5"/>
      <c r="AE150" s="5"/>
    </row>
    <row r="151" ht="15.75" customHeight="1">
      <c r="A151" s="3" t="s">
        <v>686</v>
      </c>
      <c r="B151" s="3">
        <v>4229.0</v>
      </c>
      <c r="C151" s="3" t="s">
        <v>687</v>
      </c>
      <c r="D151" s="3" t="s">
        <v>688</v>
      </c>
      <c r="E151" s="3" t="s">
        <v>132</v>
      </c>
      <c r="F151" s="3" t="s">
        <v>60</v>
      </c>
      <c r="G151" s="3" t="s">
        <v>689</v>
      </c>
      <c r="H151" s="4" t="s">
        <v>62</v>
      </c>
      <c r="I151" s="5"/>
      <c r="J151" s="5" t="s">
        <v>64</v>
      </c>
      <c r="K151" s="5"/>
      <c r="L151" s="5"/>
      <c r="M151" s="5"/>
      <c r="N151" s="5"/>
      <c r="O151" s="5"/>
      <c r="P151" s="5"/>
      <c r="Q151" s="5"/>
      <c r="R151" s="5"/>
      <c r="S151" s="5"/>
      <c r="T151" s="5"/>
      <c r="U151" s="5"/>
      <c r="V151" s="5"/>
      <c r="W151" s="5"/>
      <c r="X151" s="5"/>
      <c r="Y151" s="5"/>
      <c r="Z151" s="5"/>
      <c r="AA151" s="5"/>
      <c r="AB151" s="5" t="str">
        <f>IFERROR(IF(VLOOKUP(D151,Revistas!$A$21:$C$400,3,FALSE)=0,"",VLOOKUP(D151,Revistas!$A$21:$C$400,3,FALSE)),"")</f>
        <v/>
      </c>
      <c r="AC151" s="5"/>
      <c r="AD151" s="5"/>
      <c r="AE151" s="5"/>
    </row>
    <row r="152" ht="15.75" customHeight="1">
      <c r="A152" s="3" t="s">
        <v>690</v>
      </c>
      <c r="B152" s="3">
        <v>4805.0</v>
      </c>
      <c r="C152" s="3" t="s">
        <v>691</v>
      </c>
      <c r="D152" s="3" t="s">
        <v>573</v>
      </c>
      <c r="E152" s="3" t="s">
        <v>559</v>
      </c>
      <c r="F152" s="3" t="s">
        <v>60</v>
      </c>
      <c r="G152" s="3" t="s">
        <v>692</v>
      </c>
      <c r="H152" s="4" t="s">
        <v>62</v>
      </c>
      <c r="I152" s="5"/>
      <c r="J152" s="5" t="s">
        <v>64</v>
      </c>
      <c r="K152" s="5"/>
      <c r="L152" s="5"/>
      <c r="M152" s="5"/>
      <c r="N152" s="5"/>
      <c r="O152" s="5"/>
      <c r="P152" s="5"/>
      <c r="Q152" s="5"/>
      <c r="R152" s="5"/>
      <c r="S152" s="5"/>
      <c r="T152" s="5"/>
      <c r="U152" s="5"/>
      <c r="V152" s="5"/>
      <c r="W152" s="5"/>
      <c r="X152" s="5"/>
      <c r="Y152" s="5"/>
      <c r="Z152" s="5"/>
      <c r="AA152" s="5"/>
      <c r="AB152" s="5" t="str">
        <f>IFERROR(IF(VLOOKUP(D152,Revistas!$A$21:$C$400,3,FALSE)=0,"",VLOOKUP(D152,Revistas!$A$21:$C$400,3,FALSE)),"")</f>
        <v/>
      </c>
      <c r="AC152" s="5"/>
      <c r="AD152" s="5"/>
      <c r="AE152" s="5"/>
    </row>
    <row r="153" ht="15.75" customHeight="1">
      <c r="A153" s="3" t="s">
        <v>693</v>
      </c>
      <c r="B153" s="3">
        <v>5002.0</v>
      </c>
      <c r="C153" s="3" t="s">
        <v>694</v>
      </c>
      <c r="D153" s="3" t="s">
        <v>695</v>
      </c>
      <c r="E153" s="3" t="s">
        <v>123</v>
      </c>
      <c r="F153" s="3" t="s">
        <v>60</v>
      </c>
      <c r="G153" s="3" t="s">
        <v>696</v>
      </c>
      <c r="H153" s="4" t="s">
        <v>62</v>
      </c>
      <c r="I153" s="5"/>
      <c r="J153" s="5" t="s">
        <v>64</v>
      </c>
      <c r="K153" s="5"/>
      <c r="L153" s="5"/>
      <c r="M153" s="5"/>
      <c r="N153" s="5"/>
      <c r="O153" s="5"/>
      <c r="P153" s="5"/>
      <c r="Q153" s="5"/>
      <c r="R153" s="5"/>
      <c r="S153" s="5"/>
      <c r="T153" s="5"/>
      <c r="U153" s="5"/>
      <c r="V153" s="5"/>
      <c r="W153" s="5"/>
      <c r="X153" s="5"/>
      <c r="Y153" s="5"/>
      <c r="Z153" s="5"/>
      <c r="AA153" s="5"/>
      <c r="AB153" s="5" t="str">
        <f>IFERROR(IF(VLOOKUP(D153,Revistas!$A$21:$C$400,3,FALSE)=0,"",VLOOKUP(D153,Revistas!$A$21:$C$400,3,FALSE)),"")</f>
        <v/>
      </c>
      <c r="AC153" s="5"/>
      <c r="AD153" s="5"/>
      <c r="AE153" s="5"/>
    </row>
    <row r="154" ht="15.75" customHeight="1">
      <c r="A154" s="3" t="s">
        <v>697</v>
      </c>
      <c r="B154" s="3">
        <v>5019.0</v>
      </c>
      <c r="C154" s="3" t="s">
        <v>698</v>
      </c>
      <c r="D154" s="3" t="s">
        <v>620</v>
      </c>
      <c r="E154" s="3" t="s">
        <v>123</v>
      </c>
      <c r="F154" s="3" t="s">
        <v>60</v>
      </c>
      <c r="G154" s="3" t="s">
        <v>699</v>
      </c>
      <c r="H154" s="4" t="s">
        <v>62</v>
      </c>
      <c r="I154" s="5"/>
      <c r="J154" s="5" t="s">
        <v>64</v>
      </c>
      <c r="K154" s="5"/>
      <c r="L154" s="5"/>
      <c r="M154" s="5"/>
      <c r="N154" s="5"/>
      <c r="O154" s="5"/>
      <c r="P154" s="5"/>
      <c r="Q154" s="5"/>
      <c r="R154" s="5"/>
      <c r="S154" s="5"/>
      <c r="T154" s="5"/>
      <c r="U154" s="5"/>
      <c r="V154" s="5"/>
      <c r="W154" s="5"/>
      <c r="X154" s="5"/>
      <c r="Y154" s="5"/>
      <c r="Z154" s="5"/>
      <c r="AA154" s="5"/>
      <c r="AB154" s="5" t="str">
        <f>IFERROR(IF(VLOOKUP(D154,Revistas!$A$21:$C$400,3,FALSE)=0,"",VLOOKUP(D154,Revistas!$A$21:$C$400,3,FALSE)),"")</f>
        <v/>
      </c>
      <c r="AC154" s="5"/>
      <c r="AD154" s="5"/>
      <c r="AE154" s="5"/>
    </row>
    <row r="155" ht="15.75" customHeight="1">
      <c r="A155" s="3" t="s">
        <v>700</v>
      </c>
      <c r="B155" s="3">
        <v>5177.0</v>
      </c>
      <c r="C155" s="3" t="s">
        <v>701</v>
      </c>
      <c r="D155" s="3" t="s">
        <v>661</v>
      </c>
      <c r="E155" s="3" t="s">
        <v>266</v>
      </c>
      <c r="F155" s="3" t="s">
        <v>60</v>
      </c>
      <c r="G155" s="3" t="s">
        <v>702</v>
      </c>
      <c r="H155" s="4" t="s">
        <v>62</v>
      </c>
      <c r="I155" s="5"/>
      <c r="J155" s="5" t="s">
        <v>64</v>
      </c>
      <c r="K155" s="5"/>
      <c r="L155" s="5"/>
      <c r="M155" s="5"/>
      <c r="N155" s="5"/>
      <c r="O155" s="5"/>
      <c r="P155" s="5"/>
      <c r="Q155" s="5"/>
      <c r="R155" s="5"/>
      <c r="S155" s="5"/>
      <c r="T155" s="5"/>
      <c r="U155" s="5"/>
      <c r="V155" s="5"/>
      <c r="W155" s="5"/>
      <c r="X155" s="5"/>
      <c r="Y155" s="5"/>
      <c r="Z155" s="5"/>
      <c r="AA155" s="5"/>
      <c r="AB155" s="5" t="str">
        <f>IFERROR(IF(VLOOKUP(D155,Revistas!$A$21:$C$400,3,FALSE)=0,"",VLOOKUP(D155,Revistas!$A$21:$C$400,3,FALSE)),"")</f>
        <v/>
      </c>
      <c r="AC155" s="5"/>
      <c r="AD155" s="5"/>
      <c r="AE155" s="5"/>
    </row>
    <row r="156" ht="15.75" customHeight="1">
      <c r="A156" s="3" t="s">
        <v>703</v>
      </c>
      <c r="B156" s="3">
        <v>5203.0</v>
      </c>
      <c r="C156" s="3" t="s">
        <v>704</v>
      </c>
      <c r="D156" s="3" t="s">
        <v>584</v>
      </c>
      <c r="E156" s="3" t="s">
        <v>266</v>
      </c>
      <c r="F156" s="3" t="s">
        <v>60</v>
      </c>
      <c r="G156" s="3" t="s">
        <v>705</v>
      </c>
      <c r="H156" s="4" t="s">
        <v>62</v>
      </c>
      <c r="I156" s="5"/>
      <c r="J156" s="5" t="s">
        <v>64</v>
      </c>
      <c r="K156" s="5"/>
      <c r="L156" s="5"/>
      <c r="M156" s="5"/>
      <c r="N156" s="5"/>
      <c r="O156" s="5"/>
      <c r="P156" s="5"/>
      <c r="Q156" s="5"/>
      <c r="R156" s="5"/>
      <c r="S156" s="5"/>
      <c r="T156" s="5"/>
      <c r="U156" s="5"/>
      <c r="V156" s="5"/>
      <c r="W156" s="5"/>
      <c r="X156" s="5"/>
      <c r="Y156" s="5"/>
      <c r="Z156" s="5"/>
      <c r="AA156" s="5"/>
      <c r="AB156" s="5" t="str">
        <f>IFERROR(IF(VLOOKUP(D156,Revistas!$A$21:$C$400,3,FALSE)=0,"",VLOOKUP(D156,Revistas!$A$21:$C$400,3,FALSE)),"")</f>
        <v/>
      </c>
      <c r="AC156" s="5"/>
      <c r="AD156" s="5"/>
      <c r="AE156" s="5"/>
    </row>
    <row r="157" ht="15.75" customHeight="1">
      <c r="A157" s="3" t="s">
        <v>706</v>
      </c>
      <c r="B157" s="3">
        <v>5448.0</v>
      </c>
      <c r="C157" s="3" t="s">
        <v>707</v>
      </c>
      <c r="D157" s="3" t="s">
        <v>708</v>
      </c>
      <c r="E157" s="3" t="s">
        <v>157</v>
      </c>
      <c r="F157" s="3" t="s">
        <v>60</v>
      </c>
      <c r="G157" s="3" t="s">
        <v>709</v>
      </c>
      <c r="H157" s="4" t="s">
        <v>62</v>
      </c>
      <c r="I157" s="5"/>
      <c r="J157" s="5" t="s">
        <v>64</v>
      </c>
      <c r="K157" s="5"/>
      <c r="L157" s="5"/>
      <c r="M157" s="5"/>
      <c r="N157" s="5"/>
      <c r="O157" s="5"/>
      <c r="P157" s="5"/>
      <c r="Q157" s="5"/>
      <c r="R157" s="5"/>
      <c r="S157" s="5"/>
      <c r="T157" s="5"/>
      <c r="U157" s="5"/>
      <c r="V157" s="5"/>
      <c r="W157" s="5"/>
      <c r="X157" s="5"/>
      <c r="Y157" s="5"/>
      <c r="Z157" s="5"/>
      <c r="AA157" s="5"/>
      <c r="AB157" s="5" t="str">
        <f>IFERROR(IF(VLOOKUP(D157,Revistas!$A$21:$C$400,3,FALSE)=0,"",VLOOKUP(D157,Revistas!$A$21:$C$400,3,FALSE)),"")</f>
        <v/>
      </c>
      <c r="AC157" s="5"/>
      <c r="AD157" s="5"/>
      <c r="AE157" s="5"/>
    </row>
    <row r="158" ht="15.75" customHeight="1">
      <c r="A158" s="3" t="s">
        <v>710</v>
      </c>
      <c r="B158" s="3">
        <v>5672.0</v>
      </c>
      <c r="C158" s="3" t="s">
        <v>711</v>
      </c>
      <c r="D158" s="3" t="s">
        <v>327</v>
      </c>
      <c r="E158" s="3" t="s">
        <v>80</v>
      </c>
      <c r="F158" s="3" t="s">
        <v>60</v>
      </c>
      <c r="G158" s="3" t="s">
        <v>712</v>
      </c>
      <c r="H158" s="4" t="s">
        <v>62</v>
      </c>
      <c r="I158" s="5"/>
      <c r="J158" s="5" t="s">
        <v>64</v>
      </c>
      <c r="K158" s="5"/>
      <c r="L158" s="5"/>
      <c r="M158" s="5"/>
      <c r="N158" s="5"/>
      <c r="O158" s="5"/>
      <c r="P158" s="5"/>
      <c r="Q158" s="5"/>
      <c r="R158" s="5"/>
      <c r="S158" s="5"/>
      <c r="T158" s="5"/>
      <c r="U158" s="5"/>
      <c r="V158" s="5"/>
      <c r="W158" s="5"/>
      <c r="X158" s="5"/>
      <c r="Y158" s="5"/>
      <c r="Z158" s="5"/>
      <c r="AA158" s="5"/>
      <c r="AB158" s="5" t="str">
        <f>IFERROR(IF(VLOOKUP(D158,Revistas!$A$21:$C$400,3,FALSE)=0,"",VLOOKUP(D158,Revistas!$A$21:$C$400,3,FALSE)),"")</f>
        <v>medio</v>
      </c>
      <c r="AC158" s="5"/>
      <c r="AD158" s="5"/>
      <c r="AE158" s="5"/>
    </row>
    <row r="159" ht="15.75" customHeight="1">
      <c r="A159" s="3" t="s">
        <v>713</v>
      </c>
      <c r="B159" s="3">
        <v>5731.0</v>
      </c>
      <c r="C159" s="3" t="s">
        <v>714</v>
      </c>
      <c r="D159" s="3" t="s">
        <v>537</v>
      </c>
      <c r="E159" s="3" t="s">
        <v>132</v>
      </c>
      <c r="F159" s="3" t="s">
        <v>60</v>
      </c>
      <c r="G159" s="3" t="s">
        <v>715</v>
      </c>
      <c r="H159" s="4" t="s">
        <v>62</v>
      </c>
      <c r="I159" s="5"/>
      <c r="J159" s="5" t="s">
        <v>64</v>
      </c>
      <c r="K159" s="5"/>
      <c r="L159" s="5"/>
      <c r="M159" s="5"/>
      <c r="N159" s="5"/>
      <c r="O159" s="5"/>
      <c r="P159" s="5"/>
      <c r="Q159" s="5"/>
      <c r="R159" s="5"/>
      <c r="S159" s="5"/>
      <c r="T159" s="5"/>
      <c r="U159" s="5"/>
      <c r="V159" s="5"/>
      <c r="W159" s="5"/>
      <c r="X159" s="5"/>
      <c r="Y159" s="5"/>
      <c r="Z159" s="5"/>
      <c r="AA159" s="5"/>
      <c r="AB159" s="5" t="str">
        <f>IFERROR(IF(VLOOKUP(D159,Revistas!$A$21:$C$400,3,FALSE)=0,"",VLOOKUP(D159,Revistas!$A$21:$C$400,3,FALSE)),"")</f>
        <v/>
      </c>
      <c r="AC159" s="5"/>
      <c r="AD159" s="5"/>
      <c r="AE159" s="5"/>
    </row>
    <row r="160" ht="15.75" customHeight="1">
      <c r="A160" s="3" t="s">
        <v>716</v>
      </c>
      <c r="B160" s="3">
        <v>6759.0</v>
      </c>
      <c r="C160" s="3" t="s">
        <v>717</v>
      </c>
      <c r="D160" s="3" t="s">
        <v>718</v>
      </c>
      <c r="E160" s="3" t="s">
        <v>304</v>
      </c>
      <c r="F160" s="3" t="s">
        <v>60</v>
      </c>
      <c r="G160" s="3" t="s">
        <v>719</v>
      </c>
      <c r="H160" s="4" t="s">
        <v>62</v>
      </c>
      <c r="I160" s="5"/>
      <c r="J160" s="5" t="s">
        <v>64</v>
      </c>
      <c r="K160" s="5"/>
      <c r="L160" s="5"/>
      <c r="M160" s="5"/>
      <c r="N160" s="5"/>
      <c r="O160" s="5"/>
      <c r="P160" s="5"/>
      <c r="Q160" s="5"/>
      <c r="R160" s="5"/>
      <c r="S160" s="5"/>
      <c r="T160" s="5"/>
      <c r="U160" s="5"/>
      <c r="V160" s="5"/>
      <c r="W160" s="5"/>
      <c r="X160" s="5"/>
      <c r="Y160" s="5"/>
      <c r="Z160" s="5"/>
      <c r="AA160" s="5"/>
      <c r="AB160" s="5" t="str">
        <f>IFERROR(IF(VLOOKUP(D160,Revistas!$A$21:$C$400,3,FALSE)=0,"",VLOOKUP(D160,Revistas!$A$21:$C$400,3,FALSE)),"")</f>
        <v/>
      </c>
      <c r="AC160" s="5"/>
      <c r="AD160" s="5"/>
      <c r="AE160" s="5"/>
    </row>
    <row r="161" ht="15.75" customHeight="1">
      <c r="A161" s="3" t="s">
        <v>720</v>
      </c>
      <c r="B161" s="3">
        <v>7588.0</v>
      </c>
      <c r="C161" s="3" t="s">
        <v>721</v>
      </c>
      <c r="D161" s="3" t="s">
        <v>529</v>
      </c>
      <c r="E161" s="3" t="s">
        <v>123</v>
      </c>
      <c r="F161" s="3" t="s">
        <v>60</v>
      </c>
      <c r="G161" s="3" t="s">
        <v>722</v>
      </c>
      <c r="H161" s="4" t="s">
        <v>62</v>
      </c>
      <c r="I161" s="5"/>
      <c r="J161" s="5" t="s">
        <v>64</v>
      </c>
      <c r="K161" s="5"/>
      <c r="L161" s="5"/>
      <c r="M161" s="5"/>
      <c r="N161" s="5"/>
      <c r="O161" s="5"/>
      <c r="P161" s="5"/>
      <c r="Q161" s="5"/>
      <c r="R161" s="5"/>
      <c r="S161" s="5"/>
      <c r="T161" s="5"/>
      <c r="U161" s="5"/>
      <c r="V161" s="5"/>
      <c r="W161" s="5"/>
      <c r="X161" s="5"/>
      <c r="Y161" s="5"/>
      <c r="Z161" s="5"/>
      <c r="AA161" s="5"/>
      <c r="AB161" s="5" t="str">
        <f>IFERROR(IF(VLOOKUP(D161,Revistas!$A$21:$C$400,3,FALSE)=0,"",VLOOKUP(D161,Revistas!$A$21:$C$400,3,FALSE)),"")</f>
        <v/>
      </c>
      <c r="AC161" s="5"/>
      <c r="AD161" s="5"/>
      <c r="AE161" s="5"/>
    </row>
    <row r="162" ht="15.75" customHeight="1">
      <c r="A162" s="3" t="s">
        <v>723</v>
      </c>
      <c r="B162" s="3">
        <v>7911.0</v>
      </c>
      <c r="C162" s="3" t="s">
        <v>724</v>
      </c>
      <c r="D162" s="3" t="s">
        <v>725</v>
      </c>
      <c r="E162" s="3" t="s">
        <v>266</v>
      </c>
      <c r="F162" s="3" t="s">
        <v>60</v>
      </c>
      <c r="G162" s="3" t="s">
        <v>726</v>
      </c>
      <c r="H162" s="4" t="s">
        <v>62</v>
      </c>
      <c r="I162" s="5"/>
      <c r="J162" s="5" t="s">
        <v>64</v>
      </c>
      <c r="K162" s="5"/>
      <c r="L162" s="5"/>
      <c r="M162" s="5"/>
      <c r="N162" s="5"/>
      <c r="O162" s="5"/>
      <c r="P162" s="5"/>
      <c r="Q162" s="5"/>
      <c r="R162" s="5"/>
      <c r="S162" s="5"/>
      <c r="T162" s="5"/>
      <c r="U162" s="5"/>
      <c r="V162" s="5"/>
      <c r="W162" s="5"/>
      <c r="X162" s="5"/>
      <c r="Y162" s="5"/>
      <c r="Z162" s="5"/>
      <c r="AA162" s="5"/>
      <c r="AB162" s="5" t="str">
        <f>IFERROR(IF(VLOOKUP(D162,Revistas!$A$21:$C$400,3,FALSE)=0,"",VLOOKUP(D162,Revistas!$A$21:$C$400,3,FALSE)),"")</f>
        <v/>
      </c>
      <c r="AC162" s="5"/>
      <c r="AD162" s="5"/>
      <c r="AE162" s="5"/>
    </row>
    <row r="163" ht="15.75" customHeight="1">
      <c r="A163" s="3" t="s">
        <v>727</v>
      </c>
      <c r="B163" s="3">
        <v>7950.0</v>
      </c>
      <c r="C163" s="3" t="s">
        <v>728</v>
      </c>
      <c r="D163" s="3" t="s">
        <v>729</v>
      </c>
      <c r="E163" s="3" t="s">
        <v>266</v>
      </c>
      <c r="F163" s="3" t="s">
        <v>60</v>
      </c>
      <c r="G163" s="3" t="s">
        <v>730</v>
      </c>
      <c r="H163" s="4" t="s">
        <v>62</v>
      </c>
      <c r="I163" s="5"/>
      <c r="J163" s="5" t="s">
        <v>64</v>
      </c>
      <c r="K163" s="5"/>
      <c r="L163" s="5"/>
      <c r="M163" s="5"/>
      <c r="N163" s="5"/>
      <c r="O163" s="5"/>
      <c r="P163" s="5"/>
      <c r="Q163" s="5"/>
      <c r="R163" s="5"/>
      <c r="S163" s="5"/>
      <c r="T163" s="5"/>
      <c r="U163" s="5"/>
      <c r="V163" s="5"/>
      <c r="W163" s="5"/>
      <c r="X163" s="5"/>
      <c r="Y163" s="5"/>
      <c r="Z163" s="5"/>
      <c r="AA163" s="5"/>
      <c r="AB163" s="5" t="str">
        <f>IFERROR(IF(VLOOKUP(D163,Revistas!$A$21:$C$400,3,FALSE)=0,"",VLOOKUP(D163,Revistas!$A$21:$C$400,3,FALSE)),"")</f>
        <v/>
      </c>
      <c r="AC163" s="5"/>
      <c r="AD163" s="5"/>
      <c r="AE163" s="5"/>
    </row>
    <row r="164" ht="15.75" customHeight="1">
      <c r="A164" s="3" t="s">
        <v>731</v>
      </c>
      <c r="B164" s="3">
        <v>8714.0</v>
      </c>
      <c r="C164" s="3" t="s">
        <v>732</v>
      </c>
      <c r="D164" s="3" t="s">
        <v>281</v>
      </c>
      <c r="E164" s="3" t="s">
        <v>157</v>
      </c>
      <c r="F164" s="3" t="s">
        <v>60</v>
      </c>
      <c r="G164" s="3" t="s">
        <v>733</v>
      </c>
      <c r="H164" s="4" t="s">
        <v>62</v>
      </c>
      <c r="I164" s="5"/>
      <c r="J164" s="5" t="s">
        <v>64</v>
      </c>
      <c r="K164" s="5"/>
      <c r="L164" s="5"/>
      <c r="M164" s="5"/>
      <c r="N164" s="5"/>
      <c r="O164" s="5"/>
      <c r="P164" s="5"/>
      <c r="Q164" s="5"/>
      <c r="R164" s="5"/>
      <c r="S164" s="5"/>
      <c r="T164" s="5"/>
      <c r="U164" s="5"/>
      <c r="V164" s="5"/>
      <c r="W164" s="5"/>
      <c r="X164" s="5"/>
      <c r="Y164" s="5"/>
      <c r="Z164" s="5"/>
      <c r="AA164" s="5"/>
      <c r="AB164" s="5" t="str">
        <f>IFERROR(IF(VLOOKUP(D164,Revistas!$A$21:$C$400,3,FALSE)=0,"",VLOOKUP(D164,Revistas!$A$21:$C$400,3,FALSE)),"")</f>
        <v>medio</v>
      </c>
      <c r="AC164" s="5"/>
      <c r="AD164" s="5"/>
      <c r="AE164" s="5"/>
    </row>
    <row r="165" ht="15.75" customHeight="1">
      <c r="A165" s="3" t="s">
        <v>734</v>
      </c>
      <c r="B165" s="3">
        <v>10811.0</v>
      </c>
      <c r="C165" s="3" t="s">
        <v>735</v>
      </c>
      <c r="D165" s="3" t="s">
        <v>447</v>
      </c>
      <c r="E165" s="3" t="s">
        <v>80</v>
      </c>
      <c r="F165" s="3" t="s">
        <v>60</v>
      </c>
      <c r="G165" s="3" t="s">
        <v>736</v>
      </c>
      <c r="H165" s="4" t="s">
        <v>62</v>
      </c>
      <c r="I165" s="5"/>
      <c r="J165" s="5" t="s">
        <v>64</v>
      </c>
      <c r="K165" s="5"/>
      <c r="L165" s="5"/>
      <c r="M165" s="5"/>
      <c r="N165" s="5"/>
      <c r="O165" s="5"/>
      <c r="P165" s="5"/>
      <c r="Q165" s="5"/>
      <c r="R165" s="5"/>
      <c r="S165" s="5"/>
      <c r="T165" s="5"/>
      <c r="U165" s="5"/>
      <c r="V165" s="5"/>
      <c r="W165" s="5"/>
      <c r="X165" s="5"/>
      <c r="Y165" s="5"/>
      <c r="Z165" s="5"/>
      <c r="AA165" s="5"/>
      <c r="AB165" s="5" t="str">
        <f>IFERROR(IF(VLOOKUP(D165,Revistas!$A$21:$C$400,3,FALSE)=0,"",VLOOKUP(D165,Revistas!$A$21:$C$400,3,FALSE)),"")</f>
        <v/>
      </c>
      <c r="AC165" s="5"/>
      <c r="AD165" s="5"/>
      <c r="AE165" s="5"/>
    </row>
  </sheetData>
  <dataValidations>
    <dataValidation type="list" allowBlank="1" sqref="R2:R165">
      <formula1>"COMPLETA,PARCIAL,INCOMPLETA"</formula1>
    </dataValidation>
    <dataValidation type="list" allowBlank="1" sqref="K2:K165">
      <formula1>"solo Pseudomonas,mixto con subgrupo de Pseudomonas"</formula1>
    </dataValidation>
    <dataValidation type="list" allowBlank="1" sqref="M2:M165">
      <formula1>"declarado por el autor,verificado de forma independiente,no clasificable"</formula1>
    </dataValidation>
    <dataValidation type="list" allowBlank="1" sqref="N2:N165">
      <formula1>"si,no,no derivable"</formula1>
    </dataValidation>
    <dataValidation type="list" allowBlank="1" sqref="Z2:Z165">
      <formula1>"2006,2007,2008,2009,2010,2011,2012,2013,2014,2015,2016,2017,2018,2019,2020,2021,2022,2023,2024,2025,2026"</formula1>
    </dataValidation>
    <dataValidation type="list" allowBlank="1" sqref="O2:O165">
      <formula1>"IV,inhalada/nebulizada,topica/local,oral,intravesical,intraarticular,otra,NA"</formula1>
    </dataValidation>
    <dataValidation type="list" allowBlank="1" sqref="P2:P165">
      <formula1>"fago en monoterapia,fago + antibiotico,fago + otro,NA"</formula1>
    </dataValidation>
    <dataValidation type="list" allowBlank="1" sqref="L2:L165">
      <formula1>"MDR,XDR,PDR,por debajo del umbral MDR,no clasificable"</formula1>
    </dataValidation>
    <dataValidation type="list" allowBlank="1" sqref="Q2:Q165">
      <formula1>"ECA,caso clinico,serie de casos,cohorte retrospectiva,cohorte prospectiva,ensayo no aleatorizado,otra"</formula1>
    </dataValidation>
  </dataValidations>
  <hyperlinks>
    <hyperlink r:id="rId2" ref="H2"/>
    <hyperlink r:id="rId3" ref="H3"/>
    <hyperlink r:id="rId4" ref="H4"/>
    <hyperlink r:id="rId5" ref="H9"/>
    <hyperlink r:id="rId6" ref="H10"/>
    <hyperlink r:id="rId7" ref="H11"/>
    <hyperlink r:id="rId8" ref="H12"/>
    <hyperlink r:id="rId9" ref="H13"/>
    <hyperlink r:id="rId10" ref="H14"/>
    <hyperlink r:id="rId11" ref="H15"/>
    <hyperlink r:id="rId12" ref="H16"/>
    <hyperlink r:id="rId13" ref="H17"/>
    <hyperlink r:id="rId14" ref="H18"/>
    <hyperlink r:id="rId15" ref="H19"/>
    <hyperlink r:id="rId16" ref="H20"/>
    <hyperlink r:id="rId17" ref="H21"/>
    <hyperlink r:id="rId18" ref="H22"/>
    <hyperlink r:id="rId19" ref="H23"/>
    <hyperlink r:id="rId20" ref="H24"/>
    <hyperlink r:id="rId21" ref="H25"/>
    <hyperlink r:id="rId22" ref="H26"/>
    <hyperlink r:id="rId23" ref="H27"/>
    <hyperlink r:id="rId24" ref="H28"/>
    <hyperlink r:id="rId25" ref="H29"/>
    <hyperlink r:id="rId26" ref="H30"/>
    <hyperlink r:id="rId27" ref="H31"/>
    <hyperlink r:id="rId28" ref="H32"/>
    <hyperlink r:id="rId29" ref="H33"/>
    <hyperlink r:id="rId30" ref="H34"/>
    <hyperlink r:id="rId31" ref="H35"/>
    <hyperlink r:id="rId32" ref="H36"/>
    <hyperlink r:id="rId33" ref="H37"/>
    <hyperlink r:id="rId34" ref="H38"/>
    <hyperlink r:id="rId35" ref="H39"/>
    <hyperlink r:id="rId36" ref="H40"/>
    <hyperlink r:id="rId37" ref="H41"/>
    <hyperlink r:id="rId38" ref="H42"/>
    <hyperlink r:id="rId39" ref="H43"/>
    <hyperlink r:id="rId40" ref="H44"/>
    <hyperlink r:id="rId41" ref="H45"/>
    <hyperlink r:id="rId42" ref="H46"/>
    <hyperlink r:id="rId43" ref="H47"/>
    <hyperlink r:id="rId44" ref="H48"/>
    <hyperlink r:id="rId45" ref="H49"/>
    <hyperlink r:id="rId46" ref="H50"/>
    <hyperlink r:id="rId47" ref="H51"/>
    <hyperlink r:id="rId48" ref="H52"/>
    <hyperlink r:id="rId49" ref="H53"/>
    <hyperlink r:id="rId50" ref="H54"/>
    <hyperlink r:id="rId51" ref="H55"/>
    <hyperlink r:id="rId52" ref="H56"/>
    <hyperlink r:id="rId53" ref="H57"/>
    <hyperlink r:id="rId54" ref="H58"/>
    <hyperlink r:id="rId55" ref="H59"/>
    <hyperlink r:id="rId56" ref="H60"/>
    <hyperlink r:id="rId57" ref="H61"/>
    <hyperlink r:id="rId58" ref="H62"/>
    <hyperlink r:id="rId59" ref="H63"/>
    <hyperlink r:id="rId60" ref="H64"/>
    <hyperlink r:id="rId61" ref="H65"/>
    <hyperlink r:id="rId62" ref="H66"/>
    <hyperlink r:id="rId63" ref="H67"/>
    <hyperlink r:id="rId64" ref="H68"/>
    <hyperlink r:id="rId65" ref="H69"/>
    <hyperlink r:id="rId66" ref="H70"/>
    <hyperlink r:id="rId67" ref="H71"/>
    <hyperlink r:id="rId68" ref="H72"/>
    <hyperlink r:id="rId69" ref="H73"/>
    <hyperlink r:id="rId70" ref="H74"/>
    <hyperlink r:id="rId71" ref="H75"/>
    <hyperlink r:id="rId72" ref="H76"/>
    <hyperlink r:id="rId73" ref="H77"/>
    <hyperlink r:id="rId74" ref="H78"/>
    <hyperlink r:id="rId75" ref="H79"/>
    <hyperlink r:id="rId76" ref="H80"/>
    <hyperlink r:id="rId77" ref="H81"/>
    <hyperlink r:id="rId78" ref="H82"/>
    <hyperlink r:id="rId79" ref="H83"/>
    <hyperlink r:id="rId80" ref="H84"/>
    <hyperlink r:id="rId81" ref="H85"/>
    <hyperlink r:id="rId82" ref="H86"/>
    <hyperlink r:id="rId83" ref="H87"/>
    <hyperlink r:id="rId84" ref="H88"/>
    <hyperlink r:id="rId85" ref="H89"/>
    <hyperlink r:id="rId86" ref="H90"/>
    <hyperlink r:id="rId87" ref="H91"/>
    <hyperlink r:id="rId88" ref="H92"/>
    <hyperlink r:id="rId89" ref="H93"/>
    <hyperlink r:id="rId90" ref="H94"/>
    <hyperlink r:id="rId91" ref="H95"/>
    <hyperlink r:id="rId92" ref="H96"/>
    <hyperlink r:id="rId93" ref="H97"/>
    <hyperlink r:id="rId94" ref="H98"/>
    <hyperlink r:id="rId95" ref="H99"/>
    <hyperlink r:id="rId96" ref="H100"/>
    <hyperlink r:id="rId97" ref="H101"/>
    <hyperlink r:id="rId98" ref="H102"/>
    <hyperlink r:id="rId99" ref="H103"/>
    <hyperlink r:id="rId100" ref="H104"/>
    <hyperlink r:id="rId101" ref="H105"/>
    <hyperlink r:id="rId102" ref="H106"/>
    <hyperlink r:id="rId103" ref="H107"/>
    <hyperlink r:id="rId104" ref="H108"/>
    <hyperlink r:id="rId105" ref="H109"/>
    <hyperlink r:id="rId106" ref="H110"/>
    <hyperlink r:id="rId107" ref="H111"/>
    <hyperlink r:id="rId108" ref="H112"/>
    <hyperlink r:id="rId109" ref="H113"/>
    <hyperlink r:id="rId110" ref="H114"/>
    <hyperlink r:id="rId111" ref="H115"/>
    <hyperlink r:id="rId112" ref="H116"/>
    <hyperlink r:id="rId113" ref="H117"/>
    <hyperlink r:id="rId114" ref="H118"/>
    <hyperlink r:id="rId115" ref="H119"/>
    <hyperlink r:id="rId116" ref="H120"/>
    <hyperlink r:id="rId117" ref="H121"/>
    <hyperlink r:id="rId118" ref="H122"/>
    <hyperlink r:id="rId119" ref="H123"/>
    <hyperlink r:id="rId120" ref="H124"/>
    <hyperlink r:id="rId121" ref="H125"/>
    <hyperlink r:id="rId122" ref="H126"/>
    <hyperlink r:id="rId123" ref="H127"/>
    <hyperlink r:id="rId124" ref="H128"/>
    <hyperlink r:id="rId125" ref="H129"/>
    <hyperlink r:id="rId126" ref="H130"/>
    <hyperlink r:id="rId127" ref="H131"/>
    <hyperlink r:id="rId128" ref="H132"/>
    <hyperlink r:id="rId129" ref="H133"/>
    <hyperlink r:id="rId130" ref="H134"/>
    <hyperlink r:id="rId131" ref="H135"/>
    <hyperlink r:id="rId132" ref="H136"/>
    <hyperlink r:id="rId133" ref="H137"/>
    <hyperlink r:id="rId134" ref="H138"/>
    <hyperlink r:id="rId135" ref="H139"/>
    <hyperlink r:id="rId136" ref="H140"/>
    <hyperlink r:id="rId137" ref="H141"/>
    <hyperlink r:id="rId138" ref="H142"/>
    <hyperlink r:id="rId139" ref="H143"/>
    <hyperlink r:id="rId140" ref="H144"/>
    <hyperlink r:id="rId141" ref="H145"/>
    <hyperlink r:id="rId142" ref="H146"/>
    <hyperlink r:id="rId143" ref="H147"/>
    <hyperlink r:id="rId144" ref="H148"/>
    <hyperlink r:id="rId145" ref="H149"/>
    <hyperlink r:id="rId146" ref="H150"/>
    <hyperlink r:id="rId147" ref="H151"/>
    <hyperlink r:id="rId148" ref="H152"/>
    <hyperlink r:id="rId149" ref="H153"/>
    <hyperlink r:id="rId150" ref="H154"/>
    <hyperlink r:id="rId151" ref="H155"/>
    <hyperlink r:id="rId152" ref="H156"/>
    <hyperlink r:id="rId153" ref="H157"/>
    <hyperlink r:id="rId154" ref="H158"/>
    <hyperlink r:id="rId155" ref="H159"/>
    <hyperlink r:id="rId156" ref="H160"/>
    <hyperlink r:id="rId157" ref="H161"/>
    <hyperlink r:id="rId158" ref="H162"/>
    <hyperlink r:id="rId159" ref="H163"/>
    <hyperlink r:id="rId160" ref="H164"/>
    <hyperlink r:id="rId161" ref="H165"/>
  </hyperlinks>
  <printOptions/>
  <pageMargins bottom="1.0" footer="0.0" header="0.0" left="0.75" right="0.75" top="1.0"/>
  <pageSetup orientation="landscape"/>
  <drawing r:id="rId162"/>
  <legacyDrawing r:id="rId1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0" topLeftCell="A21" activePane="bottomLeft" state="frozen"/>
      <selection activeCell="B22" sqref="B22" pane="bottomLeft"/>
    </sheetView>
  </sheetViews>
  <sheetFormatPr customHeight="1" defaultColWidth="14.43" defaultRowHeight="15.0"/>
  <cols>
    <col customWidth="1" min="1" max="1" width="56.0"/>
    <col customWidth="1" min="2" max="2" width="10.0"/>
    <col customWidth="1" min="3" max="3" width="16.0"/>
    <col customWidth="1" min="4" max="4" width="22.0"/>
    <col customWidth="1" min="5" max="5" width="26.0"/>
    <col customWidth="1" min="6" max="6" width="8.71"/>
  </cols>
  <sheetData>
    <row r="1">
      <c r="A1" s="1" t="s">
        <v>737</v>
      </c>
    </row>
    <row r="3">
      <c r="A3" t="s">
        <v>738</v>
      </c>
    </row>
    <row r="4">
      <c r="A4" t="s">
        <v>739</v>
      </c>
    </row>
    <row r="5">
      <c r="A5" t="s">
        <v>740</v>
      </c>
    </row>
    <row r="7">
      <c r="A7" t="s">
        <v>741</v>
      </c>
    </row>
    <row r="8">
      <c r="A8" t="s">
        <v>742</v>
      </c>
    </row>
    <row r="9">
      <c r="A9" t="s">
        <v>743</v>
      </c>
    </row>
    <row r="10">
      <c r="A10" t="s">
        <v>744</v>
      </c>
    </row>
    <row r="11">
      <c r="A11" t="s">
        <v>745</v>
      </c>
    </row>
    <row r="12">
      <c r="A12" t="s">
        <v>746</v>
      </c>
    </row>
    <row r="14">
      <c r="A14" t="s">
        <v>747</v>
      </c>
    </row>
    <row r="15">
      <c r="A15" t="s">
        <v>748</v>
      </c>
    </row>
    <row r="17">
      <c r="A17" t="s">
        <v>749</v>
      </c>
    </row>
    <row r="18">
      <c r="A18" t="s">
        <v>750</v>
      </c>
    </row>
    <row r="20">
      <c r="A20" s="19" t="s">
        <v>28</v>
      </c>
      <c r="B20" s="19" t="s">
        <v>751</v>
      </c>
      <c r="C20" s="19" t="s">
        <v>752</v>
      </c>
      <c r="D20" s="19" t="s">
        <v>753</v>
      </c>
      <c r="E20" s="19" t="s">
        <v>754</v>
      </c>
    </row>
    <row r="21" ht="15.75" customHeight="1">
      <c r="A21" t="s">
        <v>281</v>
      </c>
      <c r="B21">
        <v>9.0</v>
      </c>
      <c r="C21" t="s">
        <v>755</v>
      </c>
      <c r="E21" t="s">
        <v>756</v>
      </c>
    </row>
    <row r="22" ht="15.75" customHeight="1">
      <c r="A22" t="s">
        <v>131</v>
      </c>
      <c r="B22">
        <v>9.0</v>
      </c>
      <c r="C22" t="s">
        <v>755</v>
      </c>
      <c r="E22" t="s">
        <v>756</v>
      </c>
    </row>
    <row r="23" ht="15.75" customHeight="1">
      <c r="A23" t="s">
        <v>757</v>
      </c>
      <c r="B23">
        <v>8.0</v>
      </c>
      <c r="C23" t="s">
        <v>100</v>
      </c>
      <c r="E23" t="s">
        <v>756</v>
      </c>
    </row>
    <row r="24" ht="15.75" customHeight="1">
      <c r="A24" t="s">
        <v>58</v>
      </c>
      <c r="B24">
        <v>6.0</v>
      </c>
      <c r="C24" t="s">
        <v>755</v>
      </c>
      <c r="E24" t="s">
        <v>756</v>
      </c>
    </row>
    <row r="25" ht="15.75" customHeight="1">
      <c r="A25" t="s">
        <v>447</v>
      </c>
      <c r="B25">
        <v>4.0</v>
      </c>
      <c r="C25" s="5"/>
      <c r="E25" t="s">
        <v>758</v>
      </c>
    </row>
    <row r="26" ht="15.75" customHeight="1">
      <c r="A26" t="s">
        <v>385</v>
      </c>
      <c r="B26">
        <v>4.0</v>
      </c>
      <c r="C26" s="5"/>
      <c r="D26" t="s">
        <v>755</v>
      </c>
      <c r="E26" t="s">
        <v>759</v>
      </c>
    </row>
    <row r="27" ht="15.75" customHeight="1">
      <c r="A27" t="s">
        <v>529</v>
      </c>
      <c r="B27">
        <v>4.0</v>
      </c>
      <c r="C27" s="5"/>
      <c r="E27" t="s">
        <v>758</v>
      </c>
    </row>
    <row r="28" ht="15.75" customHeight="1">
      <c r="A28" t="s">
        <v>303</v>
      </c>
      <c r="B28">
        <v>3.0</v>
      </c>
      <c r="C28" s="5"/>
      <c r="E28" t="s">
        <v>758</v>
      </c>
    </row>
    <row r="29" ht="15.75" customHeight="1">
      <c r="A29" t="s">
        <v>323</v>
      </c>
      <c r="B29">
        <v>3.0</v>
      </c>
      <c r="C29" s="5"/>
      <c r="D29" t="s">
        <v>755</v>
      </c>
      <c r="E29" t="s">
        <v>759</v>
      </c>
    </row>
    <row r="30" ht="15.75" customHeight="1">
      <c r="A30" t="s">
        <v>90</v>
      </c>
      <c r="B30">
        <v>3.0</v>
      </c>
      <c r="C30" t="s">
        <v>100</v>
      </c>
      <c r="E30" t="s">
        <v>756</v>
      </c>
    </row>
    <row r="31" ht="15.75" customHeight="1">
      <c r="A31" t="s">
        <v>265</v>
      </c>
      <c r="B31">
        <v>3.0</v>
      </c>
      <c r="C31" t="s">
        <v>755</v>
      </c>
      <c r="E31" t="s">
        <v>756</v>
      </c>
    </row>
    <row r="32" ht="15.75" customHeight="1">
      <c r="A32" t="s">
        <v>537</v>
      </c>
      <c r="B32">
        <v>3.0</v>
      </c>
      <c r="C32" s="5"/>
      <c r="E32" t="s">
        <v>758</v>
      </c>
    </row>
    <row r="33" ht="15.75" customHeight="1">
      <c r="A33" t="s">
        <v>234</v>
      </c>
      <c r="B33">
        <v>3.0</v>
      </c>
      <c r="C33" t="s">
        <v>100</v>
      </c>
      <c r="E33" t="s">
        <v>756</v>
      </c>
    </row>
    <row r="34" ht="15.75" customHeight="1">
      <c r="A34" t="s">
        <v>598</v>
      </c>
      <c r="B34">
        <v>3.0</v>
      </c>
      <c r="C34" s="5"/>
      <c r="E34" t="s">
        <v>758</v>
      </c>
    </row>
    <row r="35" ht="15.75" customHeight="1">
      <c r="A35" t="s">
        <v>620</v>
      </c>
      <c r="B35">
        <v>2.0</v>
      </c>
      <c r="C35" s="5"/>
      <c r="E35" t="s">
        <v>758</v>
      </c>
    </row>
    <row r="36" ht="15.75" customHeight="1">
      <c r="A36" t="s">
        <v>312</v>
      </c>
      <c r="B36">
        <v>2.0</v>
      </c>
      <c r="C36" t="s">
        <v>755</v>
      </c>
      <c r="E36" t="s">
        <v>756</v>
      </c>
    </row>
    <row r="37" ht="15.75" customHeight="1">
      <c r="A37" t="s">
        <v>248</v>
      </c>
      <c r="B37">
        <v>2.0</v>
      </c>
      <c r="C37" t="s">
        <v>755</v>
      </c>
      <c r="E37" t="s">
        <v>756</v>
      </c>
    </row>
    <row r="38" ht="15.75" customHeight="1">
      <c r="A38" t="s">
        <v>396</v>
      </c>
      <c r="B38">
        <v>2.0</v>
      </c>
      <c r="C38" t="s">
        <v>100</v>
      </c>
      <c r="E38" t="s">
        <v>756</v>
      </c>
    </row>
    <row r="39" ht="15.75" customHeight="1">
      <c r="A39" t="s">
        <v>584</v>
      </c>
      <c r="B39">
        <v>2.0</v>
      </c>
      <c r="C39" s="5"/>
      <c r="E39" t="s">
        <v>758</v>
      </c>
    </row>
    <row r="40" ht="15.75" customHeight="1">
      <c r="A40" t="s">
        <v>141</v>
      </c>
      <c r="B40">
        <v>2.0</v>
      </c>
      <c r="C40" t="s">
        <v>755</v>
      </c>
      <c r="E40" t="s">
        <v>756</v>
      </c>
    </row>
    <row r="41" ht="15.75" customHeight="1">
      <c r="A41" t="s">
        <v>199</v>
      </c>
      <c r="B41">
        <v>2.0</v>
      </c>
      <c r="C41" s="5"/>
      <c r="D41" t="s">
        <v>755</v>
      </c>
      <c r="E41" t="s">
        <v>759</v>
      </c>
    </row>
    <row r="42" ht="15.75" customHeight="1">
      <c r="A42" t="s">
        <v>408</v>
      </c>
      <c r="B42">
        <v>2.0</v>
      </c>
      <c r="C42" s="5"/>
      <c r="E42" t="s">
        <v>758</v>
      </c>
    </row>
    <row r="43" ht="15.75" customHeight="1">
      <c r="A43" t="s">
        <v>573</v>
      </c>
      <c r="B43">
        <v>2.0</v>
      </c>
      <c r="C43" s="5"/>
      <c r="E43" t="s">
        <v>758</v>
      </c>
    </row>
    <row r="44" ht="15.75" customHeight="1">
      <c r="A44" t="s">
        <v>170</v>
      </c>
      <c r="B44">
        <v>2.0</v>
      </c>
      <c r="C44" t="s">
        <v>100</v>
      </c>
      <c r="E44" t="s">
        <v>756</v>
      </c>
    </row>
    <row r="45" ht="15.75" customHeight="1">
      <c r="A45" t="s">
        <v>464</v>
      </c>
      <c r="B45">
        <v>2.0</v>
      </c>
      <c r="C45" s="5"/>
      <c r="D45" t="s">
        <v>100</v>
      </c>
      <c r="E45" t="s">
        <v>759</v>
      </c>
    </row>
    <row r="46" ht="15.75" customHeight="1">
      <c r="A46" t="s">
        <v>435</v>
      </c>
      <c r="B46">
        <v>2.0</v>
      </c>
      <c r="C46" s="5"/>
      <c r="E46" t="s">
        <v>758</v>
      </c>
    </row>
    <row r="47" ht="15.75" customHeight="1">
      <c r="A47" t="s">
        <v>261</v>
      </c>
      <c r="B47">
        <v>1.0</v>
      </c>
      <c r="C47" t="s">
        <v>100</v>
      </c>
      <c r="E47" t="s">
        <v>756</v>
      </c>
    </row>
    <row r="48" ht="15.75" customHeight="1">
      <c r="A48" t="s">
        <v>355</v>
      </c>
      <c r="B48">
        <v>1.0</v>
      </c>
      <c r="C48" t="s">
        <v>100</v>
      </c>
      <c r="E48" t="s">
        <v>756</v>
      </c>
    </row>
    <row r="49" ht="15.75" customHeight="1">
      <c r="A49" t="s">
        <v>665</v>
      </c>
      <c r="B49">
        <v>1.0</v>
      </c>
      <c r="C49" s="5"/>
      <c r="E49" t="s">
        <v>758</v>
      </c>
    </row>
    <row r="50" ht="15.75" customHeight="1">
      <c r="A50" t="s">
        <v>634</v>
      </c>
      <c r="B50">
        <v>1.0</v>
      </c>
      <c r="C50" s="5"/>
      <c r="D50" t="s">
        <v>755</v>
      </c>
      <c r="E50" t="s">
        <v>759</v>
      </c>
    </row>
    <row r="51" ht="15.75" customHeight="1">
      <c r="A51" t="s">
        <v>471</v>
      </c>
      <c r="B51">
        <v>1.0</v>
      </c>
      <c r="C51" s="5"/>
      <c r="D51" t="s">
        <v>755</v>
      </c>
      <c r="E51" t="s">
        <v>759</v>
      </c>
    </row>
    <row r="52" ht="15.75" customHeight="1">
      <c r="A52" t="s">
        <v>192</v>
      </c>
      <c r="B52">
        <v>1.0</v>
      </c>
      <c r="C52" t="s">
        <v>755</v>
      </c>
      <c r="E52" t="s">
        <v>756</v>
      </c>
    </row>
    <row r="53" ht="15.75" customHeight="1">
      <c r="A53" t="s">
        <v>518</v>
      </c>
      <c r="B53">
        <v>1.0</v>
      </c>
      <c r="C53" s="5"/>
      <c r="D53" t="s">
        <v>755</v>
      </c>
      <c r="E53" t="s">
        <v>759</v>
      </c>
    </row>
    <row r="54" ht="15.75" customHeight="1">
      <c r="A54" t="s">
        <v>362</v>
      </c>
      <c r="B54">
        <v>1.0</v>
      </c>
      <c r="C54" s="5"/>
      <c r="D54" t="s">
        <v>755</v>
      </c>
      <c r="E54" t="s">
        <v>759</v>
      </c>
    </row>
    <row r="55" ht="15.75" customHeight="1">
      <c r="A55" t="s">
        <v>760</v>
      </c>
      <c r="B55">
        <v>1.0</v>
      </c>
      <c r="C55" s="5"/>
      <c r="D55" t="s">
        <v>761</v>
      </c>
      <c r="E55" t="s">
        <v>759</v>
      </c>
    </row>
    <row r="56" ht="15.75" customHeight="1">
      <c r="A56" t="s">
        <v>308</v>
      </c>
      <c r="B56">
        <v>1.0</v>
      </c>
      <c r="C56" t="s">
        <v>100</v>
      </c>
      <c r="E56" t="s">
        <v>756</v>
      </c>
    </row>
    <row r="57" ht="15.75" customHeight="1">
      <c r="A57" t="s">
        <v>215</v>
      </c>
      <c r="B57">
        <v>1.0</v>
      </c>
      <c r="C57" s="5"/>
      <c r="D57" t="s">
        <v>761</v>
      </c>
      <c r="E57" t="s">
        <v>759</v>
      </c>
    </row>
    <row r="58" ht="15.75" customHeight="1">
      <c r="A58" t="s">
        <v>416</v>
      </c>
      <c r="B58">
        <v>1.0</v>
      </c>
      <c r="C58" s="5"/>
      <c r="E58" t="s">
        <v>758</v>
      </c>
    </row>
    <row r="59" ht="15.75" customHeight="1">
      <c r="A59" t="s">
        <v>339</v>
      </c>
      <c r="B59">
        <v>1.0</v>
      </c>
      <c r="C59" s="5"/>
      <c r="D59" t="s">
        <v>755</v>
      </c>
      <c r="E59" t="s">
        <v>759</v>
      </c>
    </row>
    <row r="60" ht="15.75" customHeight="1">
      <c r="A60" t="s">
        <v>457</v>
      </c>
      <c r="B60">
        <v>1.0</v>
      </c>
      <c r="C60" t="s">
        <v>755</v>
      </c>
      <c r="E60" t="s">
        <v>756</v>
      </c>
    </row>
    <row r="61" ht="15.75" customHeight="1">
      <c r="A61" t="s">
        <v>369</v>
      </c>
      <c r="B61">
        <v>1.0</v>
      </c>
      <c r="C61" s="5"/>
      <c r="D61" t="s">
        <v>755</v>
      </c>
      <c r="E61" t="s">
        <v>759</v>
      </c>
    </row>
    <row r="62" ht="15.75" customHeight="1">
      <c r="A62" t="s">
        <v>725</v>
      </c>
      <c r="B62">
        <v>1.0</v>
      </c>
      <c r="C62" s="5"/>
      <c r="D62" t="s">
        <v>100</v>
      </c>
      <c r="E62" t="s">
        <v>759</v>
      </c>
    </row>
    <row r="63" ht="15.75" customHeight="1">
      <c r="A63" t="s">
        <v>729</v>
      </c>
      <c r="B63">
        <v>1.0</v>
      </c>
      <c r="C63" s="5"/>
      <c r="D63" t="s">
        <v>100</v>
      </c>
      <c r="E63" t="s">
        <v>759</v>
      </c>
    </row>
    <row r="64" ht="15.75" customHeight="1">
      <c r="A64" t="s">
        <v>558</v>
      </c>
      <c r="B64">
        <v>1.0</v>
      </c>
      <c r="C64" s="5"/>
      <c r="D64" t="s">
        <v>755</v>
      </c>
      <c r="E64" t="s">
        <v>759</v>
      </c>
    </row>
    <row r="65" ht="15.75" customHeight="1">
      <c r="A65" t="s">
        <v>482</v>
      </c>
      <c r="B65">
        <v>1.0</v>
      </c>
      <c r="C65" t="s">
        <v>755</v>
      </c>
      <c r="E65" t="s">
        <v>756</v>
      </c>
    </row>
    <row r="66" ht="15.75" customHeight="1">
      <c r="A66" t="s">
        <v>505</v>
      </c>
      <c r="B66">
        <v>1.0</v>
      </c>
      <c r="C66" s="5"/>
      <c r="D66" t="s">
        <v>755</v>
      </c>
      <c r="E66" t="s">
        <v>759</v>
      </c>
    </row>
    <row r="67" ht="15.75" customHeight="1">
      <c r="A67" t="s">
        <v>431</v>
      </c>
      <c r="B67">
        <v>1.0</v>
      </c>
      <c r="C67" s="5"/>
      <c r="D67" t="s">
        <v>755</v>
      </c>
      <c r="E67" t="s">
        <v>759</v>
      </c>
    </row>
    <row r="68" ht="15.75" customHeight="1">
      <c r="A68" t="s">
        <v>563</v>
      </c>
      <c r="B68">
        <v>1.0</v>
      </c>
      <c r="C68" s="5"/>
      <c r="D68" t="s">
        <v>755</v>
      </c>
      <c r="E68" t="s">
        <v>759</v>
      </c>
    </row>
    <row r="69" ht="15.75" customHeight="1">
      <c r="A69" t="s">
        <v>150</v>
      </c>
      <c r="B69">
        <v>1.0</v>
      </c>
      <c r="C69" s="5"/>
      <c r="D69" t="s">
        <v>755</v>
      </c>
      <c r="E69" t="s">
        <v>759</v>
      </c>
    </row>
    <row r="70" ht="15.75" customHeight="1">
      <c r="A70" t="s">
        <v>498</v>
      </c>
      <c r="B70">
        <v>1.0</v>
      </c>
      <c r="C70" s="5"/>
      <c r="D70" t="s">
        <v>755</v>
      </c>
      <c r="E70" t="s">
        <v>759</v>
      </c>
    </row>
    <row r="71" ht="15.75" customHeight="1">
      <c r="A71" t="s">
        <v>184</v>
      </c>
      <c r="B71">
        <v>1.0</v>
      </c>
      <c r="C71" t="s">
        <v>755</v>
      </c>
      <c r="E71" t="s">
        <v>756</v>
      </c>
    </row>
    <row r="72" ht="15.75" customHeight="1">
      <c r="A72" t="s">
        <v>554</v>
      </c>
      <c r="B72">
        <v>1.0</v>
      </c>
      <c r="C72" s="5"/>
      <c r="E72" t="s">
        <v>758</v>
      </c>
    </row>
    <row r="73" ht="15.75" customHeight="1">
      <c r="A73" t="s">
        <v>122</v>
      </c>
      <c r="B73">
        <v>1.0</v>
      </c>
      <c r="C73" t="s">
        <v>755</v>
      </c>
      <c r="E73" t="s">
        <v>756</v>
      </c>
    </row>
    <row r="74" ht="15.75" customHeight="1">
      <c r="A74" t="s">
        <v>285</v>
      </c>
      <c r="B74">
        <v>1.0</v>
      </c>
      <c r="C74" t="s">
        <v>755</v>
      </c>
      <c r="E74" t="s">
        <v>756</v>
      </c>
    </row>
    <row r="75" ht="15.75" customHeight="1">
      <c r="A75" t="s">
        <v>403</v>
      </c>
      <c r="B75">
        <v>1.0</v>
      </c>
      <c r="C75" s="5"/>
      <c r="D75" t="s">
        <v>761</v>
      </c>
      <c r="E75" t="s">
        <v>759</v>
      </c>
    </row>
    <row r="76" ht="15.75" customHeight="1">
      <c r="A76" t="s">
        <v>443</v>
      </c>
      <c r="B76">
        <v>1.0</v>
      </c>
      <c r="C76" s="5"/>
      <c r="D76" t="s">
        <v>755</v>
      </c>
      <c r="E76" t="s">
        <v>759</v>
      </c>
    </row>
    <row r="77" ht="15.75" customHeight="1">
      <c r="A77" t="s">
        <v>762</v>
      </c>
      <c r="B77">
        <v>1.0</v>
      </c>
      <c r="C77" s="5"/>
      <c r="D77" t="s">
        <v>761</v>
      </c>
      <c r="E77" t="s">
        <v>759</v>
      </c>
    </row>
    <row r="78" ht="15.75" customHeight="1">
      <c r="A78" t="s">
        <v>676</v>
      </c>
      <c r="B78">
        <v>1.0</v>
      </c>
      <c r="C78" s="5"/>
      <c r="D78" t="s">
        <v>755</v>
      </c>
      <c r="E78" t="s">
        <v>759</v>
      </c>
    </row>
    <row r="79" ht="15.75" customHeight="1">
      <c r="A79" t="s">
        <v>580</v>
      </c>
      <c r="B79">
        <v>1.0</v>
      </c>
      <c r="C79" s="5"/>
      <c r="E79" t="s">
        <v>758</v>
      </c>
    </row>
    <row r="80" ht="15.75" customHeight="1">
      <c r="A80" t="s">
        <v>220</v>
      </c>
      <c r="B80">
        <v>1.0</v>
      </c>
      <c r="C80" s="5"/>
      <c r="D80" t="s">
        <v>755</v>
      </c>
      <c r="E80" t="s">
        <v>759</v>
      </c>
    </row>
    <row r="81" ht="15.75" customHeight="1">
      <c r="A81" t="s">
        <v>377</v>
      </c>
      <c r="B81">
        <v>1.0</v>
      </c>
      <c r="C81" s="5"/>
      <c r="D81" t="s">
        <v>100</v>
      </c>
      <c r="E81" t="s">
        <v>759</v>
      </c>
    </row>
    <row r="82" ht="15.75" customHeight="1">
      <c r="A82" t="s">
        <v>427</v>
      </c>
      <c r="B82">
        <v>1.0</v>
      </c>
      <c r="C82" s="5"/>
      <c r="D82" t="s">
        <v>755</v>
      </c>
      <c r="E82" t="s">
        <v>759</v>
      </c>
    </row>
    <row r="83" ht="15.75" customHeight="1">
      <c r="A83" t="s">
        <v>241</v>
      </c>
      <c r="B83">
        <v>1.0</v>
      </c>
      <c r="C83" s="5"/>
      <c r="D83" t="s">
        <v>755</v>
      </c>
      <c r="E83" t="s">
        <v>759</v>
      </c>
    </row>
    <row r="84" ht="15.75" customHeight="1">
      <c r="A84" t="s">
        <v>230</v>
      </c>
      <c r="B84">
        <v>1.0</v>
      </c>
      <c r="C84" t="s">
        <v>755</v>
      </c>
      <c r="E84" t="s">
        <v>756</v>
      </c>
    </row>
    <row r="85" ht="15.75" customHeight="1">
      <c r="A85" t="s">
        <v>680</v>
      </c>
      <c r="B85">
        <v>1.0</v>
      </c>
      <c r="C85" s="5"/>
      <c r="D85" t="s">
        <v>755</v>
      </c>
      <c r="E85" t="s">
        <v>759</v>
      </c>
    </row>
    <row r="86" ht="15.75" customHeight="1">
      <c r="A86" t="s">
        <v>256</v>
      </c>
      <c r="B86">
        <v>1.0</v>
      </c>
      <c r="C86" t="s">
        <v>755</v>
      </c>
      <c r="E86" t="s">
        <v>756</v>
      </c>
    </row>
    <row r="87" ht="15.75" customHeight="1">
      <c r="A87" t="s">
        <v>642</v>
      </c>
      <c r="B87">
        <v>1.0</v>
      </c>
      <c r="C87" s="5"/>
      <c r="E87" t="s">
        <v>758</v>
      </c>
    </row>
    <row r="88" ht="15.75" customHeight="1">
      <c r="A88" t="s">
        <v>392</v>
      </c>
      <c r="B88">
        <v>1.0</v>
      </c>
      <c r="C88" s="5"/>
      <c r="E88" t="s">
        <v>758</v>
      </c>
    </row>
    <row r="89" ht="15.75" customHeight="1">
      <c r="A89" t="s">
        <v>252</v>
      </c>
      <c r="B89">
        <v>1.0</v>
      </c>
      <c r="C89" s="5"/>
      <c r="D89" t="s">
        <v>761</v>
      </c>
      <c r="E89" t="s">
        <v>759</v>
      </c>
    </row>
    <row r="90" ht="15.75" customHeight="1">
      <c r="A90" t="s">
        <v>494</v>
      </c>
      <c r="B90">
        <v>1.0</v>
      </c>
      <c r="C90" s="5"/>
      <c r="D90" t="s">
        <v>763</v>
      </c>
      <c r="E90" t="s">
        <v>759</v>
      </c>
    </row>
    <row r="91" ht="15.75" customHeight="1">
      <c r="A91" t="s">
        <v>423</v>
      </c>
      <c r="B91">
        <v>1.0</v>
      </c>
      <c r="C91" t="s">
        <v>755</v>
      </c>
      <c r="E91" t="s">
        <v>756</v>
      </c>
    </row>
    <row r="92" ht="15.75" customHeight="1">
      <c r="A92" t="s">
        <v>292</v>
      </c>
      <c r="B92">
        <v>1.0</v>
      </c>
      <c r="C92" t="s">
        <v>755</v>
      </c>
      <c r="E92" t="s">
        <v>756</v>
      </c>
    </row>
    <row r="93" ht="15.75" customHeight="1">
      <c r="A93" t="s">
        <v>110</v>
      </c>
      <c r="B93">
        <v>1.0</v>
      </c>
      <c r="C93" t="s">
        <v>100</v>
      </c>
      <c r="E93" t="s">
        <v>756</v>
      </c>
    </row>
    <row r="94" ht="15.75" customHeight="1">
      <c r="A94" t="s">
        <v>486</v>
      </c>
      <c r="B94">
        <v>1.0</v>
      </c>
      <c r="C94" t="s">
        <v>100</v>
      </c>
      <c r="E94" t="s">
        <v>756</v>
      </c>
    </row>
    <row r="95" ht="15.75" customHeight="1">
      <c r="A95" t="s">
        <v>684</v>
      </c>
      <c r="B95">
        <v>1.0</v>
      </c>
      <c r="C95" s="5"/>
      <c r="D95" t="s">
        <v>100</v>
      </c>
      <c r="E95" t="s">
        <v>759</v>
      </c>
    </row>
    <row r="96" ht="15.75" customHeight="1">
      <c r="A96" t="s">
        <v>588</v>
      </c>
      <c r="B96">
        <v>1.0</v>
      </c>
      <c r="C96" s="5"/>
      <c r="E96" t="s">
        <v>758</v>
      </c>
    </row>
    <row r="97" ht="15.75" customHeight="1">
      <c r="A97" t="s">
        <v>373</v>
      </c>
      <c r="B97">
        <v>1.0</v>
      </c>
      <c r="C97" s="5"/>
      <c r="E97" t="s">
        <v>758</v>
      </c>
    </row>
    <row r="98" ht="15.75" customHeight="1">
      <c r="A98" t="s">
        <v>649</v>
      </c>
      <c r="B98">
        <v>1.0</v>
      </c>
      <c r="C98" s="5"/>
      <c r="E98" t="s">
        <v>758</v>
      </c>
    </row>
    <row r="99" ht="15.75" customHeight="1">
      <c r="A99" t="s">
        <v>653</v>
      </c>
      <c r="B99">
        <v>1.0</v>
      </c>
      <c r="C99" s="5"/>
      <c r="E99" t="s">
        <v>758</v>
      </c>
    </row>
    <row r="100" ht="15.75" customHeight="1">
      <c r="A100" t="s">
        <v>335</v>
      </c>
      <c r="B100">
        <v>1.0</v>
      </c>
      <c r="C100" t="s">
        <v>755</v>
      </c>
      <c r="E100" t="s">
        <v>756</v>
      </c>
    </row>
    <row r="101" ht="15.75" customHeight="1">
      <c r="A101" t="s">
        <v>688</v>
      </c>
      <c r="B101">
        <v>1.0</v>
      </c>
      <c r="C101" s="5"/>
      <c r="E101" t="s">
        <v>758</v>
      </c>
    </row>
    <row r="102" ht="15.75" customHeight="1">
      <c r="A102" t="s">
        <v>412</v>
      </c>
      <c r="B102">
        <v>1.0</v>
      </c>
      <c r="C102" s="5"/>
      <c r="D102" t="s">
        <v>755</v>
      </c>
      <c r="E102" t="s">
        <v>759</v>
      </c>
    </row>
    <row r="103" ht="15.75" customHeight="1">
      <c r="A103" t="s">
        <v>439</v>
      </c>
      <c r="B103">
        <v>1.0</v>
      </c>
      <c r="C103" s="5"/>
      <c r="E103" t="s">
        <v>758</v>
      </c>
    </row>
    <row r="104" ht="15.75" customHeight="1">
      <c r="A104" t="s">
        <v>718</v>
      </c>
      <c r="B104">
        <v>1.0</v>
      </c>
      <c r="C104" s="5"/>
      <c r="E104" t="s">
        <v>758</v>
      </c>
    </row>
    <row r="105" ht="15.75" customHeight="1">
      <c r="A105" t="s">
        <v>490</v>
      </c>
      <c r="B105">
        <v>1.0</v>
      </c>
      <c r="C105" s="5"/>
      <c r="E105" t="s">
        <v>758</v>
      </c>
    </row>
    <row r="106" ht="15.75" customHeight="1">
      <c r="A106" t="s">
        <v>695</v>
      </c>
      <c r="B106">
        <v>1.0</v>
      </c>
      <c r="C106" s="5"/>
      <c r="E106" t="s">
        <v>758</v>
      </c>
    </row>
    <row r="107" ht="15.75" customHeight="1">
      <c r="A107" t="s">
        <v>522</v>
      </c>
      <c r="B107">
        <v>1.0</v>
      </c>
      <c r="C107" s="5"/>
      <c r="E107" t="s">
        <v>758</v>
      </c>
    </row>
    <row r="108" ht="15.75" customHeight="1">
      <c r="A108" t="s">
        <v>672</v>
      </c>
      <c r="B108">
        <v>1.0</v>
      </c>
      <c r="C108" s="5"/>
      <c r="E108" t="s">
        <v>758</v>
      </c>
    </row>
    <row r="109" ht="15.75" customHeight="1">
      <c r="A109" t="s">
        <v>708</v>
      </c>
      <c r="B109">
        <v>1.0</v>
      </c>
      <c r="C109" s="5"/>
      <c r="E109" t="s">
        <v>758</v>
      </c>
    </row>
    <row r="110" ht="15.75" customHeight="1">
      <c r="A110" t="s">
        <v>638</v>
      </c>
      <c r="B110">
        <v>1.0</v>
      </c>
      <c r="C110" s="5"/>
      <c r="E110" t="s">
        <v>758</v>
      </c>
    </row>
    <row r="111" ht="15.75" customHeight="1">
      <c r="A111" t="s">
        <v>478</v>
      </c>
      <c r="B111">
        <v>1.0</v>
      </c>
      <c r="C111" t="s">
        <v>755</v>
      </c>
      <c r="E111" t="s">
        <v>756</v>
      </c>
    </row>
    <row r="112" ht="15.75" customHeight="1">
      <c r="A112" t="s">
        <v>299</v>
      </c>
      <c r="B112">
        <v>1.0</v>
      </c>
      <c r="C112" t="s">
        <v>100</v>
      </c>
      <c r="E112" t="s">
        <v>756</v>
      </c>
    </row>
    <row r="113" ht="15.75" customHeight="1">
      <c r="A113" t="s">
        <v>270</v>
      </c>
      <c r="B113">
        <v>1.0</v>
      </c>
      <c r="C113" s="5"/>
      <c r="D113" t="s">
        <v>755</v>
      </c>
      <c r="E113" t="s">
        <v>759</v>
      </c>
    </row>
    <row r="114" ht="15.75" customHeight="1">
      <c r="A114" t="s">
        <v>541</v>
      </c>
      <c r="B114">
        <v>1.0</v>
      </c>
      <c r="C114" t="s">
        <v>755</v>
      </c>
      <c r="E114" t="s">
        <v>756</v>
      </c>
    </row>
    <row r="115" ht="15.75" customHeight="1">
      <c r="A115" t="s">
        <v>630</v>
      </c>
      <c r="B115">
        <v>1.0</v>
      </c>
      <c r="C115" s="5"/>
      <c r="D115" t="s">
        <v>755</v>
      </c>
      <c r="E115" t="s">
        <v>759</v>
      </c>
    </row>
    <row r="116" ht="15.75" customHeight="1">
      <c r="A116" t="s">
        <v>657</v>
      </c>
      <c r="B116">
        <v>1.0</v>
      </c>
      <c r="C116" s="5"/>
      <c r="E116" t="s">
        <v>758</v>
      </c>
    </row>
  </sheetData>
  <dataValidations>
    <dataValidation type="list" allowBlank="1" sqref="C21:C116">
      <formula1>"alto,medio,bajo,solo registro"</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0.0"/>
    <col customWidth="1" min="3" max="3" width="48.0"/>
    <col customWidth="1" min="4" max="6" width="8.71"/>
  </cols>
  <sheetData>
    <row r="1">
      <c r="A1" s="19" t="s">
        <v>764</v>
      </c>
      <c r="B1" s="19" t="s">
        <v>765</v>
      </c>
      <c r="C1" s="19" t="s">
        <v>766</v>
      </c>
    </row>
    <row r="2">
      <c r="A2" t="s">
        <v>767</v>
      </c>
      <c r="B2" t="s">
        <v>100</v>
      </c>
      <c r="C2" t="s">
        <v>73</v>
      </c>
    </row>
    <row r="3">
      <c r="A3" t="s">
        <v>768</v>
      </c>
      <c r="B3" t="s">
        <v>755</v>
      </c>
      <c r="C3" t="s">
        <v>769</v>
      </c>
    </row>
    <row r="4">
      <c r="A4" t="s">
        <v>770</v>
      </c>
      <c r="B4" t="s">
        <v>761</v>
      </c>
      <c r="C4" t="s">
        <v>771</v>
      </c>
    </row>
    <row r="5">
      <c r="A5" t="s">
        <v>772</v>
      </c>
      <c r="B5" t="s">
        <v>773</v>
      </c>
      <c r="C5" t="s">
        <v>774</v>
      </c>
    </row>
    <row r="6">
      <c r="A6" t="s">
        <v>775</v>
      </c>
      <c r="C6" t="s">
        <v>776</v>
      </c>
    </row>
    <row r="7">
      <c r="A7" t="s">
        <v>777</v>
      </c>
      <c r="C7" t="s">
        <v>778</v>
      </c>
    </row>
    <row r="8">
      <c r="A8" t="s">
        <v>779</v>
      </c>
      <c r="C8" t="s">
        <v>780</v>
      </c>
    </row>
    <row r="9">
      <c r="A9" t="s">
        <v>781</v>
      </c>
      <c r="C9" t="s">
        <v>782</v>
      </c>
    </row>
    <row r="10">
      <c r="A10" t="s">
        <v>783</v>
      </c>
    </row>
    <row r="11">
      <c r="A11" t="s">
        <v>784</v>
      </c>
    </row>
    <row r="12">
      <c r="A12" t="s">
        <v>785</v>
      </c>
    </row>
    <row r="13">
      <c r="A13" t="s">
        <v>786</v>
      </c>
    </row>
    <row r="14">
      <c r="A14" t="s">
        <v>787</v>
      </c>
    </row>
    <row r="15">
      <c r="A15" t="s">
        <v>788</v>
      </c>
    </row>
    <row r="16">
      <c r="A16" t="s">
        <v>789</v>
      </c>
    </row>
    <row r="17">
      <c r="A17" t="s">
        <v>790</v>
      </c>
    </row>
    <row r="18">
      <c r="A18" t="s">
        <v>791</v>
      </c>
    </row>
    <row r="19">
      <c r="A19" t="s">
        <v>792</v>
      </c>
    </row>
    <row r="20">
      <c r="A20" t="s">
        <v>793</v>
      </c>
    </row>
    <row r="21" ht="15.75" customHeight="1">
      <c r="A21" t="s">
        <v>794</v>
      </c>
    </row>
    <row r="22" ht="15.75" customHeight="1">
      <c r="A22" t="s">
        <v>795</v>
      </c>
    </row>
    <row r="23" ht="15.75" customHeight="1">
      <c r="A23" t="s">
        <v>796</v>
      </c>
    </row>
    <row r="24" ht="15.75" customHeight="1">
      <c r="A24" t="s">
        <v>797</v>
      </c>
    </row>
    <row r="25" ht="15.75" customHeight="1">
      <c r="A25" t="s">
        <v>798</v>
      </c>
    </row>
    <row r="26" ht="15.75" customHeight="1">
      <c r="A26" t="s">
        <v>799</v>
      </c>
    </row>
    <row r="27" ht="15.75" customHeight="1">
      <c r="A27" t="s">
        <v>800</v>
      </c>
    </row>
    <row r="28" ht="15.75" customHeight="1">
      <c r="A28" t="s">
        <v>801</v>
      </c>
    </row>
    <row r="29" ht="15.75" customHeight="1">
      <c r="A29" t="s">
        <v>802</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86.0"/>
    <col customWidth="1" min="3" max="3" width="52.0"/>
    <col customWidth="1" min="4" max="6" width="8.71"/>
  </cols>
  <sheetData>
    <row r="1">
      <c r="A1" s="19" t="s">
        <v>803</v>
      </c>
      <c r="B1" s="19" t="s">
        <v>804</v>
      </c>
      <c r="C1" s="19" t="s">
        <v>805</v>
      </c>
    </row>
    <row r="2">
      <c r="A2" s="20" t="s">
        <v>33</v>
      </c>
      <c r="B2" s="20" t="s">
        <v>806</v>
      </c>
      <c r="C2" s="20"/>
    </row>
    <row r="3">
      <c r="A3" s="20" t="s">
        <v>34</v>
      </c>
      <c r="B3" s="20" t="s">
        <v>807</v>
      </c>
      <c r="C3" s="20"/>
    </row>
    <row r="4">
      <c r="A4" s="20" t="s">
        <v>35</v>
      </c>
      <c r="B4" s="20" t="s">
        <v>808</v>
      </c>
      <c r="C4" s="20" t="s">
        <v>809</v>
      </c>
    </row>
    <row r="5">
      <c r="A5" s="20" t="s">
        <v>36</v>
      </c>
      <c r="B5" s="20" t="s">
        <v>810</v>
      </c>
      <c r="C5" s="20" t="s">
        <v>811</v>
      </c>
    </row>
    <row r="6">
      <c r="A6" s="20" t="s">
        <v>37</v>
      </c>
      <c r="B6" s="20" t="s">
        <v>812</v>
      </c>
      <c r="C6" s="20" t="s">
        <v>813</v>
      </c>
    </row>
    <row r="7">
      <c r="A7" s="20" t="s">
        <v>38</v>
      </c>
      <c r="B7" s="20" t="s">
        <v>814</v>
      </c>
      <c r="C7" s="20" t="s">
        <v>815</v>
      </c>
    </row>
    <row r="8">
      <c r="A8" s="20" t="s">
        <v>39</v>
      </c>
      <c r="B8" s="20" t="s">
        <v>816</v>
      </c>
      <c r="C8" s="20" t="s">
        <v>817</v>
      </c>
    </row>
    <row r="9">
      <c r="A9" s="20" t="s">
        <v>40</v>
      </c>
      <c r="B9" s="20" t="s">
        <v>818</v>
      </c>
      <c r="C9" s="20" t="s">
        <v>819</v>
      </c>
    </row>
    <row r="10">
      <c r="A10" s="20" t="s">
        <v>41</v>
      </c>
      <c r="B10" s="20" t="s">
        <v>820</v>
      </c>
      <c r="C10" s="20" t="s">
        <v>821</v>
      </c>
    </row>
    <row r="11">
      <c r="A11" s="20" t="s">
        <v>42</v>
      </c>
      <c r="B11" s="20" t="s">
        <v>822</v>
      </c>
      <c r="C11" s="20" t="s">
        <v>823</v>
      </c>
    </row>
    <row r="12">
      <c r="A12" s="20" t="s">
        <v>43</v>
      </c>
      <c r="B12" s="20" t="s">
        <v>824</v>
      </c>
      <c r="C12" s="20"/>
    </row>
    <row r="13">
      <c r="A13" s="20" t="s">
        <v>44</v>
      </c>
      <c r="B13" s="20" t="s">
        <v>825</v>
      </c>
      <c r="C13" s="20"/>
    </row>
    <row r="14">
      <c r="A14" s="20" t="s">
        <v>45</v>
      </c>
      <c r="B14" s="20" t="s">
        <v>826</v>
      </c>
      <c r="C14" s="20"/>
    </row>
    <row r="15">
      <c r="A15" s="20" t="s">
        <v>46</v>
      </c>
      <c r="B15" s="20" t="s">
        <v>827</v>
      </c>
      <c r="C15" s="20"/>
    </row>
    <row r="16">
      <c r="A16" s="20" t="s">
        <v>47</v>
      </c>
      <c r="B16" s="20" t="s">
        <v>828</v>
      </c>
      <c r="C16" s="20"/>
    </row>
    <row r="17">
      <c r="A17" s="20" t="s">
        <v>48</v>
      </c>
      <c r="B17" s="20" t="s">
        <v>829</v>
      </c>
      <c r="C17" s="20"/>
    </row>
    <row r="18">
      <c r="A18" s="20" t="s">
        <v>49</v>
      </c>
      <c r="B18" s="20" t="s">
        <v>830</v>
      </c>
      <c r="C18" s="20"/>
    </row>
    <row r="19">
      <c r="A19" s="20" t="s">
        <v>50</v>
      </c>
      <c r="B19" s="20" t="s">
        <v>831</v>
      </c>
      <c r="C19" s="20"/>
    </row>
    <row r="20">
      <c r="A20" s="20" t="s">
        <v>51</v>
      </c>
      <c r="B20" s="20" t="s">
        <v>832</v>
      </c>
      <c r="C20" s="20"/>
    </row>
    <row r="21" ht="15.75" customHeight="1">
      <c r="A21" s="20" t="s">
        <v>52</v>
      </c>
      <c r="B21" s="20" t="s">
        <v>833</v>
      </c>
      <c r="C21" s="20"/>
    </row>
    <row r="22" ht="15.75" customHeight="1">
      <c r="A22" s="20" t="s">
        <v>53</v>
      </c>
      <c r="B22" s="20" t="s">
        <v>834</v>
      </c>
      <c r="C22" s="20"/>
    </row>
    <row r="23" ht="15.75" customHeight="1">
      <c r="A23" s="20" t="s">
        <v>54</v>
      </c>
      <c r="B23" s="20" t="s">
        <v>835</v>
      </c>
      <c r="C23" s="20"/>
    </row>
    <row r="24" ht="15.75" customHeight="1">
      <c r="A24" s="20" t="s">
        <v>55</v>
      </c>
      <c r="B24" s="20" t="s">
        <v>836</v>
      </c>
      <c r="C24" s="20"/>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52.0"/>
    <col customWidth="1" min="3" max="3" width="58.0"/>
    <col customWidth="1" min="4" max="6" width="8.71"/>
  </cols>
  <sheetData>
    <row r="1">
      <c r="A1" s="1" t="s">
        <v>837</v>
      </c>
    </row>
    <row r="2">
      <c r="A2" t="s">
        <v>838</v>
      </c>
    </row>
    <row r="4">
      <c r="A4" s="1" t="s">
        <v>839</v>
      </c>
    </row>
    <row r="5">
      <c r="A5" t="s">
        <v>840</v>
      </c>
    </row>
    <row r="6">
      <c r="A6" t="s">
        <v>841</v>
      </c>
    </row>
    <row r="8">
      <c r="A8" s="19" t="s">
        <v>803</v>
      </c>
      <c r="B8" s="19" t="s">
        <v>842</v>
      </c>
      <c r="C8" s="19" t="s">
        <v>843</v>
      </c>
    </row>
    <row r="9">
      <c r="A9" t="s">
        <v>33</v>
      </c>
      <c r="B9" s="5" t="s">
        <v>844</v>
      </c>
      <c r="C9" t="s">
        <v>845</v>
      </c>
    </row>
    <row r="10">
      <c r="A10" t="s">
        <v>34</v>
      </c>
      <c r="B10" s="5" t="s">
        <v>64</v>
      </c>
      <c r="C10" t="s">
        <v>846</v>
      </c>
    </row>
    <row r="11">
      <c r="A11" t="s">
        <v>43</v>
      </c>
      <c r="B11" s="5" t="s">
        <v>847</v>
      </c>
      <c r="C11" t="s">
        <v>848</v>
      </c>
    </row>
    <row r="12">
      <c r="A12" t="s">
        <v>35</v>
      </c>
      <c r="B12" s="5" t="s">
        <v>65</v>
      </c>
    </row>
    <row r="13">
      <c r="A13" t="s">
        <v>36</v>
      </c>
      <c r="B13" s="5" t="s">
        <v>102</v>
      </c>
      <c r="C13" t="s">
        <v>849</v>
      </c>
    </row>
    <row r="14">
      <c r="A14" t="s">
        <v>37</v>
      </c>
      <c r="B14" s="5" t="s">
        <v>850</v>
      </c>
      <c r="C14" t="s">
        <v>851</v>
      </c>
    </row>
    <row r="15">
      <c r="A15" t="s">
        <v>38</v>
      </c>
      <c r="B15" s="5" t="s">
        <v>852</v>
      </c>
      <c r="C15" t="s">
        <v>853</v>
      </c>
    </row>
    <row r="16">
      <c r="A16" t="s">
        <v>39</v>
      </c>
      <c r="B16" s="5" t="s">
        <v>854</v>
      </c>
    </row>
    <row r="17">
      <c r="A17" t="s">
        <v>40</v>
      </c>
      <c r="B17" s="5" t="s">
        <v>70</v>
      </c>
    </row>
    <row r="18">
      <c r="A18" t="s">
        <v>44</v>
      </c>
      <c r="B18" s="5" t="s">
        <v>847</v>
      </c>
      <c r="C18" t="s">
        <v>855</v>
      </c>
    </row>
    <row r="19">
      <c r="A19" t="s">
        <v>51</v>
      </c>
      <c r="B19" s="5" t="s">
        <v>856</v>
      </c>
      <c r="C19" t="s">
        <v>857</v>
      </c>
    </row>
    <row r="20">
      <c r="A20" t="s">
        <v>45</v>
      </c>
      <c r="B20" s="5" t="s">
        <v>858</v>
      </c>
      <c r="C20" t="s">
        <v>859</v>
      </c>
    </row>
    <row r="21" ht="15.75" customHeight="1">
      <c r="A21" t="s">
        <v>46</v>
      </c>
      <c r="B21" s="5" t="s">
        <v>847</v>
      </c>
    </row>
    <row r="22" ht="15.75" customHeight="1">
      <c r="A22" t="s">
        <v>47</v>
      </c>
      <c r="B22" s="5" t="s">
        <v>858</v>
      </c>
    </row>
    <row r="23" ht="15.75" customHeight="1">
      <c r="A23" t="s">
        <v>48</v>
      </c>
      <c r="B23" s="5" t="s">
        <v>73</v>
      </c>
      <c r="C23" t="s">
        <v>860</v>
      </c>
    </row>
    <row r="24" ht="15.75" customHeight="1">
      <c r="A24" t="s">
        <v>49</v>
      </c>
      <c r="B24" s="5" t="s">
        <v>73</v>
      </c>
      <c r="C24" t="s">
        <v>860</v>
      </c>
    </row>
    <row r="25" ht="15.75" customHeight="1">
      <c r="A25" t="s">
        <v>41</v>
      </c>
      <c r="B25" s="5" t="s">
        <v>71</v>
      </c>
    </row>
    <row r="26" ht="15.75" customHeight="1">
      <c r="A26" t="s">
        <v>50</v>
      </c>
      <c r="B26" s="5" t="s">
        <v>266</v>
      </c>
    </row>
    <row r="27" ht="15.75" customHeight="1">
      <c r="A27" t="s">
        <v>52</v>
      </c>
      <c r="B27" s="5" t="s">
        <v>861</v>
      </c>
    </row>
    <row r="28" ht="15.75" customHeight="1">
      <c r="A28" t="s">
        <v>53</v>
      </c>
      <c r="B28" s="5" t="s">
        <v>862</v>
      </c>
    </row>
    <row r="29" ht="15.75" customHeight="1">
      <c r="A29" t="s">
        <v>54</v>
      </c>
      <c r="B29" s="5" t="s">
        <v>863</v>
      </c>
      <c r="C29" t="s">
        <v>864</v>
      </c>
    </row>
    <row r="30" ht="15.75" customHeight="1">
      <c r="A30" t="s">
        <v>42</v>
      </c>
      <c r="B30" s="5" t="s">
        <v>72</v>
      </c>
    </row>
    <row r="31" ht="15.75" customHeight="1">
      <c r="A31" t="s">
        <v>55</v>
      </c>
      <c r="B31" s="5" t="s">
        <v>73</v>
      </c>
    </row>
    <row r="32" ht="15.75" customHeight="1"/>
    <row r="33" ht="15.75" customHeight="1">
      <c r="A33" s="1" t="s">
        <v>865</v>
      </c>
    </row>
    <row r="34" ht="15.75" customHeight="1">
      <c r="A34" t="s">
        <v>866</v>
      </c>
    </row>
    <row r="35" ht="15.75" customHeight="1">
      <c r="A35" s="1" t="s">
        <v>867</v>
      </c>
    </row>
    <row r="36" ht="15.75" customHeight="1">
      <c r="A36" t="s">
        <v>868</v>
      </c>
    </row>
    <row r="37" ht="15.75" customHeight="1">
      <c r="A37" t="s">
        <v>869</v>
      </c>
    </row>
    <row r="38" ht="15.75" customHeight="1">
      <c r="A38" t="s">
        <v>870</v>
      </c>
    </row>
    <row r="39" ht="15.75" customHeight="1"/>
    <row r="40" ht="15.75" customHeight="1">
      <c r="A40" s="19" t="s">
        <v>34</v>
      </c>
      <c r="B40" s="19" t="s">
        <v>36</v>
      </c>
      <c r="C40" s="19" t="s">
        <v>871</v>
      </c>
      <c r="D40" s="19" t="s">
        <v>872</v>
      </c>
      <c r="E40" s="19" t="s">
        <v>873</v>
      </c>
      <c r="F40" s="19" t="s">
        <v>874</v>
      </c>
    </row>
    <row r="41" ht="15.75" customHeight="1">
      <c r="A41" s="5" t="s">
        <v>64</v>
      </c>
      <c r="B41" s="5" t="s">
        <v>102</v>
      </c>
      <c r="C41" s="5">
        <v>7.0</v>
      </c>
      <c r="D41" s="5">
        <v>6.0</v>
      </c>
      <c r="E41" s="5">
        <v>2.0</v>
      </c>
      <c r="F41" s="5">
        <v>2.0</v>
      </c>
    </row>
    <row r="42" ht="15.75" customHeight="1">
      <c r="A42" s="5" t="s">
        <v>99</v>
      </c>
      <c r="B42" s="5" t="s">
        <v>83</v>
      </c>
      <c r="C42" s="5">
        <v>23.0</v>
      </c>
      <c r="D42" s="5">
        <v>16.0</v>
      </c>
      <c r="E42" s="5">
        <v>4.0</v>
      </c>
      <c r="F42" s="5">
        <v>2.0</v>
      </c>
    </row>
    <row r="43" ht="15.75" customHeight="1">
      <c r="A43" s="5" t="s">
        <v>101</v>
      </c>
      <c r="B43" s="5" t="s">
        <v>104</v>
      </c>
      <c r="C43" s="5">
        <v>2.0</v>
      </c>
      <c r="D43" s="5">
        <v>1.0</v>
      </c>
      <c r="E43" s="5">
        <v>0.0</v>
      </c>
      <c r="F43" s="5">
        <v>0.0</v>
      </c>
    </row>
    <row r="44" ht="15.75" customHeight="1"/>
    <row r="45" ht="15.75" customHeight="1">
      <c r="A45" t="s">
        <v>875</v>
      </c>
    </row>
    <row r="46" ht="15.75" customHeight="1">
      <c r="A46" t="s">
        <v>876</v>
      </c>
    </row>
    <row r="47" ht="15.75" customHeight="1">
      <c r="A47" t="s">
        <v>877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2026-08-09T02:45:58Z</dcterms:created>
  <dc:creator>openpyxl</dc:creator>
  <dcterms:modified xsi:type="dcterms:W3CDTF">2026-08-09T02:45:58Z</dcterms:modified>
</cp:coreProperties>
</file>