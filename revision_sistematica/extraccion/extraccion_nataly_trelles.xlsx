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Equipo\Desktop\"/>
    </mc:Choice>
  </mc:AlternateContent>
  <xr:revisionPtr revIDLastSave="0" documentId="8_{582C8546-0A92-49A0-800E-157A37923CDA}" xr6:coauthVersionLast="47" xr6:coauthVersionMax="47" xr10:uidLastSave="{00000000-0000-0000-0000-000000000000}"/>
  <bookViews>
    <workbookView xWindow="-108" yWindow="-108" windowWidth="23256" windowHeight="12456" activeTab="1" xr2:uid="{00000000-000D-0000-FFFF-FFFF00000000}"/>
  </bookViews>
  <sheets>
    <sheet name="Instrucciones" sheetId="1" r:id="rId1"/>
    <sheet name="Extraccion" sheetId="2" r:id="rId2"/>
    <sheet name="Revistas" sheetId="3" r:id="rId3"/>
    <sheet name="Listas" sheetId="4" r:id="rId4"/>
    <sheet name="Diccionario" sheetId="5" r:id="rId5"/>
    <sheet name="Ejemplo" sheetId="6" r:id="rId6"/>
  </sheets>
  <externalReferences>
    <externalReference r:id="rId7"/>
  </externalReferences>
  <definedNames>
    <definedName name="_xlnm._FilterDatabase" localSheetId="1" hidden="1">Extraccion!$A$1:$AE$1</definedName>
  </definedNames>
  <calcPr calcId="191029"/>
  <fileRecoveryPr repairLoad="1"/>
</workbook>
</file>

<file path=xl/calcChain.xml><?xml version="1.0" encoding="utf-8"?>
<calcChain xmlns="http://schemas.openxmlformats.org/spreadsheetml/2006/main">
  <c r="AB12" i="2" l="1"/>
  <c r="AB17" i="2"/>
  <c r="AB19" i="2"/>
  <c r="AB20" i="2"/>
  <c r="AB127" i="2"/>
  <c r="AB125" i="2"/>
  <c r="AB124" i="2"/>
  <c r="AB117" i="2"/>
  <c r="AB111" i="2"/>
  <c r="AB110" i="2"/>
  <c r="AB109" i="2"/>
  <c r="AB108" i="2"/>
  <c r="AB107" i="2"/>
  <c r="AB79" i="2"/>
  <c r="AB77" i="2"/>
  <c r="AB67" i="2"/>
  <c r="AB65" i="2"/>
  <c r="AB64" i="2"/>
  <c r="AB63" i="2"/>
  <c r="AB60" i="2"/>
  <c r="AB57" i="2"/>
  <c r="AB52" i="2"/>
  <c r="AB50" i="2"/>
  <c r="AB49" i="2"/>
  <c r="AB48" i="2"/>
  <c r="AB47" i="2"/>
  <c r="AB39" i="2"/>
  <c r="AB38" i="2"/>
  <c r="AB37" i="2"/>
  <c r="AB36" i="2"/>
  <c r="AB26" i="2"/>
  <c r="AB2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Guía de extracción</author>
  </authors>
  <commentList>
    <comment ref="A1" authorId="0" shapeId="0" xr:uid="{00000000-0006-0000-0100-000001000000}">
      <text>
        <r>
          <rPr>
            <sz val="11"/>
            <color theme="1"/>
            <rFont val="Calibri"/>
            <family val="2"/>
            <scheme val="minor"/>
          </rPr>
          <t>Clave con la que se cruzan las dos extracciones. NO la modifique.</t>
        </r>
      </text>
    </comment>
    <comment ref="B1" authorId="0" shapeId="0" xr:uid="{00000000-0006-0000-0100-000002000000}">
      <text>
        <r>
          <rPr>
            <sz val="11"/>
            <color theme="1"/>
            <rFont val="Calibri"/>
            <family val="2"/>
            <scheme val="minor"/>
          </rPr>
          <t>Posición en el pozo cribado.</t>
        </r>
      </text>
    </comment>
    <comment ref="F1" authorId="0" shapeId="0" xr:uid="{00000000-0006-0000-0100-000003000000}">
      <text>
        <r>
          <rPr>
            <sz val="11"/>
            <color theme="1"/>
            <rFont val="Calibri"/>
            <family val="2"/>
            <scheme val="minor"/>
          </rPr>
          <t>Artículo, resumen de congreso o ficha de registro.</t>
        </r>
      </text>
    </comment>
    <comment ref="G1" authorId="0" shapeId="0" xr:uid="{00000000-0006-0000-0100-000004000000}">
      <text>
        <r>
          <rPr>
            <sz val="11"/>
            <color theme="1"/>
            <rFont val="Calibri"/>
            <family val="2"/>
            <scheme val="minor"/>
          </rPr>
          <t>DOI, PMID o identificador de registro.</t>
        </r>
      </text>
    </comment>
    <comment ref="H1" authorId="0" shapeId="0" xr:uid="{00000000-0006-0000-0100-000005000000}">
      <text>
        <r>
          <rPr>
            <sz val="11"/>
            <color theme="1"/>
            <rFont val="Calibri"/>
            <family val="2"/>
            <scheme val="minor"/>
          </rPr>
          <t>Clic para abrirlo en el navegador.</t>
        </r>
      </text>
    </comment>
    <comment ref="I1" authorId="0" shapeId="0" xr:uid="{00000000-0006-0000-0100-000006000000}">
      <text>
        <r>
          <rPr>
            <sz val="11"/>
            <color theme="1"/>
            <rFont val="Calibri"/>
            <family val="2"/>
            <scheme val="minor"/>
          </rPr>
          <t>Apellido del primer autor pegado al año: Tkhilaishvili2020. Sin espacios ni tildes.</t>
        </r>
      </text>
    </comment>
    <comment ref="J1" authorId="0" shapeId="0" xr:uid="{00000000-0006-0000-0100-000007000000}">
      <text>
        <r>
          <rPr>
            <sz val="11"/>
            <color theme="1"/>
            <rFont val="Calibri"/>
            <family val="2"/>
            <scheme val="minor"/>
          </rPr>
          <t>A si el estudio da un solo grupo de datos. Si separa desenlaces por clase de resistencia, usa A, B, C.</t>
        </r>
      </text>
    </comment>
    <comment ref="K1" authorId="0" shapeId="0" xr:uid="{00000000-0006-0000-0100-000008000000}">
      <text>
        <r>
          <rPr>
            <sz val="11"/>
            <color theme="1"/>
            <rFont val="Calibri"/>
            <family val="2"/>
            <scheme val="minor"/>
          </rPr>
          <t>Solo Pseudomonas si todos los pacientes tenían P. aeruginosa. Mixto si había otras bacterias PERO el artículo permite separar los de Pseudomonas.</t>
        </r>
      </text>
    </comment>
    <comment ref="L1" authorId="0" shapeId="0" xr:uid="{00000000-0006-0000-0100-000009000000}">
      <text>
        <r>
          <rPr>
            <sz val="11"/>
            <color theme="1"/>
            <rFont val="Calibri"/>
            <family val="2"/>
            <scheme val="minor"/>
          </rPr>
          <t>MDR, XDR o PDR según Magiorakos. Si el antibiograma no alcanza para clasificar, pon 'no clasificable'.</t>
        </r>
      </text>
    </comment>
    <comment ref="M1" authorId="0" shapeId="0" xr:uid="{00000000-0006-0000-0100-00000A000000}">
      <text>
        <r>
          <rPr>
            <sz val="11"/>
            <color theme="1"/>
            <rFont val="Calibri"/>
            <family val="2"/>
            <scheme val="minor"/>
          </rPr>
          <t>¿Lo dice el autor y lo aceptaste, o lo verificaste tú con el antibiograma? Importa para el riesgo de sesgo.</t>
        </r>
      </text>
    </comment>
    <comment ref="N1" authorId="0" shapeId="0" xr:uid="{00000000-0006-0000-0100-00000B000000}">
      <text>
        <r>
          <rPr>
            <sz val="11"/>
            <color theme="1"/>
            <rFont val="Calibri"/>
            <family val="2"/>
            <scheme val="minor"/>
          </rPr>
          <t>Difficult-to-Treat Resistance (Kadri 2018, PMID 30052813). NO es MDR con otro nombre: pregunta si se agotaron los antibióticos de PRIMERA LÍNEA (carbapenémicos, otros betalactámicos, fluoroquinolonas). Los de RESERVA -- colistina, aminoglucósidos, tigeciclina -- y los posteriores a 2018 -- ceftazidima-avibactam, cefiderocol -- NO cuentan: son aquello a lo que el DTR obliga a recurrir.
SÍ: el artículo documenta sensibilidad SOLO a agentes de reserva.
NO: basta UN agente de primera línea sensible documentado.
NO DERIVABLE: el resto.
Ojo: esta revisión ya definió mal este campo una vez (exigía 'todos los betalactámicos', más estricto que Kadri) y fabricó no-derivabilidad. Si duda entre 'no' y 'no derivable', mire si hay UN solo agente de primera línea sensible.</t>
        </r>
      </text>
    </comment>
    <comment ref="O1" authorId="0" shapeId="0" xr:uid="{00000000-0006-0000-0100-00000C000000}">
      <text>
        <r>
          <rPr>
            <sz val="11"/>
            <color theme="1"/>
            <rFont val="Calibri"/>
            <family val="2"/>
            <scheme val="minor"/>
          </rPr>
          <t>Por dónde se administró el fago. Si fueron varias vías, elige 'otra' y explica en el paréntesis.</t>
        </r>
      </text>
    </comment>
    <comment ref="P1" authorId="0" shapeId="0" xr:uid="{00000000-0006-0000-0100-00000D000000}">
      <text>
        <r>
          <rPr>
            <sz val="11"/>
            <color theme="1"/>
            <rFont val="Calibri"/>
            <family val="2"/>
            <scheme val="minor"/>
          </rPr>
          <t>¿El fago fue solo, o junto con antibióticos?</t>
        </r>
      </text>
    </comment>
    <comment ref="Q1" authorId="0" shapeId="0" xr:uid="{00000000-0006-0000-0100-00000E000000}">
      <text>
        <r>
          <rPr>
            <sz val="11"/>
            <color theme="1"/>
            <rFont val="Calibri"/>
            <family val="2"/>
            <scheme val="minor"/>
          </rPr>
          <t>Lo que el artículo ES, no lo que dice ser. Un 'estudio' de un paciente es un caso clínico.</t>
        </r>
      </text>
    </comment>
    <comment ref="R1" authorId="0" shapeId="0" xr:uid="{00000000-0006-0000-0100-00000F000000}">
      <text>
        <r>
          <rPr>
            <sz val="11"/>
            <color theme="1"/>
            <rFont val="Calibri"/>
            <family val="2"/>
            <scheme val="minor"/>
          </rPr>
          <t>COMPLETA si sacaste todo lo que el artículo daba. PARCIAL o INCOMPLETA si te faltó algo, y explícalo en la última columna.</t>
        </r>
      </text>
    </comment>
    <comment ref="S1" authorId="0" shapeId="0" xr:uid="{00000000-0006-0000-0100-000010000000}">
      <text>
        <r>
          <rPr>
            <sz val="11"/>
            <color theme="1"/>
            <rFont val="Calibri"/>
            <family val="2"/>
            <scheme val="minor"/>
          </rPr>
          <t>Cuántos pacientes hay en ESTE brazo, no en todo el estudio.</t>
        </r>
      </text>
    </comment>
    <comment ref="T1" authorId="0" shapeId="0" xr:uid="{00000000-0006-0000-0100-000011000000}">
      <text>
        <r>
          <rPr>
            <sz val="11"/>
            <color theme="1"/>
            <rFont val="Calibri"/>
            <family val="2"/>
            <scheme val="minor"/>
          </rPr>
          <t>Pacientes de este brazo que mejoraron según la definición del PROPIO autor.
   · un número = el artículo lo dice o permite contarlo
   · 0 = el artículo dice que ninguno mejoró
   · NA = no lo reporta ni permite deducirlo
Si el autor no define el éxito pero dice «los tres pacientes se curaron»,
la cifra SÍ se extrae: pon 3, y escribe SIN DEFINICIÓN OPERATIVA en la
columna de definición.</t>
        </r>
      </text>
    </comment>
    <comment ref="U1" authorId="0" shapeId="0" xr:uid="{00000000-0006-0000-0100-000012000000}">
      <text>
        <r>
          <rPr>
            <sz val="11"/>
            <color theme="1"/>
            <rFont val="Calibri"/>
            <family val="2"/>
            <scheme val="minor"/>
          </rPr>
          <t>Cuántos pacientes tuvieron algún evento adverso. Cero notificados se escribe 0, no NA.</t>
        </r>
      </text>
    </comment>
    <comment ref="V1" authorId="0" shapeId="0" xr:uid="{00000000-0006-0000-0100-000013000000}">
      <text>
        <r>
          <rPr>
            <sz val="11"/>
            <color theme="1"/>
            <rFont val="Calibri"/>
            <family val="2"/>
            <scheme val="minor"/>
          </rPr>
          <t>Pacientes con CULTIVO DE CONTROL NEGATIVO para P. aeruginosa, del mismo
sitio de infección, DESPUÉS de terminar la fagoterapia. Se toma el primer
cultivo posterior al fin del tratamiento; anota el día en observaciones.
Los tres valores NO son intercambiables:
   · un número = se hizo cultivo y salió negativo en esos pacientes
   · 0 = se hizo cultivo y SIGUIÓ POSITIVO en todos
   · NA = no se hizo, o no se reporta, cultivo de control
FIBROSIS QUÍSTICA Y BRONQUIECTASIAS: un solo cultivo negativo NO cuenta
como erradicación. En colonización crónica la carga fluctúa y un cultivo
aislado no demuestra eliminación. Anota NA y explícalo, salvo que el
artículo declare erradicación sostenida con cultivos seriados.
Regla completa y por qué:
quality_reports/decisions/2026-08-11_definicion-erradicacion-y-exito.md</t>
        </r>
      </text>
    </comment>
    <comment ref="W1" authorId="0" shapeId="0" xr:uid="{00000000-0006-0000-0100-000014000000}">
      <text>
        <r>
          <rPr>
            <sz val="11"/>
            <color theme="1"/>
            <rFont val="Calibri"/>
            <family val="2"/>
            <scheme val="minor"/>
          </rPr>
          <t>Cuántos fallecieron durante el seguimiento.</t>
        </r>
      </text>
    </comment>
    <comment ref="X1" authorId="0" shapeId="0" xr:uid="{00000000-0006-0000-0100-000015000000}">
      <text>
        <r>
          <rPr>
            <sz val="11"/>
            <color theme="1"/>
            <rFont val="Calibri"/>
            <family val="2"/>
            <scheme val="minor"/>
          </rPr>
          <t>Días de hospitalización. Casi ningún caso clínico lo reporta: NA es lo normal aquí.</t>
        </r>
      </text>
    </comment>
    <comment ref="Y1" authorId="0" shapeId="0" xr:uid="{00000000-0006-0000-0100-000016000000}">
      <text>
        <r>
          <rPr>
            <sz val="11"/>
            <color theme="1"/>
            <rFont val="Calibri"/>
            <family val="2"/>
            <scheme val="minor"/>
          </rPr>
          <t>En cuántos apareció resistencia al fago durante el tratamiento.</t>
        </r>
      </text>
    </comment>
    <comment ref="Z1" authorId="0" shapeId="0" xr:uid="{00000000-0006-0000-0100-000017000000}">
      <text>
        <r>
          <rPr>
            <sz val="11"/>
            <color theme="1"/>
            <rFont val="Calibri"/>
            <family val="2"/>
            <scheme val="minor"/>
          </rPr>
          <t>Año del artículo.</t>
        </r>
      </text>
    </comment>
    <comment ref="AA1" authorId="0" shapeId="0" xr:uid="{00000000-0006-0000-0100-000018000000}">
      <text>
        <r>
          <rPr>
            <sz val="11"/>
            <color theme="1"/>
            <rFont val="Calibri"/>
            <family val="2"/>
            <scheme val="minor"/>
          </rPr>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r>
      </text>
    </comment>
    <comment ref="AB1" authorId="0" shapeId="0" xr:uid="{00000000-0006-0000-0100-000019000000}">
      <text>
        <r>
          <rPr>
            <sz val="11"/>
            <color theme="1"/>
            <rFont val="Calibri"/>
            <family val="2"/>
            <scheme val="minor"/>
          </rPr>
          <t>Nombre de la revista, y si es de alto o medio impacto: 'alto (Nature Microbiology)'.</t>
        </r>
      </text>
    </comment>
    <comment ref="AC1" authorId="0" shapeId="0" xr:uid="{00000000-0006-0000-0100-00001A000000}">
      <text>
        <r>
          <rPr>
            <sz val="11"/>
            <color theme="1"/>
            <rFont val="Calibri"/>
            <family val="2"/>
            <scheme val="minor"/>
          </rPr>
          <t>País y ciudad si consta: 'Alemania (Berlín)'.</t>
        </r>
      </text>
    </comment>
    <comment ref="AD1" authorId="0" shapeId="0" xr:uid="{00000000-0006-0000-0100-00001B000000}">
      <text>
        <r>
          <rPr>
            <sz val="11"/>
            <color theme="1"/>
            <rFont val="Calibri"/>
            <family val="2"/>
            <scheme val="minor"/>
          </rPr>
          <t>Página, tabla o figura de donde sacaste los números: 'p.3 Results, Tabla 2'. Obligatorio para cualquier cifra.</t>
        </r>
      </text>
    </comment>
    <comment ref="AE1" authorId="0" shapeId="0" xr:uid="{00000000-0006-0000-0100-00001C000000}">
      <text>
        <r>
          <rPr>
            <sz val="11"/>
            <color theme="1"/>
            <rFont val="Calibri"/>
            <family val="2"/>
            <scheme val="minor"/>
          </rPr>
          <t>Qué faltó y por qué. NA si no faltó nada.</t>
        </r>
      </text>
    </comment>
  </commentList>
</comments>
</file>

<file path=xl/sharedStrings.xml><?xml version="1.0" encoding="utf-8"?>
<sst xmlns="http://schemas.openxmlformats.org/spreadsheetml/2006/main" count="3779" uniqueCount="877">
  <si>
    <t>Formulario de extracción — Nataly Trelles</t>
  </si>
  <si>
    <t>2026-08-11 · los 124 estudios extraíbles</t>
  </si>
  <si>
    <t>Empiece por la hoja Ejemplo. Son dos estudios ya resueltos.</t>
  </si>
  <si>
    <t>Lo que no debe hacer</t>
  </si>
  <si>
    <t>No abra el formulario del otro revisor ni el archivo de extracción del proyecto.</t>
  </si>
  <si>
    <t>Hay 42 estudios que ya se extrajeron y aun así salen en blanco aquí, a propósito:</t>
  </si>
  <si>
    <t>la comparación posterior solo mide algo si usted no vio lo que puso el otro.</t>
  </si>
  <si>
    <t>Las columnas</t>
  </si>
  <si>
    <t>Grises (A a G): identifican el estudio. No se tocan. La primera, Nº, es la clave</t>
  </si>
  <si>
    <t>con la que se cruzan las dos extracciones; si la cambia, se rompe el cruce.</t>
  </si>
  <si>
    <t>Amarillas: son suyas. Pase el ratón por cada encabezado y sale una nota</t>
  </si>
  <si>
    <t>explicando qué va en esa columna.</t>
  </si>
  <si>
    <t>Una fila por brazo</t>
  </si>
  <si>
    <t>Un brazo es un grupo de pacientes cuyos desenlaces el artículo permite contar</t>
  </si>
  <si>
    <t>aparte. Casi siempre eso significa clase de resistencia, no grupo de tratamiento.</t>
  </si>
  <si>
    <t>Si hay varios: copie la fila entera, péguela debajo, deje el mismo Nº y cambie</t>
  </si>
  <si>
    <t>el Brazo a B, C… Si el artículo no permite separarlos, una sola fila.</t>
  </si>
  <si>
    <t>NA y celda vacía no son lo mismo</t>
  </si>
  <si>
    <t>NA quiere decir que el artículo no lo reporta. Vacío quiere decir que usted</t>
  </si>
  <si>
    <t>todavía no lo ha mirado. El programa que compara los distingue.</t>
  </si>
  <si>
    <t>Los desplegables admiten texto</t>
  </si>
  <si>
    <t>Si ninguna opción encaja, escriba encima: otra (instilación intravesical).</t>
  </si>
  <si>
    <t>Lo que va entre paréntesis no afecta a la concordancia, así que explíquese.</t>
  </si>
  <si>
    <t>Al terminar</t>
  </si>
  <si>
    <t>Guarde el archivo sin cambiarle el nombre y devuélvalo a quien coordina.</t>
  </si>
  <si>
    <t>Nº</t>
  </si>
  <si>
    <t>Pos.</t>
  </si>
  <si>
    <t>Título del artículo</t>
  </si>
  <si>
    <t>Revista</t>
  </si>
  <si>
    <t>Año</t>
  </si>
  <si>
    <t>Tipo</t>
  </si>
  <si>
    <t>Cómo encontrarlo</t>
  </si>
  <si>
    <t>Abrir artículo</t>
  </si>
  <si>
    <t>Id del estudio (Autor+Año)</t>
  </si>
  <si>
    <t>Brazo</t>
  </si>
  <si>
    <t>¿Solo P. aeruginosa o mixto?</t>
  </si>
  <si>
    <t>Clase de resistencia</t>
  </si>
  <si>
    <t>¿De dónde sale esa clase?</t>
  </si>
  <si>
    <t>¿Cumple criterio DTR?</t>
  </si>
  <si>
    <t>Vía de administración</t>
  </si>
  <si>
    <t>¿Fago solo o con antibiótico?</t>
  </si>
  <si>
    <t>Diseño del estudio</t>
  </si>
  <si>
    <t>Estado de esta extracción</t>
  </si>
  <si>
    <t>Pacientes en este brazo</t>
  </si>
  <si>
    <t>Éxito clínico (nº pacientes)</t>
  </si>
  <si>
    <t>Eventos adversos (nº)</t>
  </si>
  <si>
    <t>Erradicación microbiológica (nº)</t>
  </si>
  <si>
    <t>Fallecidos (nº)</t>
  </si>
  <si>
    <t>Estancia hospitalaria (días)</t>
  </si>
  <si>
    <t>Aparición de resistencia al fago (nº)</t>
  </si>
  <si>
    <t>Año de publicación</t>
  </si>
  <si>
    <t>¿Cómo define el AUTOR el éxito clínico?</t>
  </si>
  <si>
    <t>Nivel de la revista</t>
  </si>
  <si>
    <t>País del estudio</t>
  </si>
  <si>
    <t>¿Dónde viste estos datos?</t>
  </si>
  <si>
    <t>Si algo quedó incompleto, ¿por qué?</t>
  </si>
  <si>
    <t>EST-008</t>
  </si>
  <si>
    <t>Phage therapy with nebulized cocktail BX004-A for chronic Pseudomonas aeruginosa infections in cystic fibrosis: a randomized first-in-human trial.</t>
  </si>
  <si>
    <t xml:space="preserve">Nature Communications </t>
  </si>
  <si>
    <t>2025</t>
  </si>
  <si>
    <t>articulo</t>
  </si>
  <si>
    <t>40593506</t>
  </si>
  <si>
    <t>abrir</t>
  </si>
  <si>
    <t>Weiner2025</t>
  </si>
  <si>
    <t>A</t>
  </si>
  <si>
    <t>solo Pseudomonas</t>
  </si>
  <si>
    <t>no clasificable</t>
  </si>
  <si>
    <t>declarado por el autor</t>
  </si>
  <si>
    <t>no</t>
  </si>
  <si>
    <t>inhalada/nebulizada</t>
  </si>
  <si>
    <t>fago + antibiotico</t>
  </si>
  <si>
    <t>ECA</t>
  </si>
  <si>
    <t>COMPLETA</t>
  </si>
  <si>
    <t>NA</t>
  </si>
  <si>
    <t>SIN DEFINICIÓN OPERATIVA</t>
  </si>
  <si>
    <t>alto</t>
  </si>
  <si>
    <t>Israel</t>
  </si>
  <si>
    <t>EST-021</t>
  </si>
  <si>
    <t>Efficacy and tolerability of a cocktail of bacteriophages to treat burn wounds infected by Pseudomonas aeruginosa (PhagoBurn): a randomised, controlled, double-blind phase 1/2 tria</t>
  </si>
  <si>
    <t>The Lancet. Infectious diseases</t>
  </si>
  <si>
    <t>2019</t>
  </si>
  <si>
    <t>30292481</t>
  </si>
  <si>
    <t>Jault2019</t>
  </si>
  <si>
    <t>local/topica</t>
  </si>
  <si>
    <t>fago solo</t>
  </si>
  <si>
    <t>Francia/Belgica</t>
  </si>
  <si>
    <t>EST-035</t>
  </si>
  <si>
    <t>Safety and microbiological activity of phage therapy in persons with cystic fibrosis colonized with Pseudomonas aeruginosa: study protocol for a phase 1b/2, multicenter, randomized</t>
  </si>
  <si>
    <t>Trials</t>
  </si>
  <si>
    <t>2022</t>
  </si>
  <si>
    <t>36578069</t>
  </si>
  <si>
    <t>Tamma2022</t>
  </si>
  <si>
    <t>INCOMPLETA</t>
  </si>
  <si>
    <t>EST-063</t>
  </si>
  <si>
    <t>Single-arm, open-labelled, safety and tolerability of intrabronchial and nebulised bacteriophage treatment in children with cystic fibrosis and Pseudomonas aeruginosa.</t>
  </si>
  <si>
    <t>BMJ open respiratory research</t>
  </si>
  <si>
    <t>2023</t>
  </si>
  <si>
    <t>10.1136/bmjresp-2022-001360</t>
  </si>
  <si>
    <t>Singh2023</t>
  </si>
  <si>
    <t>EST-086</t>
  </si>
  <si>
    <t>Inhalation phage therapy as a new approach to preventing secondary bacterial pneumonia in patients with moderate to severe COVID-19: A double-blind clinical trial study</t>
  </si>
  <si>
    <t>Journal of Drug Delivery Science and Technology</t>
  </si>
  <si>
    <t>10.1016/j.jddst.2023.104486</t>
  </si>
  <si>
    <t>Samaee2023</t>
  </si>
  <si>
    <t>medio</t>
  </si>
  <si>
    <t>Iran</t>
  </si>
  <si>
    <t>EST-101</t>
  </si>
  <si>
    <t>The Efficacy of Inhaled Phage Cocktail to Prevent Ventilator-Associated Pneumonia in Children: A Double-Blind Clinical Trial</t>
  </si>
  <si>
    <t>Biomedicines</t>
  </si>
  <si>
    <t>10.3390/biomedicines13092103</t>
  </si>
  <si>
    <t>Navaeifar2025</t>
  </si>
  <si>
    <t>EST-122</t>
  </si>
  <si>
    <t>Standardised treatment and monitoring protocol to assess safety and tolerability of bacteriophage therapy for adult and paediatric patients (STAMP study): protocol for an open-labe</t>
  </si>
  <si>
    <t>BMJ open</t>
  </si>
  <si>
    <t>10.1136/bmjopen-2022-065401</t>
  </si>
  <si>
    <t>Khatami2022</t>
  </si>
  <si>
    <t>EST-132</t>
  </si>
  <si>
    <t>Evaluation of the Potential Efficacy of Bacteriophage Therapy for the Management of Pressure Ulcers and Its Comparison to Conventional Therapy: A Randomized Controlled Trial</t>
  </si>
  <si>
    <t>Indian Journal of Critical Care Medicine</t>
  </si>
  <si>
    <t>2026</t>
  </si>
  <si>
    <t>10.5005/jp-journals-10071-25143</t>
  </si>
  <si>
    <t>Meena2026</t>
  </si>
  <si>
    <t>India</t>
  </si>
  <si>
    <t>EST-178</t>
  </si>
  <si>
    <t>CLINICAL AND LABORATORY JUSTIFICATION FOR USE OF POLYVALENT BACTERIOPHAGE IN TECHNIQUE OF DELAYED PRESCRIBING OF ANTIBIOTICS IN PATIENTS WITH ARS.</t>
  </si>
  <si>
    <t>Wiadomosci lekarskie (Warsaw, Poland : 1960)</t>
  </si>
  <si>
    <t>2021</t>
  </si>
  <si>
    <t>10.36740/wlek202106129</t>
  </si>
  <si>
    <t>Popovych2021</t>
  </si>
  <si>
    <t>otra</t>
  </si>
  <si>
    <t>estudio observacional</t>
  </si>
  <si>
    <t>bajo</t>
  </si>
  <si>
    <t>Ucrania</t>
  </si>
  <si>
    <t>EST-181</t>
  </si>
  <si>
    <t>Short-Term Outcomes of Phage-Antibiotic Combination Treatment in Adult Patients with Periprosthetic Hip Joint Infection.</t>
  </si>
  <si>
    <t>Viruses</t>
  </si>
  <si>
    <t>36851713</t>
  </si>
  <si>
    <t>Fedorov2023</t>
  </si>
  <si>
    <t>serie de casos</t>
  </si>
  <si>
    <t>Rusia</t>
  </si>
  <si>
    <t>EST-029</t>
  </si>
  <si>
    <t>Randomized double-blind study on safety and tolerability of TP-102 phage cocktail in patients with infected and non-infected diabetic foot ulcers.</t>
  </si>
  <si>
    <t>Med (New York, N.Y.)</t>
  </si>
  <si>
    <t>39740667</t>
  </si>
  <si>
    <t>NirPaz2025</t>
  </si>
  <si>
    <t>mixto con subgrupo de Pseudomonas</t>
  </si>
  <si>
    <t>topica/local</t>
  </si>
  <si>
    <t>PARCIAL</t>
  </si>
  <si>
    <t>EST-052</t>
  </si>
  <si>
    <t>CYstic Fibrosis bacterioPHage study at Yale (CYPHY)</t>
  </si>
  <si>
    <t>Journal of cystic fibrosis</t>
  </si>
  <si>
    <t>NCT04684641</t>
  </si>
  <si>
    <t>EST-078</t>
  </si>
  <si>
    <t>Efficacy of Bacteriophage Therapy in the Treatment of Diabetic Foot Ulcers: a Pilot Study from South India</t>
  </si>
  <si>
    <t>International journal of diabetes in developing countries</t>
  </si>
  <si>
    <t>resumen de congreso</t>
  </si>
  <si>
    <t>cita: Int J Diabetes Dev Ctries 2025</t>
  </si>
  <si>
    <t>Gupta2019</t>
  </si>
  <si>
    <t>EST-092</t>
  </si>
  <si>
    <t>Phage therapy analysis of effectiveness in comorbid patients with wounds and surgical infections of various etiology based on the results of a comparative clinical study; [Анализ э</t>
  </si>
  <si>
    <t>Pirogov Russian Journal of Surgery</t>
  </si>
  <si>
    <t>40103254</t>
  </si>
  <si>
    <t>Paskhalova2025</t>
  </si>
  <si>
    <t>EST-103</t>
  </si>
  <si>
    <t>Phage therapy of purulent wounds: comparative clinical cytomorphological and microbiological analysis of effectiveness; [Фаготерапиягнойныхран:сравнительныйклинико-цитоморфологичес</t>
  </si>
  <si>
    <t>41885494</t>
  </si>
  <si>
    <t>EST-118</t>
  </si>
  <si>
    <t>Intravesical bacteriophages for treating urinary tract infections in patients undergoing transurethral resection of the prostate: a randomised, placebo-controlled, double-blind cli</t>
  </si>
  <si>
    <t>32949500</t>
  </si>
  <si>
    <t>intravesical</t>
  </si>
  <si>
    <t>fago en monoterapia</t>
  </si>
  <si>
    <t>Georgia</t>
  </si>
  <si>
    <t>EST-126</t>
  </si>
  <si>
    <t>Application of bacteriophage therapy in the treatment of children with acute tonsillitis</t>
  </si>
  <si>
    <t xml:space="preserve">International Journal of Pediatrics and Adolescent Medicine </t>
  </si>
  <si>
    <t>2024</t>
  </si>
  <si>
    <t>10.4103/ijpam.ijpam_1_24</t>
  </si>
  <si>
    <t>Turdieva2024</t>
  </si>
  <si>
    <t>Uzbekistan</t>
  </si>
  <si>
    <t>EST-157</t>
  </si>
  <si>
    <t>A Randomized, Placebo-controlled, Double-blind Clinical Trial of Bacteriophage Cocktails in Chronic Wound Infections.</t>
  </si>
  <si>
    <t>The international journal of lower extremity wounds</t>
  </si>
  <si>
    <t>38233034</t>
  </si>
  <si>
    <t>Karn2024</t>
  </si>
  <si>
    <t>EST-167</t>
  </si>
  <si>
    <t>Biological Therapy on Infected Traumatic Wounds: A Case-Control Study.</t>
  </si>
  <si>
    <t>10.1177/15347346211072779</t>
  </si>
  <si>
    <t>EST-173</t>
  </si>
  <si>
    <t>Use of bacteriophages in the treatment of infected wounds in patients who have allergy to antibiotics</t>
  </si>
  <si>
    <t>Surgical Chronicles</t>
  </si>
  <si>
    <t>2016</t>
  </si>
  <si>
    <t>cita: Surgical Chronicles 2016</t>
  </si>
  <si>
    <t>EST-177</t>
  </si>
  <si>
    <t>A randomized, double-blind, placebo- -controlled study to investigate the use of bacteriophages in patients with chronic rhinosinusitis with nasal polyps.</t>
  </si>
  <si>
    <t>Otolaryngologia polska = The Polish otolaryngology</t>
  </si>
  <si>
    <t>35175218</t>
  </si>
  <si>
    <t>EST-188</t>
  </si>
  <si>
    <t>Potential treatment method of recurrent urinary tract infection in postmenopausal kidney transplant recipients: the results of pilot study</t>
  </si>
  <si>
    <t>Nephrology dialysis transplantation</t>
  </si>
  <si>
    <t>2020</t>
  </si>
  <si>
    <t>cita: Nephrol Dial Transplant 2020 (resumen de congreso)</t>
  </si>
  <si>
    <t>EST-219</t>
  </si>
  <si>
    <t>Bacteriophages in complex treatment of septic diseases of the hand; [Использование лекарственных препаратов бактериофагов в комплексном лечении гнойных заболеваний кисти]</t>
  </si>
  <si>
    <t>10.17116/hirurgia202309145</t>
  </si>
  <si>
    <t>EST-004</t>
  </si>
  <si>
    <t>Personalized inhaled bacteriophage therapy for treatment of multidrug-resistant Pseudomonas aeruginosa in cystic fibrosis.</t>
  </si>
  <si>
    <t>Nature medicine</t>
  </si>
  <si>
    <t>10.1038/s41591-025-03678-8</t>
  </si>
  <si>
    <t>Chan2025</t>
  </si>
  <si>
    <t>MDR</t>
  </si>
  <si>
    <t>si</t>
  </si>
  <si>
    <t>EEUU</t>
  </si>
  <si>
    <t>B</t>
  </si>
  <si>
    <t>PDR</t>
  </si>
  <si>
    <t>cohorte prospectiva</t>
  </si>
  <si>
    <t>Estos resultados demuestran que una estrategia de terapia fágica nebulizada personalizada puede afectar a los resultados clínicos y microbiológicos, que deben evaluarse en ensayos clínicos más amplios.</t>
  </si>
  <si>
    <t>EST-024</t>
  </si>
  <si>
    <t>Bacteriophage Therapy for Pan-Drug-Resistant Pseudomonas aeruginosa in Two Persons With Cystic Fibrosis.</t>
  </si>
  <si>
    <t>Journal of investigative medicine high impact case reports</t>
  </si>
  <si>
    <t>10.1177/23247096231188243</t>
  </si>
  <si>
    <t>Hahn2023</t>
  </si>
  <si>
    <t>EST-039</t>
  </si>
  <si>
    <t>Adaptive Phage Therapy for the Prevention of Recurrent Nosocomial Pneumonia: Novel Protocol Description and Case Series</t>
  </si>
  <si>
    <t>Antibiotics</t>
  </si>
  <si>
    <t>10.3390/antibiotics12121734</t>
  </si>
  <si>
    <t>Zurabov2023</t>
  </si>
  <si>
    <t>EST-042</t>
  </si>
  <si>
    <t>Phage therapy of perinephric abscess in kidney transplantation recipients caused by drug-resistant Pseudomonas aeruginosa.</t>
  </si>
  <si>
    <t>mLife</t>
  </si>
  <si>
    <t>10.1002/mlf2.70042</t>
  </si>
  <si>
    <t>Liu2025</t>
  </si>
  <si>
    <t>China</t>
  </si>
  <si>
    <t>EST-055</t>
  </si>
  <si>
    <t>Bacteriophage therapy in women with chronic recurrent cystitis caused by multidrug-resistant bacteria: A prospective, observational, comparative study</t>
  </si>
  <si>
    <t>Current Urology</t>
  </si>
  <si>
    <t>10.1097/cu9.0000000000000268</t>
  </si>
  <si>
    <t>Krakhotkin2025</t>
  </si>
  <si>
    <t>oral</t>
  </si>
  <si>
    <t>EST-074</t>
  </si>
  <si>
    <t>Bacteriophage Therapy for Critical Infections Related to Cardiothoracic Surgery.</t>
  </si>
  <si>
    <t>Antibiotics (Basel, Switzerland)</t>
  </si>
  <si>
    <t>10.3390/antibiotics9050232</t>
  </si>
  <si>
    <t>Rubalskii2020</t>
  </si>
  <si>
    <t>Alemania</t>
  </si>
  <si>
    <t>EST-075</t>
  </si>
  <si>
    <t>Phage therapy in antibiotic resistant pneumonia: Immunomodulation or redistribution?; [ФАГОТЕРАПИЯ АНТИБИОТИКОРЕЗИСТЕНТНОЙ ПНЕВМОНИИ: ИММУНОМОДУЛЯЦИЯ ИЛИ ПЕРЕРАСПРЕДЕЛЕНИЕ?]</t>
  </si>
  <si>
    <t>Medical Immunology (Russia)</t>
  </si>
  <si>
    <t>10.15789/1563-0625-pti-2012</t>
  </si>
  <si>
    <t>Bochkareva2021</t>
  </si>
  <si>
    <t>EST-077</t>
  </si>
  <si>
    <t>Pseudomonas aeruginosa ventricular assist device infections: findings from ineffective phage therapies in five cases.</t>
  </si>
  <si>
    <t>Antimicrobial agents and chemotherapy</t>
  </si>
  <si>
    <t>10.1128/aac.01728-23</t>
  </si>
  <si>
    <t>Aslam2024</t>
  </si>
  <si>
    <t>intravenosa</t>
  </si>
  <si>
    <t>EEUU/Israel</t>
  </si>
  <si>
    <t>EST-080</t>
  </si>
  <si>
    <t>Bacteriophage Therapy as a Potential Management Option for Surgical Wound Infections</t>
  </si>
  <si>
    <t>PHAGE: Therapy, Applications, and Research</t>
  </si>
  <si>
    <t>10.1089/phage.2020.0010</t>
  </si>
  <si>
    <t>EST-091</t>
  </si>
  <si>
    <t>Analysis of Pro- and Anti-Inflammatory Gene Response Patterns in Patients Receiving Phage Therapy.</t>
  </si>
  <si>
    <t>International journal of molecular sciences</t>
  </si>
  <si>
    <t>10.3390/ijms27010172</t>
  </si>
  <si>
    <t>Kasprzak2026</t>
  </si>
  <si>
    <t>Polonia</t>
  </si>
  <si>
    <t>EST-108</t>
  </si>
  <si>
    <t>Personalized bacteriophage therapy outcomes for 100 consecutive cases: a multicentre, multinational, retrospective observational study.</t>
  </si>
  <si>
    <t>Nature microbiology</t>
  </si>
  <si>
    <t>10.1038/s41564-024-01705-x</t>
  </si>
  <si>
    <t>Pirnay2024</t>
  </si>
  <si>
    <t>por debajo del umbral MDR</t>
  </si>
  <si>
    <t>cohorte retrospectiva</t>
  </si>
  <si>
    <t>Na</t>
  </si>
  <si>
    <t>Evaluación del médico tratante (“clinical improvement”). No usaron criterios pre-especificados uniformes.</t>
  </si>
  <si>
    <t>multicéntrico (Europa)</t>
  </si>
  <si>
    <t>Artículo principal + Supplementary Table 1</t>
  </si>
  <si>
    <t>el artículo no reporta este desenlace</t>
  </si>
  <si>
    <t>Artículo principal + Supplementary Table 2</t>
  </si>
  <si>
    <t>C</t>
  </si>
  <si>
    <t>XDR</t>
  </si>
  <si>
    <t>Artículo principal + Supplementary Table 3</t>
  </si>
  <si>
    <t>D</t>
  </si>
  <si>
    <t>Artículo principal + Supplementary Table 4</t>
  </si>
  <si>
    <t>EST-116</t>
  </si>
  <si>
    <t>Processing Phage Therapy Requests in a Brussels Military Hospital: Lessons Identified.</t>
  </si>
  <si>
    <t>10.3390/v11030265</t>
  </si>
  <si>
    <t>EST-117</t>
  </si>
  <si>
    <t>Anti-phage serum antibody responses and the outcome of phage therapy.</t>
  </si>
  <si>
    <t>Folia microbiologica</t>
  </si>
  <si>
    <t>10.1007/s12223-020-00835-z</t>
  </si>
  <si>
    <t>EST-134</t>
  </si>
  <si>
    <t>Adapted Bacteriophages for Treating Urinary Tract Infections.</t>
  </si>
  <si>
    <t>Frontiers in microbiology</t>
  </si>
  <si>
    <t>2018</t>
  </si>
  <si>
    <t>30131795</t>
  </si>
  <si>
    <t>Ujmajuridze2018</t>
  </si>
  <si>
    <t>EST-146</t>
  </si>
  <si>
    <t>A Retrospective, Observational Study of 12 Cases of Expanded-Access Customized Phage Therapy: Production, Characteristics, and Clinical Outcomes.</t>
  </si>
  <si>
    <t>Clinical infectious diseases : an official publication of the Infectious Diseases Society of America</t>
  </si>
  <si>
    <t>10.1093/cid/ciad335</t>
  </si>
  <si>
    <t>Green2023</t>
  </si>
  <si>
    <t>EST-152</t>
  </si>
  <si>
    <t>The Appearance of Antiphage Antibodies in Sera of Patients Treated with Phages</t>
  </si>
  <si>
    <t>10.3390/antibiotics14010087</t>
  </si>
  <si>
    <t>EST-169</t>
  </si>
  <si>
    <t>Safety and tolerability of bronchoscopic and nebulised administration of bacteriophage.</t>
  </si>
  <si>
    <t>Virus research</t>
  </si>
  <si>
    <t>10.1016/j.virusres.2024.199442</t>
  </si>
  <si>
    <t>Australia</t>
  </si>
  <si>
    <t>EST-003</t>
  </si>
  <si>
    <t>Refractory Pseudomonas aeruginosa infections treated with phage PASA16: A compassionate use case series.</t>
  </si>
  <si>
    <t>10.1016/j.medj.2023.07.002</t>
  </si>
  <si>
    <t>Onallah2023</t>
  </si>
  <si>
    <t>Israel/global</t>
  </si>
  <si>
    <t>IV</t>
  </si>
  <si>
    <t>Se ha observado que el tratamiento con PASA16 y antibióticos resulta relativamente eficaz en pacientes en los que los tratamientos tradicionales habían fracasado previamente. Estas cohortes previas a la fase 1 pueden servir de base para posibles protocolos clínicos y facilitar el diseño de futuros ensayos.</t>
  </si>
  <si>
    <t xml:space="preserve">Israel </t>
  </si>
  <si>
    <t>E</t>
  </si>
  <si>
    <t>EST-019</t>
  </si>
  <si>
    <t>Neutralizing antibodies after nebulized phage therapy in cystic fibrosis patients.</t>
  </si>
  <si>
    <t>10.1016/j.medj.2024.05.017</t>
  </si>
  <si>
    <t>España</t>
  </si>
  <si>
    <t>EST-028</t>
  </si>
  <si>
    <t>A feasibility study for personalized phage therapy against drug-resistant bacteria in Japan.</t>
  </si>
  <si>
    <t>Journal of infection and chemotherapy : official journal of the Japan Society of Chemotherapy</t>
  </si>
  <si>
    <t>10.1016/j.jiac.2025.102770</t>
  </si>
  <si>
    <t>Hayakawa2025</t>
  </si>
  <si>
    <t>Japon</t>
  </si>
  <si>
    <t>EST-031</t>
  </si>
  <si>
    <t>Harnessing bacteriophages to combat antibiotic-resistant chronic postoperative infections: A promising case series</t>
  </si>
  <si>
    <t>Medicine in Microecology</t>
  </si>
  <si>
    <t>10.1016/j.medmic.2026.100178</t>
  </si>
  <si>
    <t>Kumar2026</t>
  </si>
  <si>
    <t>EST-034</t>
  </si>
  <si>
    <t>Lessons Learned From the First 10 Consecutive Cases of Intravenous Bacteriophage Therapy to Treat Multidrug-Resistant Bacterial Infections at a Single Center in the United States.</t>
  </si>
  <si>
    <t>Open forum infectious diseases</t>
  </si>
  <si>
    <t>10.1093/ofid/ofaa389</t>
  </si>
  <si>
    <t>Aslam2020</t>
  </si>
  <si>
    <t>EST-038</t>
  </si>
  <si>
    <t>Phage Therapy Experience at the Eliava Phage Therapy Center: Three Cases of Bacterial Persistence.</t>
  </si>
  <si>
    <t>10.3390/v13101901</t>
  </si>
  <si>
    <t>Zaldastanishvili2021</t>
  </si>
  <si>
    <t>EST-050</t>
  </si>
  <si>
    <t>Access to phage therapy at Hospices Civils de Lyon in 2022: Implementation of the PHAGEinLYON Clinic programme.</t>
  </si>
  <si>
    <t>International journal of antimicrobial agents</t>
  </si>
  <si>
    <t>10.1016/j.ijantimicag.2024.107372</t>
  </si>
  <si>
    <t>Ferry2024</t>
  </si>
  <si>
    <t>Francia</t>
  </si>
  <si>
    <t>EST-059</t>
  </si>
  <si>
    <t>Anti-phage antibody response in phage therapy against healthcare-associated infections (HAIs)</t>
  </si>
  <si>
    <t>Infektsionnye Bolezni</t>
  </si>
  <si>
    <t>2017</t>
  </si>
  <si>
    <t>10.20953/1729-9225-2017-1-35-40</t>
  </si>
  <si>
    <t>Bochkareva2017</t>
  </si>
  <si>
    <t>EST-061</t>
  </si>
  <si>
    <t>Early clinical experience of bacteriophage therapy in 3 lung transplant recipients.</t>
  </si>
  <si>
    <t>American journal of transplantation : official journal of the American Society of Transplantation and the American Society of Transplant Surgeons</t>
  </si>
  <si>
    <t>10.1111/ajt.15503</t>
  </si>
  <si>
    <t>Aslam2019</t>
  </si>
  <si>
    <t>EST-070</t>
  </si>
  <si>
    <t>Compassionate Use of Bacteriophages for Failed Persistent Infections During the First 5 Years of the Israeli Phage Therapy Center</t>
  </si>
  <si>
    <t>Open Forum Infectious Diseases</t>
  </si>
  <si>
    <t>10.1093/ofid/ofad221</t>
  </si>
  <si>
    <t>EST-073</t>
  </si>
  <si>
    <t>Bacteriophage Therapy of Chronic Nonhealing Wound: Clinical Study.</t>
  </si>
  <si>
    <t>10.1177/1534734619835115</t>
  </si>
  <si>
    <t>EST-076</t>
  </si>
  <si>
    <t>Experience Using Adjuvant Bacteriophage Therapy for the Treatment of 10 Recalcitrant Periprosthetic Joint Infections: A Case Series.</t>
  </si>
  <si>
    <t>10.1093/cid/ciac694</t>
  </si>
  <si>
    <t>Doub2023</t>
  </si>
  <si>
    <t>EST-096</t>
  </si>
  <si>
    <t>Low immunogenicity of intravesical phage therapy for urogenitary tract infections</t>
  </si>
  <si>
    <t>10.3390/antibiotics10060627</t>
  </si>
  <si>
    <t>Letkiewicz2021</t>
  </si>
  <si>
    <t>EST-098</t>
  </si>
  <si>
    <t>Bacteriophage therapy as a treatment option for complex cardiovascular implant infection: The German Heart Center Berlin experience.</t>
  </si>
  <si>
    <t>The Journal of heart and lung transplantation : the official publication of the International Society for Heart Transplantation</t>
  </si>
  <si>
    <t>10.1016/j.healun.2022.01.018</t>
  </si>
  <si>
    <t>Tkhilaishvili2022</t>
  </si>
  <si>
    <t>no derivable</t>
  </si>
  <si>
    <t>EST-115</t>
  </si>
  <si>
    <t>Antiphage activity of sera during phage therapy in relation to its outcome.</t>
  </si>
  <si>
    <t>Future microbiology</t>
  </si>
  <si>
    <t>10.2217/fmb-2016-0156</t>
  </si>
  <si>
    <t>EST-133</t>
  </si>
  <si>
    <t>Phage therapy for the treatment for urinary tract infection: results of in-vitro screenings and in-vivo application using commercially available bacteriophage cocktails</t>
  </si>
  <si>
    <t>European urology, supplements</t>
  </si>
  <si>
    <t>cita: Eur Urol Suppl 2016 (informe previo del grupo de Leitner)</t>
  </si>
  <si>
    <t>Georgia/Suiza</t>
  </si>
  <si>
    <t>EST-164</t>
  </si>
  <si>
    <t>Bacteriophage Application for Difficult-to-treat Musculoskeletal Infections: Development of a Standardized Multidisciplinary Treatment Protocol.</t>
  </si>
  <si>
    <t>10.3390/v11100891</t>
  </si>
  <si>
    <t>Onsea2019</t>
  </si>
  <si>
    <t>Belgica</t>
  </si>
  <si>
    <t>EST-165</t>
  </si>
  <si>
    <t>Use of Customized Bacteriophages in the Treatment of Chronic Nonhealing Wounds: A Prospective Study.</t>
  </si>
  <si>
    <t>10.1177/1534734619881076</t>
  </si>
  <si>
    <t>EST-185</t>
  </si>
  <si>
    <t>The management of sternal mediastinitis in heart and lung transplant patients: An 8-year experience and application of reconstructive algorithm</t>
  </si>
  <si>
    <t>Journal of Plastic, Reconstructive and Aesthetic Surgery</t>
  </si>
  <si>
    <t>10.1016/j.bjps.2026.06.028</t>
  </si>
  <si>
    <t>EST-001</t>
  </si>
  <si>
    <t>Case Report: Arthroscopic "Debridement Antibiotics and Implant Retention" With Local Injection of Personalized Phage Therapy to Salvage a Relapsing Pseudomonas Aeruginosa Prostheti</t>
  </si>
  <si>
    <t>Frontiers in medicine</t>
  </si>
  <si>
    <t>10.3389/fmed.2021.569159</t>
  </si>
  <si>
    <t>Ferry2021</t>
  </si>
  <si>
    <t>caso clinico</t>
  </si>
  <si>
    <t>EST-002</t>
  </si>
  <si>
    <t>Case report: Analysis of phage therapy failure in a patient with a Pseudomonas aeruginosa prosthetic vascular graft infection.</t>
  </si>
  <si>
    <t>10.3389/fmed.2023.1199657</t>
  </si>
  <si>
    <t>Blasco2023</t>
  </si>
  <si>
    <t>EST-006</t>
  </si>
  <si>
    <t>Phage Therapy in a Burn Patient Colonized with Extensively Drug-Resistant Pseudomonas aeruginosa Responsible for Relapsing Ventilator-Associated Pneumonia and Bacteriemia.</t>
  </si>
  <si>
    <t>10.3390/v16071080</t>
  </si>
  <si>
    <t>Teney2024</t>
  </si>
  <si>
    <t>EST-009</t>
  </si>
  <si>
    <t>Case Report: Chronic Bacterial Prostatitis Treated With Phage Therapy After Multiple Failed Antibiotic Treatments.</t>
  </si>
  <si>
    <t>Frontiers in pharmacology</t>
  </si>
  <si>
    <t>10.3389/fphar.2021.692614</t>
  </si>
  <si>
    <t>EST-010</t>
  </si>
  <si>
    <t>Personalized bacteriophage therapy to treat pandrug-resistant spinal Pseudomonas aeruginosa infection.</t>
  </si>
  <si>
    <t>10.1038/s41467-022-31837-9</t>
  </si>
  <si>
    <t>Ferry2022</t>
  </si>
  <si>
    <t>EST-011</t>
  </si>
  <si>
    <t>A case report of bacteriophage therapy for the treatment of lung infection due to carbapenem-resistant Pseudomonas aeruginosa.</t>
  </si>
  <si>
    <t>Scientific reports</t>
  </si>
  <si>
    <t>10.1038/s41598-025-17510-3</t>
  </si>
  <si>
    <t>Yang2025</t>
  </si>
  <si>
    <t>EST-012</t>
  </si>
  <si>
    <t>Chronic suppression of a multidrug-resistant Pseudomonas aeruginosa in prosthetic joint infection using personalized bacteriophage treatment.</t>
  </si>
  <si>
    <t>Nature communications</t>
  </si>
  <si>
    <t>10.1038/s41467-026-74326-z</t>
  </si>
  <si>
    <t>Arya2026</t>
  </si>
  <si>
    <t>EST-014</t>
  </si>
  <si>
    <t>Bacteriophage therapy for empyema caused by carbapenem-resistant Pseudomonas aeruginosa.</t>
  </si>
  <si>
    <t>Bioscience trends</t>
  </si>
  <si>
    <t>10.5582/bst.2022.01147</t>
  </si>
  <si>
    <t>Chen2022</t>
  </si>
  <si>
    <t>EST-016</t>
  </si>
  <si>
    <t>Use of Phage Cocktail BFC 1.10 in Combination With Ceftazidime-Avibactam in the Treatment of Multidrug-Resistant Pseudomonas aeruginosa Femur Osteomyelitis-A Case Report.</t>
  </si>
  <si>
    <t>10.3389/fmed.2022.851310</t>
  </si>
  <si>
    <t>En este caso, el desbridamiento de la herida combinado con antibióticos y bacteriófagos resultó en la erradicación bacteriana del segmento femoral proximal, evitando la amputación de la pierna, pero no logró tratar la osteomielitis en el segmento óseo distal. Se realizó una evaluación in vitro de la cepa aislada de P. aeruginosa MDR para la formación de biopelículas y la susceptibilidad a fagos.</t>
  </si>
  <si>
    <t xml:space="preserve">Francia </t>
  </si>
  <si>
    <t>EST-017</t>
  </si>
  <si>
    <t>Successful Treatment of a Patient With Chronic Bronchiectasis Using an Induced Native Phage Cocktail: A Case Report.</t>
  </si>
  <si>
    <t>Cureus</t>
  </si>
  <si>
    <t>10.7759/cureus.77681</t>
  </si>
  <si>
    <t>Jernigan2025</t>
  </si>
  <si>
    <t>EST-020</t>
  </si>
  <si>
    <t>Adjunctive phage therapy improves antibiotic treatment of ventilator-associated-pneumonia with Pseudomonas aeruginosa.</t>
  </si>
  <si>
    <t>10.1038/s41467-025-59806-y</t>
  </si>
  <si>
    <t>EST-027</t>
  </si>
  <si>
    <t>Personalized aerosolised bacteriophage treatment of a chronic lung infection due to multidrug-resistant Pseudomonas aeruginosa.</t>
  </si>
  <si>
    <t>10.1038/s41467-023-39370-z</t>
  </si>
  <si>
    <t>Suiza</t>
  </si>
  <si>
    <t>EST-030</t>
  </si>
  <si>
    <t>Clearance of hypermutator XDR Pseudomonas osteomyelitis and hardware infection with adjunctive bacteriophage therapy.</t>
  </si>
  <si>
    <t>ASM case reports</t>
  </si>
  <si>
    <t>10.1128/asmcr.00108-25</t>
  </si>
  <si>
    <t>Ngauy2025</t>
  </si>
  <si>
    <t>EST-037</t>
  </si>
  <si>
    <t>Pan-Resistant Pseudomonas aeruginosa Septic Shock in a Critically Ill Patient: A Case Report.</t>
  </si>
  <si>
    <t xml:space="preserve">Clinical Medicine Insights: Case Reports </t>
  </si>
  <si>
    <t>10.1177/11795476251411094</t>
  </si>
  <si>
    <t>Surana2026</t>
  </si>
  <si>
    <t>EST-040</t>
  </si>
  <si>
    <t>Refractory Pseudomonas aeruginosa Bronchopulmonary Infection After Lung Transplantation for Common Variable Immunodeficiency Despite Maximal Treatment Including IgM/IgA-Enriched Im</t>
  </si>
  <si>
    <t>Infection and drug resistance</t>
  </si>
  <si>
    <t>10.2147/idr.s413900</t>
  </si>
  <si>
    <t>EST-041</t>
  </si>
  <si>
    <t>Optimized preparation pipeline for emergency phage therapy against Pseudomonas aeruginosa at Yale University.</t>
  </si>
  <si>
    <t>10.1038/s41598-024-52192-3</t>
  </si>
  <si>
    <t>EST-046</t>
  </si>
  <si>
    <t>Use of bacteriophages in the treatment of colistin-only-sensitive Pseudomonas aeruginosa septicaemia in a patient with acute kidney injury-a case report.</t>
  </si>
  <si>
    <t>Critical care (London, England)</t>
  </si>
  <si>
    <t>10.1186/s13054-017-1709-y</t>
  </si>
  <si>
    <t>Jennes2017</t>
  </si>
  <si>
    <t>EST-047</t>
  </si>
  <si>
    <t>Bacteriophages as Adjuvant to Antibiotics for the Treatment of Periprosthetic Joint Infection Caused by Multidrug-Resistant Pseudomonas aeruginosa.</t>
  </si>
  <si>
    <t>10.1128/aac.00924-19</t>
  </si>
  <si>
    <t>Tkhilaishvili2020</t>
  </si>
  <si>
    <t>EST-048</t>
  </si>
  <si>
    <t>Application of Phage Therapy in a Case of a Chronic Hip-Prosthetic Joint Infection due to Pseudomonas aeruginosa: An Italian Real-Life Experience and In Vitro Analysis.</t>
  </si>
  <si>
    <t>10.1093/ofid/ofad051</t>
  </si>
  <si>
    <t>Cesta2023</t>
  </si>
  <si>
    <t>Italia</t>
  </si>
  <si>
    <t>EST-051</t>
  </si>
  <si>
    <t>Case report: Local bacteriophage therapy for fracture-related infection with polymicrobial multi-resistant bacteria: hydrogel application and postoperative phage analysis through m</t>
  </si>
  <si>
    <t>Frontiers in Medicine</t>
  </si>
  <si>
    <t>10.3389/fmed.2024.1428432</t>
  </si>
  <si>
    <t>Alt2024</t>
  </si>
  <si>
    <t>EST-053</t>
  </si>
  <si>
    <t>Phage-Antibiotic Combination Therapy against Recurrent Pseudomonas Septicaemia in a Patient with an Arterial Stent.</t>
  </si>
  <si>
    <t>10.3390/antibiotics13100916</t>
  </si>
  <si>
    <t>Otava2024</t>
  </si>
  <si>
    <t>Finlandia</t>
  </si>
  <si>
    <t>EST-057</t>
  </si>
  <si>
    <t>Phage Therapy as a Rescue Treatment for Recurrent Pseudomonas aeruginosa Bentall Infection.</t>
  </si>
  <si>
    <t>10.3390/v17010123</t>
  </si>
  <si>
    <t>Eiferman2025</t>
  </si>
  <si>
    <t>EST-058</t>
  </si>
  <si>
    <t>Resolution of acute rejection in a bilateral double-lung transplanted cystic fibrosis patient following phage intervention.</t>
  </si>
  <si>
    <t>10.1128/asmcr.00058-24</t>
  </si>
  <si>
    <t>EST-062</t>
  </si>
  <si>
    <t>Bacteriophage-antibiotic combination therapy against extensively drug-resistant Pseudomonas aeruginosa infection to allow liver transplantation in a toddler.</t>
  </si>
  <si>
    <t>10.1038/s41467-022-33294-w</t>
  </si>
  <si>
    <t>VanNieuwenhuyse2022</t>
  </si>
  <si>
    <t>EST-085</t>
  </si>
  <si>
    <t>First-in-human application of double-stranded RNA bacteriophage in the treatment of pulmonary Pseudomonas aeruginosa infection.</t>
  </si>
  <si>
    <t>Microbial biotechnology</t>
  </si>
  <si>
    <t>10.1111/1751-7915.14217</t>
  </si>
  <si>
    <t>Li2023</t>
  </si>
  <si>
    <t>EST-088</t>
  </si>
  <si>
    <t>Case report: Personalized triple phage-antibiotic combination therapy to rescue necrotizing fasciitis caused by Panton-Valentine leukocidin-producing MRSA in a 12-year-old boy.</t>
  </si>
  <si>
    <t>Frontiers in cellular and infection microbiology</t>
  </si>
  <si>
    <t>10.3389/fcimb.2024.1354681</t>
  </si>
  <si>
    <t>VanNieuwenhuyse2024</t>
  </si>
  <si>
    <t>EST-093</t>
  </si>
  <si>
    <t>Pharmacodynamic individualization of phage therapy against a KPC-5-producing Pseudomonas aeruginosa.</t>
  </si>
  <si>
    <t>JAC-antimicrobial resistance</t>
  </si>
  <si>
    <t>10.1093/jacamr/dlaf257</t>
  </si>
  <si>
    <t>Nguyen2026</t>
  </si>
  <si>
    <t>EST-094</t>
  </si>
  <si>
    <t>Timely bespoke phage-antibiotic combination to treat refractory Pseudomonas aeruginosa mediastinitis and vascular graft infection.</t>
  </si>
  <si>
    <t>10.1038/s41467-025-68136-y</t>
  </si>
  <si>
    <t>Moreira2026</t>
  </si>
  <si>
    <t>Singapur</t>
  </si>
  <si>
    <t>EST-095</t>
  </si>
  <si>
    <t>Bacterial lysis, autophagy and innate immune responses during adjunctive phage therapy in a child.</t>
  </si>
  <si>
    <t>EMBO molecular medicine</t>
  </si>
  <si>
    <t>10.15252/emmm.202113936</t>
  </si>
  <si>
    <t>Khatami2021</t>
  </si>
  <si>
    <t>EST-106</t>
  </si>
  <si>
    <t>Phage treatment of an aortic graft infected with Pseudomonas aeruginosa.</t>
  </si>
  <si>
    <t>Evolution, medicine, and public health</t>
  </si>
  <si>
    <t>10.1093/emph/eoy005</t>
  </si>
  <si>
    <t>Chan2018</t>
  </si>
  <si>
    <t>EST-121</t>
  </si>
  <si>
    <t>Do Anti-Phage Antibodies Persist after Phage Therapy? A Preliminary Report</t>
  </si>
  <si>
    <t>10.3390/antibiotics11101358</t>
  </si>
  <si>
    <t>EST-124</t>
  </si>
  <si>
    <t>Successful Bacteriophage-Antibiotic Combination Therapy against Multidrug-Resistant Pseudomonas aeruginosa Left Ventricular Assist Device Driveline Infection.</t>
  </si>
  <si>
    <t>10.3390/v15051210</t>
  </si>
  <si>
    <t>Racenis2023</t>
  </si>
  <si>
    <t>Letonia</t>
  </si>
  <si>
    <t>EST-129</t>
  </si>
  <si>
    <t>Phage Therapy for Orthopaedic Infections: The First Three Cases from the United Kingdom</t>
  </si>
  <si>
    <t>10.3390/antibiotics14020114</t>
  </si>
  <si>
    <t>Munteanu2025</t>
  </si>
  <si>
    <t>UK</t>
  </si>
  <si>
    <t>EST-130</t>
  </si>
  <si>
    <t>Prolonged disease remission of the chronic immunological skin disorder hidradenitis suppurativa with adjunctive bacteriophage therapy.</t>
  </si>
  <si>
    <t>10.1038/s41467-025-65939-x</t>
  </si>
  <si>
    <t>Bens2025</t>
  </si>
  <si>
    <t>EST-135</t>
  </si>
  <si>
    <t>The Potential Innovative Use of Bacteriophages Within the DAC® Hydrogel to Treat Patients With Knee Megaprosthesis Infection Requiring “Debridement Antibiotics and Implant Retentio</t>
  </si>
  <si>
    <t>10.3389/fmed.2020.00342</t>
  </si>
  <si>
    <t>Ferry2020</t>
  </si>
  <si>
    <t>EST-159</t>
  </si>
  <si>
    <t>Bacteriophage-Enriched Galenic for Intrapericardial Ventricular Assist Device Infection</t>
  </si>
  <si>
    <t>10.3390/antibiotics11050602</t>
  </si>
  <si>
    <t>Rojas2022</t>
  </si>
  <si>
    <t>EST-199</t>
  </si>
  <si>
    <t>Successful use of a phage endolysin for treatment of chronic pelvic pain syndrome/chronic bacterial prostatitis</t>
  </si>
  <si>
    <t>10.3389/fmed.2023.1238147</t>
  </si>
  <si>
    <t>Stevens2023</t>
  </si>
  <si>
    <t>USA</t>
  </si>
  <si>
    <t>EST-212</t>
  </si>
  <si>
    <t>Local Treatment of Driveline Infection with Bacteriophages</t>
  </si>
  <si>
    <t>10.3390/antibiotics11101310</t>
  </si>
  <si>
    <t>Puschel2022</t>
  </si>
  <si>
    <t>EST-005</t>
  </si>
  <si>
    <t>Successful adjunctive use of bacteriophage therapy for treatment of multidrug-resistant Pseudomonas aeruginosa infection in a cystic fibrosis patient.</t>
  </si>
  <si>
    <t>Infection</t>
  </si>
  <si>
    <t>10.1007/s15010-019-01319-0</t>
  </si>
  <si>
    <t>Dada la preocupación por las infecciones por P. aeruginosa multirresistente en pacientes con fibrosis quística, la BT podría ofrecer un complemento antiinfeccioso viable a la terapia antibiótica tradicional.</t>
  </si>
  <si>
    <t>EST-007</t>
  </si>
  <si>
    <t>Adjuvant multisite bacteriophage cocktail administration as salvage treatment in a patient with a multidrug-resistant Pseudomonas aeruginosa frontal relapsing complex osteitis.</t>
  </si>
  <si>
    <t>International journal of infectious diseases : IJID : official publication of the International Society for Infectious Diseases</t>
  </si>
  <si>
    <t>10.1016/j.ijid.2026.108756</t>
  </si>
  <si>
    <t>FA</t>
  </si>
  <si>
    <t>La administración de fagos en múltiples sitios es una estrategia de tratamiento personalizada que puede prevenir la recaída o la aparición de resistencia antimicrobiana adicional en casos complejos, como la osteítis recurrente por P. aeruginosa multirresistente</t>
  </si>
  <si>
    <t>EST-013</t>
  </si>
  <si>
    <t>Personalized bacteriophage therapy for chronic biliary tract Pseudomonas aeruginosa infections</t>
  </si>
  <si>
    <t>hLife</t>
  </si>
  <si>
    <t>10.1016/j.hlife.2025.03.004</t>
  </si>
  <si>
    <t>Si</t>
  </si>
  <si>
    <t>este estudio de caso corrobora la seguridad de la terapia con fagos para las infecciones bacterianas y su capacidad para aliviar los síntomas de la infección, abriendo así nuevas vías en los enfoques terapéuticos. Para las infecciones crónicas y complejas, los bacteriófagos ofrecen una alternativa económica y segura. Este caso también ilustra los diversos desafíos que se presentan durante la terapia con bacteriófagos, lo que subraya la necesidad de seguir investigando para comprender mejor y optimizar su utilidad clínica.</t>
  </si>
  <si>
    <t xml:space="preserve">China </t>
  </si>
  <si>
    <t>EST-015</t>
  </si>
  <si>
    <t>Combination of phage therapy and cefiderocol to successfully treat Pseudomonas aeruginosa cranial osteomyelitis.</t>
  </si>
  <si>
    <t>10.1093/jacamr/dlac046</t>
  </si>
  <si>
    <t>Este informe se suma a la creciente bibliografía que indica que la terapia con fagos puede ser un enfoque seguro y eficaz para complementar la terapia antibiótica en pacientes infectados con patógenos resistentes a los medicamentos. Además, resalta la importancia de la familia de β-lactamasas GES en la inactivación de una amplia gama de antibióticos β-lactámicos en P. aeruginosa , incluyendo ceftolozano/tazobactam, ceftazidima/avibactam e imipenem/relebactam</t>
  </si>
  <si>
    <t xml:space="preserve">EEUU </t>
  </si>
  <si>
    <t>na</t>
  </si>
  <si>
    <t>EST-018</t>
  </si>
  <si>
    <t>Bacteriophage therapy in clinical practice: case studies of Pseudomonas aeruginosa infections.</t>
  </si>
  <si>
    <t>Journal of chemotherapy (Florence, Italy)</t>
  </si>
  <si>
    <t>10.1080/1120009x.2025.2547147</t>
  </si>
  <si>
    <t>EST-032</t>
  </si>
  <si>
    <t>Refractory Pseudomonas Bacteremia in a 2-Year-Old Sterilized by Bacteriophage Therapy.</t>
  </si>
  <si>
    <t>Journal of the Pediatric Infectious Diseases Society</t>
  </si>
  <si>
    <t>10.1093/jpids/pix056</t>
  </si>
  <si>
    <t>EST-033</t>
  </si>
  <si>
    <t>Bacteriophage Therapy of Ventilator-associated Pneumonia and Empyema Caused by Pseudomonas aeruginosa.</t>
  </si>
  <si>
    <t>American journal of respiratory and critical care medicine</t>
  </si>
  <si>
    <t>10.1164/rccm.201904-0839le</t>
  </si>
  <si>
    <t>EST-043</t>
  </si>
  <si>
    <t>Calciphylaxis complicated by NDM-1-producing Pseudomonas aeruginosa: first experience with cefepime-zidebactam alongside phage therapy in the USA.</t>
  </si>
  <si>
    <t>10.1016/s1473-3099(26)00176-3</t>
  </si>
  <si>
    <t>Ulloa2026</t>
  </si>
  <si>
    <t>EST-044</t>
  </si>
  <si>
    <t>Successful Bacteriophage Treatment of a Recalcitrant Intra-Abdominal Infection Caused by Multidrug-Resistant Pseudomonas aeruginosa in a 2-Year-Old Child.</t>
  </si>
  <si>
    <t>The Journal of pediatrics</t>
  </si>
  <si>
    <t>10.1016/j.jpeds.2026.115005</t>
  </si>
  <si>
    <t>Malhotra2026</t>
  </si>
  <si>
    <t>EST-049</t>
  </si>
  <si>
    <t>Development of Host Immune Response to Bacteriophage in a Lung Transplant Recipient on Adjunctive Phage Therapy for a Multidrug-Resistant Pneumonia.</t>
  </si>
  <si>
    <t>The Journal of infectious diseases</t>
  </si>
  <si>
    <t>10.1093/infdis/jiac368</t>
  </si>
  <si>
    <t>Dan2023</t>
  </si>
  <si>
    <t>EST-060</t>
  </si>
  <si>
    <t>Clinical Indications and Compassionate Use of Phage Therapy: Personal Experience and Literature Review with a Focus on Osteoarticular Infections.</t>
  </si>
  <si>
    <t>10.3390/v11010018</t>
  </si>
  <si>
    <t>EST-083</t>
  </si>
  <si>
    <t>Bacteriophage Therapy for Difficult-to-Treat Infections: The Implementation of a Multidisciplinary Phage Task Force (The PHAGEFORCE Study Protocol).</t>
  </si>
  <si>
    <t>10.3390/v13081543</t>
  </si>
  <si>
    <t>EST-105</t>
  </si>
  <si>
    <t>Innovations for the treatment of a complex bone and joint infection due to XDR Pseudomonas aeruginosa including local application of a selected cocktail of bacteriophages.</t>
  </si>
  <si>
    <t>The Journal of antimicrobial chemotherapy</t>
  </si>
  <si>
    <t>10.1093/jac/dky263</t>
  </si>
  <si>
    <t>Ferry2018</t>
  </si>
  <si>
    <t>EST-131</t>
  </si>
  <si>
    <t>Results of TOR001: An open-label single patient study using targeted bacteriophage therapy for the treatment of a chronic urinary tract infection</t>
  </si>
  <si>
    <t>10.1016/j.ijantimicag.2025.107613</t>
  </si>
  <si>
    <t>Cook2025</t>
  </si>
  <si>
    <t>Canada</t>
  </si>
  <si>
    <t>EST-170</t>
  </si>
  <si>
    <t>Thoracic endovascular aneurysm repair of a ruptured zone 0 mycotic thoracic aortic aneurysm</t>
  </si>
  <si>
    <t>Annals of Vascular Surgery - Brief Reports and Innovations</t>
  </si>
  <si>
    <t>10.1016/j.avsurg.2024.100302</t>
  </si>
  <si>
    <t>Kostiuk2024</t>
  </si>
  <si>
    <t>EST-184</t>
  </si>
  <si>
    <t>Severe Darier disease complicated by recurrent multidrug-resistant cutaneous infection</t>
  </si>
  <si>
    <t>JAAD Case Reports</t>
  </si>
  <si>
    <t>10.1016/j.jdcr.2026.06.010</t>
  </si>
  <si>
    <t>EST-205</t>
  </si>
  <si>
    <t>Beneficios obtenidos con el empleo de bacteriófagos en el tratamiento de infecciones crónicas</t>
  </si>
  <si>
    <t>Revista Cubana de Angiología y Cirugía Vascular</t>
  </si>
  <si>
    <t>cita: Rev Cubana Angiol Cir Vasc 2017</t>
  </si>
  <si>
    <t>EST-045</t>
  </si>
  <si>
    <t>Concept of individualized medicine based on personalized phage therapy for intensive care unit patients suffering from healthcare-associated infections</t>
  </si>
  <si>
    <t>10.20953/1729-9225-2017-4-49-54</t>
  </si>
  <si>
    <t>EST-054</t>
  </si>
  <si>
    <t>Bacteriophage Therapy for Chronic Mastoiditis.</t>
  </si>
  <si>
    <t>Otology &amp; neurotology : official publication of the American Otological Society, American Neurotology Society [and] European Academy of Otology and Neurotology</t>
  </si>
  <si>
    <t>10.1097/mao.0000000000004417</t>
  </si>
  <si>
    <t>EST-064</t>
  </si>
  <si>
    <t>Adjunctive bacteriophage therapy for refractory/resistant Pseudomonas aeruginosa infections: Bottlenecks and proposed solutions.</t>
  </si>
  <si>
    <t>10.1016/j.ijantimicag.2025.107629</t>
  </si>
  <si>
    <t>EST-065</t>
  </si>
  <si>
    <t>Successful phage therapy in a patient with prosthetic joint infection; [Tratamiento exitoso con fagoterapia en una paciente con infección periprotésica]</t>
  </si>
  <si>
    <t>Enfermedades Infecciosas y Microbiologia Clinica</t>
  </si>
  <si>
    <t>10.1016/j.eimc.2025.05.008</t>
  </si>
  <si>
    <t>EST-081</t>
  </si>
  <si>
    <t>Bacteriophage therapy as a treatment option for transplant infections.</t>
  </si>
  <si>
    <t>Current opinion in infectious diseases</t>
  </si>
  <si>
    <t>10.1097/qco.0000000000000658</t>
  </si>
  <si>
    <t>EST-110</t>
  </si>
  <si>
    <t>Successful Use of Phage and Antibiotics Therapy for the Eradication of Two Bacterial Pathogens from the Respiratory Tract of an Infant.</t>
  </si>
  <si>
    <t>Methods in molecular biology (Clifton, N.J.)</t>
  </si>
  <si>
    <t>10.1007/978-1-0716-3523-0_15</t>
  </si>
  <si>
    <t>EST-140</t>
  </si>
  <si>
    <t>Novel bacteriophage therapy for treatment of left ventricular assist device infection.</t>
  </si>
  <si>
    <t>10.1016/j.healun.2019.01.001</t>
  </si>
  <si>
    <t>EST-147</t>
  </si>
  <si>
    <t>Complex surgical treatment of recurrent post-injection abscess in a patient with systemic autoimmune disease; [Комплексное хирургическое лечение рецидивирующего постинъекционного а</t>
  </si>
  <si>
    <t>10.17116/hirurgia2023121123</t>
  </si>
  <si>
    <t>Nivel de cada revista — se decide UNA vez por revista, no por estudio</t>
  </si>
  <si>
    <t>Criterio de esta revisión (memo de estrategia, comprobación de falsación nº2):</t>
  </si>
  <si>
    <t>el nivel es un indicador grueso, solo sirve para comprobar que la revista no</t>
  </si>
  <si>
    <t>predice el resultado agrupado. No hace falta afinar: basta alto / medio / bajo.</t>
  </si>
  <si>
    <t>alto   revista general o de infecciosas de primera línea (Nature Microbiology,</t>
  </si>
  <si>
    <t xml:space="preserve">       Lancet Infect Dis, Clinical Infectious Diseases, Nature Communications…)</t>
  </si>
  <si>
    <t>medio  revista especializada con revisión por pares (Viruses, Antibiotics,</t>
  </si>
  <si>
    <t xml:space="preserve">       Antimicrob Agents Chemother, Frontiers…)</t>
  </si>
  <si>
    <t>bajo   revista local, sin indexación reconocible o sin revisión por pares clara</t>
  </si>
  <si>
    <t>solo registro   no es una revista: es una ficha de ensayo</t>
  </si>
  <si>
    <t>Si duda, búsquela en scimagojr.com: Q1 y Q2 -&gt; alto o medio; Q3, Q4 o sin</t>
  </si>
  <si>
    <t>cuartil -&gt; bajo. Anote la fuente en la última columna.</t>
  </si>
  <si>
    <t>Las que ya traen nivel salen del corpus ya extraído de este proyecto. No las</t>
  </si>
  <si>
    <t>cambie sin motivo: cambiarlas descuadra los 42 estudios ya codificados.</t>
  </si>
  <si>
    <t>Estudios</t>
  </si>
  <si>
    <t>Nivel</t>
  </si>
  <si>
    <t>Propuesta (confirmar)</t>
  </si>
  <si>
    <t>Fuente / nota</t>
  </si>
  <si>
    <t>corpus del proyecto</t>
  </si>
  <si>
    <t>Nature Communications</t>
  </si>
  <si>
    <t>buscar en scimagojr.com</t>
  </si>
  <si>
    <t>propuesta: confirmar</t>
  </si>
  <si>
    <t>Clinical Medicine Insights: Case Reports</t>
  </si>
  <si>
    <t>Europace : European pacing, arrhythmias, and cardiac electrophysiology : journal of the working groups on cardiac pacing, arrhythmias, and cardiac cellular electrophysiology of the European Society of Cardiology</t>
  </si>
  <si>
    <t>European journal of cardio-thoracic surgery : official journal of the European Association for Cardio-thoracic Surgery</t>
  </si>
  <si>
    <t>International Journal of Pediatrics and Adolescent Medicine</t>
  </si>
  <si>
    <t>no aplica (serie de libros)</t>
  </si>
  <si>
    <t>País</t>
  </si>
  <si>
    <t>Nivel de revista</t>
  </si>
  <si>
    <t>Motivo si quedó incompleto</t>
  </si>
  <si>
    <t>texto completo no accesible</t>
  </si>
  <si>
    <t>Bélgica</t>
  </si>
  <si>
    <t>el artículo no separa los datos de P. aeruginosa</t>
  </si>
  <si>
    <t>Canadá</t>
  </si>
  <si>
    <t>solo registro</t>
  </si>
  <si>
    <t>solo resumen de congreso: datos limitados</t>
  </si>
  <si>
    <t>Corea del Sur</t>
  </si>
  <si>
    <t>datos solo del estudio entero, no por brazo</t>
  </si>
  <si>
    <t>Dinamarca</t>
  </si>
  <si>
    <t>el antibiograma no permite clasificar la resistencia</t>
  </si>
  <si>
    <t>Ecuador</t>
  </si>
  <si>
    <t>otro (explicar al lado)</t>
  </si>
  <si>
    <t>Estados Unidos</t>
  </si>
  <si>
    <t>Irán</t>
  </si>
  <si>
    <t>Japón</t>
  </si>
  <si>
    <t>Países Bajos</t>
  </si>
  <si>
    <t>Reino Unido</t>
  </si>
  <si>
    <t>Turquía</t>
  </si>
  <si>
    <t>multicéntrico (internacional)</t>
  </si>
  <si>
    <t>otro</t>
  </si>
  <si>
    <t>Columna</t>
  </si>
  <si>
    <t>Qué se contesta</t>
  </si>
  <si>
    <t>Opciones</t>
  </si>
  <si>
    <t>Apellido del primer autor pegado al año: Tkhilaishvili2020. Sin espacios ni tildes.</t>
  </si>
  <si>
    <t>A si el estudio da un solo grupo de datos. Si separa desenlaces por clase de resistencia, usa A, B, C.</t>
  </si>
  <si>
    <t>Solo Pseudomonas si todos los pacientes tenían P. aeruginosa. Mixto si había otras bacterias PERO el artículo permite separar los de Pseudomonas.</t>
  </si>
  <si>
    <t>solo Pseudomonas · mixto con subgrupo de Pseudomonas</t>
  </si>
  <si>
    <t>MDR, XDR o PDR según Magiorakos. Si el antibiograma no alcanza para clasificar, pon 'no clasificable'.</t>
  </si>
  <si>
    <t>MDR · XDR · PDR · por debajo del umbral MDR · no clasificable</t>
  </si>
  <si>
    <t>¿Lo dice el autor y lo aceptaste, o lo verificaste tú con el antibiograma? Importa para el riesgo de sesgo.</t>
  </si>
  <si>
    <t>declarado por el autor · verificado de forma independiente · no clasificable</t>
  </si>
  <si>
    <t>Difficult-to-Treat Resistance (Kadri 2018, PMID 30052813). NO es MDR con otro nombre: pregunta si se agotaron los antibióticos de PRIMERA LÍNEA (carbapenémicos, otros betalactámicos, fluoroquinolonas). Los de RESERVA -- colistina, aminoglucósidos, tigeciclina -- y los posteriores a 2018 -- ceftazidima-avibactam, cefiderocol -- NO cuentan: son aquello a lo que el DTR obliga a recurrir.
SÍ: el artículo documenta sensibilidad SOLO a agentes de reserva.
NO: basta UN agente de primera línea sensible documentado.
NO DERIVABLE: el resto.
Ojo: esta revisión ya definió mal este campo una vez (exigía 'todos los betalactámicos', más estricto que Kadri) y fabricó no-derivabilidad. Si duda entre 'no' y 'no derivable', mire si hay UN solo agente de primera línea sensible.</t>
  </si>
  <si>
    <t>si · no · no derivable</t>
  </si>
  <si>
    <t>Por dónde se administró el fago. Si fueron varias vías, elige 'otra' y explica en el paréntesis.</t>
  </si>
  <si>
    <t>IV · inhalada/nebulizada · topica/local · oral · intravesical · intraarticular · otra · NA</t>
  </si>
  <si>
    <t>¿El fago fue solo, o junto con antibióticos?</t>
  </si>
  <si>
    <t>fago en monoterapia · fago + antibiotico · fago + otro · NA</t>
  </si>
  <si>
    <t>Lo que el artículo ES, no lo que dice ser. Un 'estudio' de un paciente es un caso clínico.</t>
  </si>
  <si>
    <t>ECA · caso clinico · serie de casos · cohorte retrospectiva · cohorte prospectiva · ensayo no aleatorizado · otra</t>
  </si>
  <si>
    <t>COMPLETA si sacaste todo lo que el artículo daba. PARCIAL o INCOMPLETA si te faltó algo, y explícalo en la última columna.</t>
  </si>
  <si>
    <t>COMPLETA · PARCIAL · INCOMPLETA</t>
  </si>
  <si>
    <t>Cuántos pacientes hay en ESTE brazo, no en todo el estudio.</t>
  </si>
  <si>
    <t>Pacientes de este brazo que mejoraron según la definición del PROPIO autor.
   · un número = el artículo lo dice o permite contarlo
   · 0 = el artículo dice que ninguno mejoró
   · NA = no lo reporta ni permite deducirlo
Si el autor no define el éxito pero dice «los tres pacientes se curaron»,
la cifra SÍ se extrae: pon 3, y escribe SIN DEFINICIÓN OPERATIVA en la
columna de definición.</t>
  </si>
  <si>
    <t>Cuántos pacientes tuvieron algún evento adverso. Cero notificados se escribe 0, no NA.</t>
  </si>
  <si>
    <t>Pacientes con CULTIVO DE CONTROL NEGATIVO para P. aeruginosa, del mismo
sitio de infección, DESPUÉS de terminar la fagoterapia. Se toma el primer
cultivo posterior al fin del tratamiento; anota el día en observaciones.
Los tres valores NO son intercambiables:
   · un número = se hizo cultivo y salió negativo en esos pacientes
   · 0 = se hizo cultivo y SIGUIÓ POSITIVO en todos
   · NA = no se hizo, o no se reporta, cultivo de control
FIBROSIS QUÍSTICA Y BRONQUIECTASIAS: un solo cultivo negativo NO cuenta
como erradicación. En colonización crónica la carga fluctúa y un cultivo
aislado no demuestra eliminación. Anota NA y explícalo, salvo que el
artículo declare erradicación sostenida con cultivos seriados.
Regla completa y por qué:
quality_reports/decisions/2026-08-11_definicion-erradicacion-y-exito.md</t>
  </si>
  <si>
    <t>Cuántos fallecieron durante el seguimiento.</t>
  </si>
  <si>
    <t>Días de hospitalización. Casi ningún caso clínico lo reporta: NA es lo normal aquí.</t>
  </si>
  <si>
    <t>En cuántos apareció resistencia al fago durante el tratamiento.</t>
  </si>
  <si>
    <t>Año del artículo.</t>
  </si>
  <si>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</si>
  <si>
    <t>Nombre de la revista, y si es de alto o medio impacto: 'alto (Nature Microbiology)'.</t>
  </si>
  <si>
    <t>País y ciudad si consta: 'Alemania (Berlín)'.</t>
  </si>
  <si>
    <t>Página, tabla o figura de donde sacaste los números: 'p.3 Results, Tabla 2'. Obligatorio para cualquier cifra.</t>
  </si>
  <si>
    <t>Qué faltó y por qué. NA si no faltó nada.</t>
  </si>
  <si>
    <t>Dos ejemplos resueltos</t>
  </si>
  <si>
    <t>Salen de estudios que ya se extrajeron en este proyecto.</t>
  </si>
  <si>
    <t>EJEMPLO 1 — un solo brazo</t>
  </si>
  <si>
    <t>Tkhilaishvili 2020. Un paciente con infección de prótesis por P. aeruginosa XDR,</t>
  </si>
  <si>
    <t>tratado con fago más antibiótico por vía local. Curó.</t>
  </si>
  <si>
    <t>Qué escribí</t>
  </si>
  <si>
    <t>Por qué</t>
  </si>
  <si>
    <t>apellido pegado al año</t>
  </si>
  <si>
    <t>un solo brazo</t>
  </si>
  <si>
    <t>1</t>
  </si>
  <si>
    <t>pacientes de este brazo</t>
  </si>
  <si>
    <t>según el antibiograma</t>
  </si>
  <si>
    <t>verificado de forma independiente</t>
  </si>
  <si>
    <t>lo verifiqué yo con Magiorakos; no me fié de la etiqueta del autor</t>
  </si>
  <si>
    <t>el artículo no da lo necesario</t>
  </si>
  <si>
    <t>de 1 paciente</t>
  </si>
  <si>
    <t>Infección erradicada; sin dolor, PCR normal, sin aflojamiento a 10 meses</t>
  </si>
  <si>
    <t>la definición DEL AUTOR, copiada, no la mía</t>
  </si>
  <si>
    <t>0</t>
  </si>
  <si>
    <t>cero notificados; NO es lo mismo que NA</t>
  </si>
  <si>
    <t>el artículo no lo dice</t>
  </si>
  <si>
    <t>medio (Antimicrob Agents Chemother)</t>
  </si>
  <si>
    <t>Alemania (Berlín)</t>
  </si>
  <si>
    <t>pp.1-2 Case Presentation; Tabla 1 antibiograma</t>
  </si>
  <si>
    <t>dónde lo vi; obligatorio para cualquier cifra</t>
  </si>
  <si>
    <t>EJEMPLO 2 — varios brazos</t>
  </si>
  <si>
    <t>Pirnay 2024, cohorte de 100 casos. Aquí está el error más común:</t>
  </si>
  <si>
    <t>los brazos NO son grupos de tratamiento, son clases de resistencia.</t>
  </si>
  <si>
    <t>Todos los pacientes recibieron lo mismo, fago más antibiótico. Lo que separa</t>
  </si>
  <si>
    <t>las filas es que el artículo permite contar desenlaces aparte en XDR, MDR y PDR.</t>
  </si>
  <si>
    <t>Se copia la fila tres veces, con el MISMO Nº y el Brazo en A, B y C.</t>
  </si>
  <si>
    <t>Pacientes</t>
  </si>
  <si>
    <t>Éxito clínico</t>
  </si>
  <si>
    <t>Eventos adversos</t>
  </si>
  <si>
    <t>Fallecidos</t>
  </si>
  <si>
    <t>El resto de columnas (vía, modalidad, revista, país…) se repite igual en las tres.</t>
  </si>
  <si>
    <t>Si el artículo NO permite separar por clase de resistencia, no invente brazos:</t>
  </si>
  <si>
    <t>una sola fila y la clase en 'no clasificable'.</t>
  </si>
  <si>
    <t xml:space="preserve"> El protocolo evalúa la actividad microbiológica mediante el cambio en los recuentos totales de colonias de P. aeruginosa en esputo ($\log_{10}$ CFU/mL) y el perfil global de beneficio-riesgo utilizando el ranking de deseabilidad de resultados</t>
  </si>
  <si>
    <t>Estados unidos</t>
  </si>
  <si>
    <t>ABSTRACT FIGURA 1-3</t>
  </si>
  <si>
    <t>ensayo no aleatorizado</t>
  </si>
  <si>
    <t>evalúa la reducción de los títulos bacterianos de P. aeruginosa en esputo desde el inicio hasta el día 7.</t>
  </si>
  <si>
    <t>metodos y analisis</t>
  </si>
  <si>
    <t>Como "cura", definida como la ausencia de evidencia de una infección en curso, lo que incluye falta de signos/síntomas clínicos, ausencia de anomalías radiológicas y de laboratorio, y sin evidencia microbiológica de infección</t>
  </si>
  <si>
    <t>Abstract", "Introduction" y "Methods and Analysis"</t>
  </si>
  <si>
    <t>Koff2022</t>
  </si>
  <si>
    <t xml:space="preserve">Reducción significativa de la carga bacteriana ($\text{UFC/mL}$) de P. aeruginosa en esputo al día 14, cambios en la función pulmonar ($FEV_1$ y $FEV_1pp$), reducción de exacerbaciones pulmonares y mejoría en escalas de síntomas (CFQ-R, CFRSD, CRISS). </t>
  </si>
  <si>
    <t>METODOS Y RESULTADOS</t>
  </si>
  <si>
    <t>NO</t>
  </si>
  <si>
    <t>Paskhalova2026</t>
  </si>
  <si>
    <t>Dobretsov 2021</t>
  </si>
  <si>
    <t>Djebara2019</t>
  </si>
  <si>
    <t>MATERILAES Y METODOS</t>
  </si>
  <si>
    <t>FU2026</t>
  </si>
  <si>
    <t>INTRODUCCION Y RESULTADOS</t>
  </si>
  <si>
    <t>Johri2021</t>
  </si>
  <si>
    <t>El paciente descrito en este estudio de caso se sometió a numerosos ciclos de antibióticos sin mejoría en los síntomas o evaluación adecuada, como análisis bacteriológico y TRUS. Este fracaso de los antibióticos para proporcionar mejora clínica lo llevó a buscar un tratamiento alternativo. La terapia con fagos mostró eficacia tanto en la erradicación de bacterias patógenas como se observó en repetidos análisis microbiológicos y la reducción de la inflamación en la próstata, así como en el volumen sin cargar al paciente con efectos secundarios. La calidad de vida del paciente mejoró drásticamente. Ahora está libre de síntomas y ha restaurado la actividad normal.</t>
  </si>
  <si>
    <t/>
  </si>
  <si>
    <t>Tabla 1 y tabla 2</t>
  </si>
  <si>
    <t>No es pseudomona</t>
  </si>
  <si>
    <t>Supervivencia</t>
  </si>
  <si>
    <t>Würstle2025</t>
  </si>
  <si>
    <t>Erradicación en modelo HFIM (PYO2 6.82 log)</t>
  </si>
  <si>
    <t>Lusiak-Szelachowska2022</t>
  </si>
  <si>
    <t>Anticuerpos pueden persistir &gt;1 año; no correlaciona con fallo</t>
  </si>
  <si>
    <t>Patey2019</t>
  </si>
  <si>
    <t>Discusión de indicaciones clínicas y uso compasivo de fagos</t>
  </si>
  <si>
    <t>Sin recurrencia de infección a 2 años de seguimiento</t>
  </si>
  <si>
    <t>EE.UU.</t>
  </si>
  <si>
    <t>Leitner2017</t>
  </si>
  <si>
    <t>Bhartiya2022</t>
  </si>
  <si>
    <t>Nadareishvili 2020</t>
  </si>
  <si>
    <t>Szelachowska2021</t>
  </si>
  <si>
    <t>Szelachowska2025</t>
  </si>
  <si>
    <t>Sing2024</t>
  </si>
  <si>
    <t>Gimeno2024</t>
  </si>
  <si>
    <t>Szelachowska2016</t>
  </si>
  <si>
    <t>Patel2019</t>
  </si>
  <si>
    <t>Racenis2022</t>
  </si>
  <si>
    <t>Weissfuss2025</t>
  </si>
  <si>
    <t>Köhler2023</t>
  </si>
  <si>
    <t>Levêque et al. 2023</t>
  </si>
  <si>
    <t>Pardo2025</t>
  </si>
  <si>
    <t>Law2019</t>
  </si>
  <si>
    <t>Aurore2026</t>
  </si>
  <si>
    <t>Li2026</t>
  </si>
  <si>
    <t>Simner2022</t>
  </si>
  <si>
    <t>Elfadadny2026</t>
  </si>
  <si>
    <t>Exarchos2019</t>
  </si>
  <si>
    <t>Mulzer2020</t>
  </si>
  <si>
    <t>Ho2026</t>
  </si>
  <si>
    <t>Onsea2021</t>
  </si>
  <si>
    <t>EN METODOS Y EN CLINICAL TRIAL</t>
  </si>
  <si>
    <t>FIGURA 1-4</t>
  </si>
  <si>
    <t>resumen materiales y metodos</t>
  </si>
  <si>
    <t>ABSTRACT resumen y metodos</t>
  </si>
  <si>
    <t>bstract", "Patients and Methods", la Figura 1 de flujo de pacientes, la sección "Results</t>
  </si>
  <si>
    <t>Abstract", "Materials and Methods", "Results", "Discussion" y la Tabla II del documento</t>
  </si>
  <si>
    <t>DISEÑO Y METODOS</t>
  </si>
  <si>
    <t>Tabla 2 Terapia personalizada con fagos</t>
  </si>
  <si>
    <t>INTRODUCCION CASE 4 Y RESULTADOS</t>
  </si>
  <si>
    <t>Abstract, Sección 2.1 (Tabla 1) y Sección 4.1 (Materiales y Métodos)</t>
  </si>
  <si>
    <t>Tabla 4. Descripción general de los 16 casos de terapia con bacteriófagos PASA16</t>
  </si>
  <si>
    <t>abstracto</t>
  </si>
  <si>
    <t>INTRODUCCION</t>
  </si>
  <si>
    <t>Informe del caso</t>
  </si>
  <si>
    <t>Falta el antibiograma</t>
  </si>
  <si>
    <t>Tabla 1 figura 2</t>
  </si>
  <si>
    <t>Resultados</t>
  </si>
  <si>
    <t>Resumen</t>
  </si>
  <si>
    <t>No open acces</t>
  </si>
  <si>
    <t>Sin acceso completo</t>
  </si>
  <si>
    <t>Presentación del caso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</si>
</sst>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1"/>
      <color rgb="FFFFFFFF"/>
      <name val="Calibri"/>
    </font>
    <font>
      <u/>
      <sz val="11"/>
      <color rgb="FF0563C1"/>
      <name val="Calibri"/>
    </font>
  </fonts>
  <fills count="5">
    <fill>
      <patternFill patternType="none"/>
    </fill>
    <fill>
      <patternFill patternType="gray125"/>
    </fill>
    <fill>
      <patternFill patternType="solid">
        <fgColor rgb="FF1F4E79"/>
      </patternFill>
    </fill>
    <fill>
      <patternFill patternType="solid">
        <fgColor rgb="FFEDEDED"/>
      </patternFill>
    </fill>
    <fill>
      <patternFill patternType="solid">
        <fgColor rgb="FFFFF2CC"/>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0" fillId="4" borderId="0" xfId="0" applyFill="1"/>
    <xf numFmtId="0" fontId="2" fillId="2" borderId="0" xfId="0" applyFont="1" applyFill="1"/>
    <xf numFmtId="0" fontId="0" fillId="0" borderId="0" xfId="0" applyAlignment="1">
      <alignment vertical="top" wrapText="1"/>
    </xf>
    <xf numFmtId="0" fontId="0" fillId="3" borderId="0" xfId="0" applyFill="1" applyAlignment="1">
      <alignment horizontal="center"/>
    </xf>
    <xf numFmtId="0" fontId="3" fillId="3" borderId="0" xfId="0" applyFont="1" applyFill="1" applyAlignment="1">
      <alignment horizontal="center"/>
    </xf>
    <xf numFmtId="0" fontId="0" fillId="4" borderId="0" xfId="0" applyFill="1" applyAlignment="1">
      <alignment horizontal="center"/>
    </xf>
    <xf numFmtId="0" fontId="0" fillId="0" borderId="0" xfId="0" applyAlignment="1">
      <alignment horizontal="center"/>
    </xf>
    <xf numFmtId="0" fontId="2" fillId="2"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V&#237;nculoExternoRecuperado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ciones"/>
      <sheetName val="Extraccion"/>
      <sheetName val="Revistas"/>
      <sheetName val="Listas"/>
      <sheetName val="Diccionario"/>
      <sheetName val="Ejemplo"/>
    </sheetNames>
    <sheetDataSet>
      <sheetData sheetId="0"/>
      <sheetData sheetId="1"/>
      <sheetData sheetId="2">
        <row r="21">
          <cell r="A21" t="str">
            <v>Antibiotics</v>
          </cell>
          <cell r="B21">
            <v>9</v>
          </cell>
          <cell r="C21" t="str">
            <v>medio</v>
          </cell>
        </row>
        <row r="22">
          <cell r="A22" t="str">
            <v>Viruses</v>
          </cell>
          <cell r="B22">
            <v>9</v>
          </cell>
          <cell r="C22" t="str">
            <v>medio</v>
          </cell>
        </row>
        <row r="23">
          <cell r="A23" t="str">
            <v>Nature Communications</v>
          </cell>
          <cell r="B23">
            <v>8</v>
          </cell>
          <cell r="C23" t="str">
            <v>alto</v>
          </cell>
        </row>
        <row r="24">
          <cell r="A24" t="str">
            <v>Frontiers in medicine</v>
          </cell>
          <cell r="B24">
            <v>6</v>
          </cell>
          <cell r="C24" t="str">
            <v>medio</v>
          </cell>
        </row>
        <row r="25">
          <cell r="A25" t="str">
            <v>Pirogov Russian Journal of Surgery</v>
          </cell>
          <cell r="B25">
            <v>4</v>
          </cell>
        </row>
        <row r="26">
          <cell r="A26" t="str">
            <v>The international journal of lower extremity wounds</v>
          </cell>
          <cell r="B26">
            <v>4</v>
          </cell>
        </row>
        <row r="27">
          <cell r="A27" t="str">
            <v>International journal of antimicrobial agents</v>
          </cell>
          <cell r="B27">
            <v>3</v>
          </cell>
        </row>
        <row r="28">
          <cell r="A28" t="str">
            <v>Med (New York, N.Y.)</v>
          </cell>
          <cell r="B28">
            <v>3</v>
          </cell>
          <cell r="C28" t="str">
            <v>alto</v>
          </cell>
        </row>
        <row r="29">
          <cell r="A29" t="str">
            <v>Open forum infectious diseases</v>
          </cell>
          <cell r="B29">
            <v>3</v>
          </cell>
          <cell r="C29" t="str">
            <v>medio</v>
          </cell>
        </row>
        <row r="30">
          <cell r="A30" t="str">
            <v>The Lancet. Infectious diseases</v>
          </cell>
          <cell r="B30">
            <v>3</v>
          </cell>
          <cell r="C30" t="str">
            <v>alto</v>
          </cell>
        </row>
        <row r="31">
          <cell r="A31" t="str">
            <v>Antimicrobial agents and chemotherapy</v>
          </cell>
          <cell r="B31">
            <v>2</v>
          </cell>
          <cell r="C31" t="str">
            <v>medio</v>
          </cell>
        </row>
        <row r="32">
          <cell r="A32" t="str">
            <v>ASM case reports</v>
          </cell>
          <cell r="B32">
            <v>2</v>
          </cell>
          <cell r="C32" t="str">
            <v>medio</v>
          </cell>
        </row>
        <row r="33">
          <cell r="A33" t="str">
            <v>Clinical infectious diseases : an official publication of the Infectious Diseases Society of America</v>
          </cell>
          <cell r="B33">
            <v>2</v>
          </cell>
          <cell r="C33" t="str">
            <v>alto</v>
          </cell>
        </row>
        <row r="34">
          <cell r="A34" t="str">
            <v>Infektsionnye Bolezni</v>
          </cell>
          <cell r="B34">
            <v>2</v>
          </cell>
        </row>
        <row r="35">
          <cell r="A35" t="str">
            <v>International journal of infectious diseases : IJID : official publication of the International Society for Infectious Diseases</v>
          </cell>
          <cell r="B35">
            <v>2</v>
          </cell>
          <cell r="C35" t="str">
            <v>medio</v>
          </cell>
        </row>
        <row r="36">
          <cell r="A36" t="str">
            <v>JAC-antimicrobial resistance</v>
          </cell>
          <cell r="B36">
            <v>2</v>
          </cell>
        </row>
        <row r="37">
          <cell r="A37" t="str">
            <v>Scientific reports</v>
          </cell>
          <cell r="B37">
            <v>2</v>
          </cell>
          <cell r="C37" t="str">
            <v>alto</v>
          </cell>
        </row>
        <row r="38">
          <cell r="A38" t="str">
            <v>The Journal of heart and lung transplantation : the official publication of the International Society for Heart Transplantation</v>
          </cell>
          <cell r="B38">
            <v>2</v>
          </cell>
        </row>
        <row r="39">
          <cell r="A39" t="str">
            <v>American journal of respiratory and critical care medicine</v>
          </cell>
          <cell r="B39">
            <v>1</v>
          </cell>
          <cell r="C39" t="str">
            <v>alto</v>
          </cell>
        </row>
        <row r="40">
          <cell r="A40" t="str">
            <v>American journal of transplantation : official journal of the American Society of Transplantation and the American Society of Transplant Surgeons</v>
          </cell>
          <cell r="B40">
            <v>1</v>
          </cell>
          <cell r="C40" t="str">
            <v>alto</v>
          </cell>
        </row>
        <row r="41">
          <cell r="A41" t="str">
            <v>Annals of Vascular Surgery - Brief Reports and Innovations</v>
          </cell>
          <cell r="B41">
            <v>1</v>
          </cell>
        </row>
        <row r="42">
          <cell r="A42" t="str">
            <v>Biomedicines</v>
          </cell>
          <cell r="B42">
            <v>1</v>
          </cell>
        </row>
        <row r="43">
          <cell r="A43" t="str">
            <v>Bioscience trends</v>
          </cell>
          <cell r="B43">
            <v>1</v>
          </cell>
          <cell r="C43" t="str">
            <v>medio</v>
          </cell>
        </row>
        <row r="44">
          <cell r="A44" t="str">
            <v>BMJ open</v>
          </cell>
          <cell r="B44">
            <v>1</v>
          </cell>
        </row>
        <row r="45">
          <cell r="A45" t="str">
            <v>BMJ open respiratory research</v>
          </cell>
          <cell r="B45">
            <v>1</v>
          </cell>
        </row>
        <row r="46">
          <cell r="A46" t="str">
            <v>Clinical Medicine Insights: Case Reports</v>
          </cell>
          <cell r="B46">
            <v>1</v>
          </cell>
        </row>
        <row r="47">
          <cell r="A47" t="str">
            <v>Critical care (London, England)</v>
          </cell>
          <cell r="B47">
            <v>1</v>
          </cell>
          <cell r="C47" t="str">
            <v>alto</v>
          </cell>
        </row>
        <row r="48">
          <cell r="A48" t="str">
            <v>Cureus</v>
          </cell>
          <cell r="B48">
            <v>1</v>
          </cell>
        </row>
        <row r="49">
          <cell r="A49" t="str">
            <v>Current opinion in infectious diseases</v>
          </cell>
          <cell r="B49">
            <v>1</v>
          </cell>
        </row>
        <row r="50">
          <cell r="A50" t="str">
            <v>Current Urology</v>
          </cell>
          <cell r="B50">
            <v>1</v>
          </cell>
        </row>
        <row r="51">
          <cell r="A51" t="str">
            <v>EMBO molecular medicine</v>
          </cell>
          <cell r="B51">
            <v>1</v>
          </cell>
          <cell r="C51" t="str">
            <v>medio</v>
          </cell>
        </row>
        <row r="52">
          <cell r="A52" t="str">
            <v>Enfermedades Infecciosas y Microbiologia Clinica</v>
          </cell>
          <cell r="B52">
            <v>1</v>
          </cell>
        </row>
        <row r="53">
          <cell r="A53" t="str">
            <v>Europace : European pacing, arrhythmias, and cardiac electrophysiology : journal of the working groups on cardiac pacing, arrhythmias, and cardiac cellular electrophysiology of the European Society of Cardiology</v>
          </cell>
          <cell r="B53">
            <v>1</v>
          </cell>
        </row>
        <row r="54">
          <cell r="A54" t="str">
            <v>European journal of cardio-thoracic surgery : official journal of the European Association for Cardio-thoracic Surgery</v>
          </cell>
          <cell r="B54">
            <v>1</v>
          </cell>
        </row>
        <row r="55">
          <cell r="A55" t="str">
            <v>European urology, supplements</v>
          </cell>
          <cell r="B55">
            <v>1</v>
          </cell>
        </row>
        <row r="56">
          <cell r="A56" t="str">
            <v>Evolution, medicine, and public health</v>
          </cell>
          <cell r="B56">
            <v>1</v>
          </cell>
          <cell r="C56" t="str">
            <v>medio</v>
          </cell>
        </row>
        <row r="57">
          <cell r="A57" t="str">
            <v>Folia microbiologica</v>
          </cell>
          <cell r="B57">
            <v>1</v>
          </cell>
        </row>
        <row r="58">
          <cell r="A58" t="str">
            <v>Frontiers in cellular and infection microbiology</v>
          </cell>
          <cell r="B58">
            <v>1</v>
          </cell>
        </row>
        <row r="59">
          <cell r="A59" t="str">
            <v>Frontiers in microbiology</v>
          </cell>
          <cell r="B59">
            <v>1</v>
          </cell>
        </row>
        <row r="60">
          <cell r="A60" t="str">
            <v>Frontiers in pharmacology</v>
          </cell>
          <cell r="B60">
            <v>1</v>
          </cell>
        </row>
        <row r="61">
          <cell r="A61" t="str">
            <v>Future microbiology</v>
          </cell>
          <cell r="B61">
            <v>1</v>
          </cell>
        </row>
        <row r="62">
          <cell r="A62" t="str">
            <v>hLife</v>
          </cell>
          <cell r="B62">
            <v>1</v>
          </cell>
          <cell r="C62" t="str">
            <v>medio</v>
          </cell>
        </row>
        <row r="63">
          <cell r="A63" t="str">
            <v>Indian Journal of Critical Care Medicine</v>
          </cell>
          <cell r="B63">
            <v>1</v>
          </cell>
        </row>
        <row r="64">
          <cell r="A64" t="str">
            <v>Infection</v>
          </cell>
          <cell r="B64">
            <v>1</v>
          </cell>
          <cell r="C64" t="str">
            <v>medio</v>
          </cell>
        </row>
        <row r="65">
          <cell r="A65" t="str">
            <v>Infection and drug resistance</v>
          </cell>
          <cell r="B65">
            <v>1</v>
          </cell>
          <cell r="C65" t="str">
            <v>medio</v>
          </cell>
        </row>
        <row r="66">
          <cell r="A66" t="str">
            <v>International journal of diabetes in developing countries</v>
          </cell>
          <cell r="B66">
            <v>1</v>
          </cell>
        </row>
        <row r="67">
          <cell r="A67" t="str">
            <v>International journal of molecular sciences</v>
          </cell>
          <cell r="B67">
            <v>1</v>
          </cell>
        </row>
        <row r="68">
          <cell r="A68" t="str">
            <v>International Journal of Pediatrics and Adolescent Medicine</v>
          </cell>
          <cell r="B68">
            <v>1</v>
          </cell>
        </row>
        <row r="69">
          <cell r="A69" t="str">
            <v>JAAD Case Reports</v>
          </cell>
          <cell r="B69">
            <v>1</v>
          </cell>
        </row>
        <row r="70">
          <cell r="A70" t="str">
            <v>Journal of chemotherapy (Florence, Italy)</v>
          </cell>
          <cell r="B70">
            <v>1</v>
          </cell>
        </row>
        <row r="71">
          <cell r="A71" t="str">
            <v>Journal of cystic fibrosis</v>
          </cell>
          <cell r="B71">
            <v>1</v>
          </cell>
        </row>
        <row r="72">
          <cell r="A72" t="str">
            <v>Journal of Drug Delivery Science and Technology</v>
          </cell>
          <cell r="B72">
            <v>1</v>
          </cell>
        </row>
        <row r="73">
          <cell r="A73" t="str">
            <v>Journal of infection and chemotherapy : official journal of the Japan Society of Chemotherapy</v>
          </cell>
          <cell r="B73">
            <v>1</v>
          </cell>
        </row>
        <row r="74">
          <cell r="A74" t="str">
            <v>Journal of investigative medicine high impact case reports</v>
          </cell>
          <cell r="B74">
            <v>1</v>
          </cell>
          <cell r="C74" t="str">
            <v>medio</v>
          </cell>
        </row>
        <row r="75">
          <cell r="A75" t="str">
            <v>Journal of Plastic, Reconstructive and Aesthetic Surgery</v>
          </cell>
          <cell r="B75">
            <v>1</v>
          </cell>
        </row>
        <row r="76">
          <cell r="A76" t="str">
            <v>Journal of the Pediatric Infectious Diseases Society</v>
          </cell>
          <cell r="B76">
            <v>1</v>
          </cell>
          <cell r="C76" t="str">
            <v>medio</v>
          </cell>
        </row>
        <row r="77">
          <cell r="A77" t="str">
            <v>Medical Immunology (Russia)</v>
          </cell>
          <cell r="B77">
            <v>1</v>
          </cell>
        </row>
        <row r="78">
          <cell r="A78" t="str">
            <v>Medicine in Microecology</v>
          </cell>
          <cell r="B78">
            <v>1</v>
          </cell>
        </row>
        <row r="79">
          <cell r="A79" t="str">
            <v>Methods in molecular biology (Clifton, N.J.)</v>
          </cell>
          <cell r="B79">
            <v>1</v>
          </cell>
        </row>
        <row r="80">
          <cell r="A80" t="str">
            <v>Microbial biotechnology</v>
          </cell>
          <cell r="B80">
            <v>1</v>
          </cell>
          <cell r="C80" t="str">
            <v>medio</v>
          </cell>
        </row>
        <row r="81">
          <cell r="A81" t="str">
            <v>mLife</v>
          </cell>
          <cell r="B81">
            <v>1</v>
          </cell>
          <cell r="C81" t="str">
            <v>medio</v>
          </cell>
        </row>
        <row r="82">
          <cell r="A82" t="str">
            <v>Nature medicine</v>
          </cell>
          <cell r="B82">
            <v>1</v>
          </cell>
          <cell r="C82" t="str">
            <v>alto</v>
          </cell>
        </row>
        <row r="83">
          <cell r="A83" t="str">
            <v>Nature microbiology</v>
          </cell>
          <cell r="B83">
            <v>1</v>
          </cell>
          <cell r="C83" t="str">
            <v>alto</v>
          </cell>
        </row>
        <row r="84">
          <cell r="A84" t="str">
            <v>Nephrology dialysis transplantation</v>
          </cell>
          <cell r="B84">
            <v>1</v>
          </cell>
        </row>
        <row r="85">
          <cell r="A85" t="str">
            <v>Otolaryngologia polska = The Polish otolaryngology</v>
          </cell>
          <cell r="B85">
            <v>1</v>
          </cell>
        </row>
        <row r="86">
          <cell r="A86" t="str">
            <v>Otology &amp; neurotology : official publication of the American Otological Society, American Neurotology Society [and] European Academy of Otology and Neurotology</v>
          </cell>
          <cell r="B86">
            <v>1</v>
          </cell>
          <cell r="C86" t="str">
            <v>medio</v>
          </cell>
        </row>
        <row r="87">
          <cell r="A87" t="str">
            <v>PHAGE: Therapy, Applications, and Research</v>
          </cell>
          <cell r="B87">
            <v>1</v>
          </cell>
        </row>
        <row r="88">
          <cell r="A88" t="str">
            <v>Revista Cubana de Angiología y Cirugía Vascular</v>
          </cell>
          <cell r="B88">
            <v>1</v>
          </cell>
        </row>
        <row r="89">
          <cell r="A89" t="str">
            <v>Surgical Chronicles</v>
          </cell>
          <cell r="B89">
            <v>1</v>
          </cell>
        </row>
        <row r="90">
          <cell r="A90" t="str">
            <v>The Journal of antimicrobial chemotherapy</v>
          </cell>
          <cell r="B90">
            <v>1</v>
          </cell>
          <cell r="C90" t="str">
            <v>medio</v>
          </cell>
        </row>
        <row r="91">
          <cell r="A91" t="str">
            <v>The Journal of pediatrics</v>
          </cell>
          <cell r="B91">
            <v>1</v>
          </cell>
          <cell r="C91" t="str">
            <v>alto</v>
          </cell>
        </row>
        <row r="92">
          <cell r="A92" t="str">
            <v>Trials</v>
          </cell>
          <cell r="B92">
            <v>1</v>
          </cell>
        </row>
        <row r="93">
          <cell r="A93" t="str">
            <v>Virus research</v>
          </cell>
          <cell r="B93">
            <v>1</v>
          </cell>
        </row>
        <row r="94">
          <cell r="A94" t="str">
            <v>Wiadomosci lekarskie (Warsaw, Poland : 1960)</v>
          </cell>
          <cell r="B94">
            <v>1</v>
          </cell>
        </row>
      </sheetData>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6" Type="http://schemas.openxmlformats.org/officeDocument/2006/relationships/hyperlink" Target="https://doi.org/10.1016/j.medj.2023.07.002" TargetMode="External"/><Relationship Id="rId117" Type="http://schemas.openxmlformats.org/officeDocument/2006/relationships/hyperlink" Target="https://doi.org/10.1093/jacamr/dlaf257" TargetMode="External"/><Relationship Id="rId21" Type="http://schemas.openxmlformats.org/officeDocument/2006/relationships/hyperlink" Target="https://doi.org/10.1093/cid/ciad335" TargetMode="External"/><Relationship Id="rId42" Type="http://schemas.openxmlformats.org/officeDocument/2006/relationships/hyperlink" Target="https://doi.org/10.2217/fmb-2016-0156" TargetMode="External"/><Relationship Id="rId47" Type="http://schemas.openxmlformats.org/officeDocument/2006/relationships/hyperlink" Target="https://doi.org/10.3389/fmed.2023.1199657" TargetMode="External"/><Relationship Id="rId63" Type="http://schemas.openxmlformats.org/officeDocument/2006/relationships/hyperlink" Target="https://doi.org/10.3390/antibiotics13100916" TargetMode="External"/><Relationship Id="rId68" Type="http://schemas.openxmlformats.org/officeDocument/2006/relationships/hyperlink" Target="https://doi.org/10.3389/fcimb.2024.1354681" TargetMode="External"/><Relationship Id="rId84" Type="http://schemas.openxmlformats.org/officeDocument/2006/relationships/hyperlink" Target="https://doi.org/10.1016/s1473-3099(26)00176-3" TargetMode="External"/><Relationship Id="rId89" Type="http://schemas.openxmlformats.org/officeDocument/2006/relationships/hyperlink" Target="https://doi.org/10.1016/j.ijantimicag.2025.107613" TargetMode="External"/><Relationship Id="rId112" Type="http://schemas.openxmlformats.org/officeDocument/2006/relationships/hyperlink" Target="https://doi.org/10.3390/v11030265" TargetMode="External"/><Relationship Id="rId133" Type="http://schemas.openxmlformats.org/officeDocument/2006/relationships/vmlDrawing" Target="../drawings/vmlDrawing1.vml"/><Relationship Id="rId16" Type="http://schemas.openxmlformats.org/officeDocument/2006/relationships/hyperlink" Target="https://doi.org/10.1038/s41564-024-01705-x" TargetMode="External"/><Relationship Id="rId107" Type="http://schemas.openxmlformats.org/officeDocument/2006/relationships/hyperlink" Target="https://pubmed.ncbi.nlm.nih.gov/40103254/" TargetMode="External"/><Relationship Id="rId11" Type="http://schemas.openxmlformats.org/officeDocument/2006/relationships/hyperlink" Target="https://doi.org/10.15789/1563-0625-pti-2012" TargetMode="External"/><Relationship Id="rId32" Type="http://schemas.openxmlformats.org/officeDocument/2006/relationships/hyperlink" Target="https://doi.org/10.1093/ofid/ofaa389" TargetMode="External"/><Relationship Id="rId37" Type="http://schemas.openxmlformats.org/officeDocument/2006/relationships/hyperlink" Target="https://doi.org/10.1093/ofid/ofad221" TargetMode="External"/><Relationship Id="rId53" Type="http://schemas.openxmlformats.org/officeDocument/2006/relationships/hyperlink" Target="https://doi.org/10.3389/fmed.2022.851310" TargetMode="External"/><Relationship Id="rId58" Type="http://schemas.openxmlformats.org/officeDocument/2006/relationships/hyperlink" Target="https://doi.org/10.2147/idr.s413900" TargetMode="External"/><Relationship Id="rId74" Type="http://schemas.openxmlformats.org/officeDocument/2006/relationships/hyperlink" Target="https://doi.org/10.1038/s41467-025-65939-x" TargetMode="External"/><Relationship Id="rId79" Type="http://schemas.openxmlformats.org/officeDocument/2006/relationships/hyperlink" Target="https://doi.org/10.1007/s15010-019-01319-0" TargetMode="External"/><Relationship Id="rId102" Type="http://schemas.openxmlformats.org/officeDocument/2006/relationships/hyperlink" Target="https://pubmed.ncbi.nlm.nih.gov/36578069/" TargetMode="External"/><Relationship Id="rId123" Type="http://schemas.openxmlformats.org/officeDocument/2006/relationships/hyperlink" Target="https://doi.org/10.1177/15347346211072779" TargetMode="External"/><Relationship Id="rId128" Type="http://schemas.openxmlformats.org/officeDocument/2006/relationships/hyperlink" Target="https://pubmed.ncbi.nlm.nih.gov/36851713/" TargetMode="External"/><Relationship Id="rId5" Type="http://schemas.openxmlformats.org/officeDocument/2006/relationships/hyperlink" Target="https://doi.org/10.1038/s41591-025-03678-8" TargetMode="External"/><Relationship Id="rId90" Type="http://schemas.openxmlformats.org/officeDocument/2006/relationships/hyperlink" Target="https://doi.org/10.1016/j.avsurg.2024.100302" TargetMode="External"/><Relationship Id="rId95" Type="http://schemas.openxmlformats.org/officeDocument/2006/relationships/hyperlink" Target="https://doi.org/10.1097/mao.0000000000004417" TargetMode="External"/><Relationship Id="rId14" Type="http://schemas.openxmlformats.org/officeDocument/2006/relationships/hyperlink" Target="https://doi.org/10.3390/ijms27010172" TargetMode="External"/><Relationship Id="rId22" Type="http://schemas.openxmlformats.org/officeDocument/2006/relationships/hyperlink" Target="https://doi.org/10.3390/antibiotics14010087" TargetMode="External"/><Relationship Id="rId27" Type="http://schemas.openxmlformats.org/officeDocument/2006/relationships/hyperlink" Target="https://doi.org/10.1016/j.medj.2023.07.002" TargetMode="External"/><Relationship Id="rId30" Type="http://schemas.openxmlformats.org/officeDocument/2006/relationships/hyperlink" Target="https://doi.org/10.1016/j.jiac.2025.102770" TargetMode="External"/><Relationship Id="rId35" Type="http://schemas.openxmlformats.org/officeDocument/2006/relationships/hyperlink" Target="https://doi.org/10.20953/1729-9225-2017-1-35-40" TargetMode="External"/><Relationship Id="rId43" Type="http://schemas.openxmlformats.org/officeDocument/2006/relationships/hyperlink" Target="https://trialsearch.who.int/?TrialID=cita:%20Eur%20Urol%20Suppl%202016%20(informe%20previo%20del%20grupo%20de%20Leitner)" TargetMode="External"/><Relationship Id="rId48" Type="http://schemas.openxmlformats.org/officeDocument/2006/relationships/hyperlink" Target="https://doi.org/10.3390/v16071080" TargetMode="External"/><Relationship Id="rId56" Type="http://schemas.openxmlformats.org/officeDocument/2006/relationships/hyperlink" Target="https://doi.org/10.1038/s41467-023-39370-z" TargetMode="External"/><Relationship Id="rId64" Type="http://schemas.openxmlformats.org/officeDocument/2006/relationships/hyperlink" Target="https://doi.org/10.3390/v17010123" TargetMode="External"/><Relationship Id="rId69" Type="http://schemas.openxmlformats.org/officeDocument/2006/relationships/hyperlink" Target="https://doi.org/10.1038/s41467-025-68136-y" TargetMode="External"/><Relationship Id="rId77" Type="http://schemas.openxmlformats.org/officeDocument/2006/relationships/hyperlink" Target="https://doi.org/10.3389/fmed.2023.1238147" TargetMode="External"/><Relationship Id="rId100" Type="http://schemas.openxmlformats.org/officeDocument/2006/relationships/hyperlink" Target="https://doi.org/10.1016/j.healun.2019.01.001" TargetMode="External"/><Relationship Id="rId105" Type="http://schemas.openxmlformats.org/officeDocument/2006/relationships/hyperlink" Target="https://clinicaltrials.gov/study/NCT04684641" TargetMode="External"/><Relationship Id="rId113" Type="http://schemas.openxmlformats.org/officeDocument/2006/relationships/hyperlink" Target="https://doi.org/10.1016/j.bjps.2026.06.028" TargetMode="External"/><Relationship Id="rId118" Type="http://schemas.openxmlformats.org/officeDocument/2006/relationships/hyperlink" Target="https://doi.org/10.3390/antibiotics11101358" TargetMode="External"/><Relationship Id="rId126" Type="http://schemas.openxmlformats.org/officeDocument/2006/relationships/hyperlink" Target="https://pubmed.ncbi.nlm.nih.gov/32949500/" TargetMode="External"/><Relationship Id="rId134" Type="http://schemas.openxmlformats.org/officeDocument/2006/relationships/comments" Target="../comments1.xml"/><Relationship Id="rId8" Type="http://schemas.openxmlformats.org/officeDocument/2006/relationships/hyperlink" Target="https://doi.org/10.1002/mlf2.70042" TargetMode="External"/><Relationship Id="rId51" Type="http://schemas.openxmlformats.org/officeDocument/2006/relationships/hyperlink" Target="https://doi.org/10.1038/s41467-026-74326-z" TargetMode="External"/><Relationship Id="rId72" Type="http://schemas.openxmlformats.org/officeDocument/2006/relationships/hyperlink" Target="https://doi.org/10.3390/v15051210" TargetMode="External"/><Relationship Id="rId80" Type="http://schemas.openxmlformats.org/officeDocument/2006/relationships/hyperlink" Target="https://doi.org/10.1016/j.ijid.2026.108756" TargetMode="External"/><Relationship Id="rId85" Type="http://schemas.openxmlformats.org/officeDocument/2006/relationships/hyperlink" Target="https://doi.org/10.1016/j.jpeds.2026.115005" TargetMode="External"/><Relationship Id="rId93" Type="http://schemas.openxmlformats.org/officeDocument/2006/relationships/hyperlink" Target="https://doi.org/10.1164/rccm.201904-0839le" TargetMode="External"/><Relationship Id="rId98" Type="http://schemas.openxmlformats.org/officeDocument/2006/relationships/hyperlink" Target="https://doi.org/10.1097/qco.0000000000000658" TargetMode="External"/><Relationship Id="rId121" Type="http://schemas.openxmlformats.org/officeDocument/2006/relationships/hyperlink" Target="https://doi.org/10.1093/jpids/pix056" TargetMode="External"/><Relationship Id="rId3" Type="http://schemas.openxmlformats.org/officeDocument/2006/relationships/hyperlink" Target="https://doi.org/10.17116/hirurgia202309145" TargetMode="External"/><Relationship Id="rId12" Type="http://schemas.openxmlformats.org/officeDocument/2006/relationships/hyperlink" Target="https://doi.org/10.1128/aac.01728-23" TargetMode="External"/><Relationship Id="rId17" Type="http://schemas.openxmlformats.org/officeDocument/2006/relationships/hyperlink" Target="https://doi.org/10.1038/s41564-024-01705-x" TargetMode="External"/><Relationship Id="rId25" Type="http://schemas.openxmlformats.org/officeDocument/2006/relationships/hyperlink" Target="https://doi.org/10.1016/j.medj.2023.07.002" TargetMode="External"/><Relationship Id="rId33" Type="http://schemas.openxmlformats.org/officeDocument/2006/relationships/hyperlink" Target="https://doi.org/10.3390/v13101901" TargetMode="External"/><Relationship Id="rId38" Type="http://schemas.openxmlformats.org/officeDocument/2006/relationships/hyperlink" Target="https://doi.org/10.1177/1534734619835115" TargetMode="External"/><Relationship Id="rId46" Type="http://schemas.openxmlformats.org/officeDocument/2006/relationships/hyperlink" Target="https://doi.org/10.3389/fmed.2021.569159" TargetMode="External"/><Relationship Id="rId59" Type="http://schemas.openxmlformats.org/officeDocument/2006/relationships/hyperlink" Target="https://doi.org/10.1186/s13054-017-1709-y" TargetMode="External"/><Relationship Id="rId67" Type="http://schemas.openxmlformats.org/officeDocument/2006/relationships/hyperlink" Target="https://doi.org/10.1111/1751-7915.14217" TargetMode="External"/><Relationship Id="rId103" Type="http://schemas.openxmlformats.org/officeDocument/2006/relationships/hyperlink" Target="https://doi.org/10.1136/bmjresp-2022-001360" TargetMode="External"/><Relationship Id="rId108" Type="http://schemas.openxmlformats.org/officeDocument/2006/relationships/hyperlink" Target="https://pubmed.ncbi.nlm.nih.gov/41885494/" TargetMode="External"/><Relationship Id="rId116" Type="http://schemas.openxmlformats.org/officeDocument/2006/relationships/hyperlink" Target="https://doi.org/10.1038/s41598-024-52192-3" TargetMode="External"/><Relationship Id="rId124" Type="http://schemas.openxmlformats.org/officeDocument/2006/relationships/hyperlink" Target="https://pubmed.ncbi.nlm.nih.gov/38233034/" TargetMode="External"/><Relationship Id="rId129" Type="http://schemas.openxmlformats.org/officeDocument/2006/relationships/hyperlink" Target="https://doi.org/10.36740/wlek202106129" TargetMode="External"/><Relationship Id="rId20" Type="http://schemas.openxmlformats.org/officeDocument/2006/relationships/hyperlink" Target="https://pubmed.ncbi.nlm.nih.gov/30131795/" TargetMode="External"/><Relationship Id="rId41" Type="http://schemas.openxmlformats.org/officeDocument/2006/relationships/hyperlink" Target="https://doi.org/10.1016/j.healun.2022.01.018" TargetMode="External"/><Relationship Id="rId54" Type="http://schemas.openxmlformats.org/officeDocument/2006/relationships/hyperlink" Target="https://doi.org/10.7759/cureus.77681" TargetMode="External"/><Relationship Id="rId62" Type="http://schemas.openxmlformats.org/officeDocument/2006/relationships/hyperlink" Target="https://doi.org/10.3389/fmed.2024.1428432" TargetMode="External"/><Relationship Id="rId70" Type="http://schemas.openxmlformats.org/officeDocument/2006/relationships/hyperlink" Target="https://doi.org/10.15252/emmm.202113936" TargetMode="External"/><Relationship Id="rId75" Type="http://schemas.openxmlformats.org/officeDocument/2006/relationships/hyperlink" Target="https://doi.org/10.3389/fmed.2020.00342" TargetMode="External"/><Relationship Id="rId83" Type="http://schemas.openxmlformats.org/officeDocument/2006/relationships/hyperlink" Target="https://doi.org/10.1080/1120009x.2025.2547147" TargetMode="External"/><Relationship Id="rId88" Type="http://schemas.openxmlformats.org/officeDocument/2006/relationships/hyperlink" Target="https://doi.org/10.1093/jac/dky263" TargetMode="External"/><Relationship Id="rId91" Type="http://schemas.openxmlformats.org/officeDocument/2006/relationships/hyperlink" Target="https://trialsearch.who.int/?TrialID=cita:%20Rev%20Cubana%20Angiol%20Cir%20Vasc%202017" TargetMode="External"/><Relationship Id="rId96" Type="http://schemas.openxmlformats.org/officeDocument/2006/relationships/hyperlink" Target="https://doi.org/10.1016/j.ijantimicag.2025.107629" TargetMode="External"/><Relationship Id="rId111" Type="http://schemas.openxmlformats.org/officeDocument/2006/relationships/hyperlink" Target="https://trialsearch.who.int/?TrialID=cita:%20Nephrol%20Dial%20Transplant%202020%20(resumen%20de%20congreso)" TargetMode="External"/><Relationship Id="rId132" Type="http://schemas.openxmlformats.org/officeDocument/2006/relationships/hyperlink" Target="https://doi.org/10.1016/j.jddst.2023.104486" TargetMode="External"/><Relationship Id="rId1" Type="http://schemas.openxmlformats.org/officeDocument/2006/relationships/hyperlink" Target="https://pubmed.ncbi.nlm.nih.gov/40593506/" TargetMode="External"/><Relationship Id="rId6" Type="http://schemas.openxmlformats.org/officeDocument/2006/relationships/hyperlink" Target="https://doi.org/10.1177/23247096231188243" TargetMode="External"/><Relationship Id="rId15" Type="http://schemas.openxmlformats.org/officeDocument/2006/relationships/hyperlink" Target="https://doi.org/10.1038/s41564-024-01705-x" TargetMode="External"/><Relationship Id="rId23" Type="http://schemas.openxmlformats.org/officeDocument/2006/relationships/hyperlink" Target="https://doi.org/10.1016/j.virusres.2024.199442" TargetMode="External"/><Relationship Id="rId28" Type="http://schemas.openxmlformats.org/officeDocument/2006/relationships/hyperlink" Target="https://doi.org/10.1016/j.medj.2023.07.002" TargetMode="External"/><Relationship Id="rId36" Type="http://schemas.openxmlformats.org/officeDocument/2006/relationships/hyperlink" Target="https://doi.org/10.1111/ajt.15503" TargetMode="External"/><Relationship Id="rId49" Type="http://schemas.openxmlformats.org/officeDocument/2006/relationships/hyperlink" Target="https://doi.org/10.1038/s41467-022-31837-9" TargetMode="External"/><Relationship Id="rId57" Type="http://schemas.openxmlformats.org/officeDocument/2006/relationships/hyperlink" Target="https://doi.org/10.1128/asmcr.00108-25" TargetMode="External"/><Relationship Id="rId106" Type="http://schemas.openxmlformats.org/officeDocument/2006/relationships/hyperlink" Target="https://trialsearch.who.int/?TrialID=cita:%20Int%20J%20Diabetes%20Dev%20Ctries%202025" TargetMode="External"/><Relationship Id="rId114" Type="http://schemas.openxmlformats.org/officeDocument/2006/relationships/hyperlink" Target="https://doi.org/10.3389/fphar.2021.692614" TargetMode="External"/><Relationship Id="rId119" Type="http://schemas.openxmlformats.org/officeDocument/2006/relationships/hyperlink" Target="https://doi.org/10.3390/v13081543" TargetMode="External"/><Relationship Id="rId127" Type="http://schemas.openxmlformats.org/officeDocument/2006/relationships/hyperlink" Target="https://pubmed.ncbi.nlm.nih.gov/39740667/" TargetMode="External"/><Relationship Id="rId10" Type="http://schemas.openxmlformats.org/officeDocument/2006/relationships/hyperlink" Target="https://doi.org/10.3390/antibiotics9050232" TargetMode="External"/><Relationship Id="rId31" Type="http://schemas.openxmlformats.org/officeDocument/2006/relationships/hyperlink" Target="https://doi.org/10.1016/j.medmic.2026.100178" TargetMode="External"/><Relationship Id="rId44" Type="http://schemas.openxmlformats.org/officeDocument/2006/relationships/hyperlink" Target="https://doi.org/10.3390/v11100891" TargetMode="External"/><Relationship Id="rId52" Type="http://schemas.openxmlformats.org/officeDocument/2006/relationships/hyperlink" Target="https://doi.org/10.5582/bst.2022.01147" TargetMode="External"/><Relationship Id="rId60" Type="http://schemas.openxmlformats.org/officeDocument/2006/relationships/hyperlink" Target="https://doi.org/10.1128/aac.00924-19" TargetMode="External"/><Relationship Id="rId65" Type="http://schemas.openxmlformats.org/officeDocument/2006/relationships/hyperlink" Target="https://doi.org/10.1128/asmcr.00058-24" TargetMode="External"/><Relationship Id="rId73" Type="http://schemas.openxmlformats.org/officeDocument/2006/relationships/hyperlink" Target="https://doi.org/10.3390/antibiotics14020114" TargetMode="External"/><Relationship Id="rId78" Type="http://schemas.openxmlformats.org/officeDocument/2006/relationships/hyperlink" Target="https://doi.org/10.3390/antibiotics11101310" TargetMode="External"/><Relationship Id="rId81" Type="http://schemas.openxmlformats.org/officeDocument/2006/relationships/hyperlink" Target="https://doi.org/10.1016/j.hlife.2025.03.004" TargetMode="External"/><Relationship Id="rId86" Type="http://schemas.openxmlformats.org/officeDocument/2006/relationships/hyperlink" Target="https://doi.org/10.1093/infdis/jiac368" TargetMode="External"/><Relationship Id="rId94" Type="http://schemas.openxmlformats.org/officeDocument/2006/relationships/hyperlink" Target="https://doi.org/10.20953/1729-9225-2017-4-49-54" TargetMode="External"/><Relationship Id="rId99" Type="http://schemas.openxmlformats.org/officeDocument/2006/relationships/hyperlink" Target="https://doi.org/10.1007/978-1-0716-3523-0_15" TargetMode="External"/><Relationship Id="rId101" Type="http://schemas.openxmlformats.org/officeDocument/2006/relationships/hyperlink" Target="https://doi.org/10.17116/hirurgia2023121123" TargetMode="External"/><Relationship Id="rId122" Type="http://schemas.openxmlformats.org/officeDocument/2006/relationships/hyperlink" Target="https://doi.org/10.1164/rccm.201904-0839le" TargetMode="External"/><Relationship Id="rId130" Type="http://schemas.openxmlformats.org/officeDocument/2006/relationships/hyperlink" Target="https://doi.org/10.5005/jp-journals-10071-25143" TargetMode="External"/><Relationship Id="rId4" Type="http://schemas.openxmlformats.org/officeDocument/2006/relationships/hyperlink" Target="https://doi.org/10.1038/s41591-025-03678-8" TargetMode="External"/><Relationship Id="rId9" Type="http://schemas.openxmlformats.org/officeDocument/2006/relationships/hyperlink" Target="https://doi.org/10.1097/cu9.0000000000000268" TargetMode="External"/><Relationship Id="rId13" Type="http://schemas.openxmlformats.org/officeDocument/2006/relationships/hyperlink" Target="https://doi.org/10.1089/phage.2020.0010" TargetMode="External"/><Relationship Id="rId18" Type="http://schemas.openxmlformats.org/officeDocument/2006/relationships/hyperlink" Target="https://doi.org/10.1038/s41564-024-01705-x" TargetMode="External"/><Relationship Id="rId39" Type="http://schemas.openxmlformats.org/officeDocument/2006/relationships/hyperlink" Target="https://doi.org/10.1093/cid/ciac694" TargetMode="External"/><Relationship Id="rId109" Type="http://schemas.openxmlformats.org/officeDocument/2006/relationships/hyperlink" Target="https://trialsearch.who.int/?TrialID=cita:%20Surgical%20Chronicles%202016" TargetMode="External"/><Relationship Id="rId34" Type="http://schemas.openxmlformats.org/officeDocument/2006/relationships/hyperlink" Target="https://doi.org/10.1016/j.ijantimicag.2024.107372" TargetMode="External"/><Relationship Id="rId50" Type="http://schemas.openxmlformats.org/officeDocument/2006/relationships/hyperlink" Target="https://doi.org/10.1038/s41598-025-17510-3" TargetMode="External"/><Relationship Id="rId55" Type="http://schemas.openxmlformats.org/officeDocument/2006/relationships/hyperlink" Target="https://doi.org/10.1038/s41467-025-59806-y" TargetMode="External"/><Relationship Id="rId76" Type="http://schemas.openxmlformats.org/officeDocument/2006/relationships/hyperlink" Target="https://doi.org/10.3390/antibiotics11050602" TargetMode="External"/><Relationship Id="rId97" Type="http://schemas.openxmlformats.org/officeDocument/2006/relationships/hyperlink" Target="https://doi.org/10.1016/j.eimc.2025.05.008" TargetMode="External"/><Relationship Id="rId104" Type="http://schemas.openxmlformats.org/officeDocument/2006/relationships/hyperlink" Target="https://doi.org/10.1136/bmjopen-2022-065401" TargetMode="External"/><Relationship Id="rId120" Type="http://schemas.openxmlformats.org/officeDocument/2006/relationships/hyperlink" Target="https://doi.org/10.1016/j.jdcr.2026.06.010" TargetMode="External"/><Relationship Id="rId125" Type="http://schemas.openxmlformats.org/officeDocument/2006/relationships/hyperlink" Target="https://doi.org/10.4103/ijpam.ijpam_1_24" TargetMode="External"/><Relationship Id="rId7" Type="http://schemas.openxmlformats.org/officeDocument/2006/relationships/hyperlink" Target="https://doi.org/10.3390/antibiotics12121734" TargetMode="External"/><Relationship Id="rId71" Type="http://schemas.openxmlformats.org/officeDocument/2006/relationships/hyperlink" Target="https://doi.org/10.1093/emph/eoy005" TargetMode="External"/><Relationship Id="rId92" Type="http://schemas.openxmlformats.org/officeDocument/2006/relationships/hyperlink" Target="https://doi.org/10.1093/jpids/pix056" TargetMode="External"/><Relationship Id="rId2" Type="http://schemas.openxmlformats.org/officeDocument/2006/relationships/hyperlink" Target="https://pubmed.ncbi.nlm.nih.gov/30292481/" TargetMode="External"/><Relationship Id="rId29" Type="http://schemas.openxmlformats.org/officeDocument/2006/relationships/hyperlink" Target="https://doi.org/10.1016/j.medj.2024.05.017" TargetMode="External"/><Relationship Id="rId24" Type="http://schemas.openxmlformats.org/officeDocument/2006/relationships/hyperlink" Target="https://doi.org/10.1016/j.medj.2023.07.002" TargetMode="External"/><Relationship Id="rId40" Type="http://schemas.openxmlformats.org/officeDocument/2006/relationships/hyperlink" Target="https://doi.org/10.3390/antibiotics10060627" TargetMode="External"/><Relationship Id="rId45" Type="http://schemas.openxmlformats.org/officeDocument/2006/relationships/hyperlink" Target="https://doi.org/10.1177/1534734619881076" TargetMode="External"/><Relationship Id="rId66" Type="http://schemas.openxmlformats.org/officeDocument/2006/relationships/hyperlink" Target="https://doi.org/10.1038/s41467-022-33294-w" TargetMode="External"/><Relationship Id="rId87" Type="http://schemas.openxmlformats.org/officeDocument/2006/relationships/hyperlink" Target="https://doi.org/10.3390/v11010018" TargetMode="External"/><Relationship Id="rId110" Type="http://schemas.openxmlformats.org/officeDocument/2006/relationships/hyperlink" Target="https://pubmed.ncbi.nlm.nih.gov/35175218/" TargetMode="External"/><Relationship Id="rId115" Type="http://schemas.openxmlformats.org/officeDocument/2006/relationships/hyperlink" Target="https://doi.org/10.1177/11795476251411094" TargetMode="External"/><Relationship Id="rId131" Type="http://schemas.openxmlformats.org/officeDocument/2006/relationships/hyperlink" Target="https://doi.org/10.3390/biomedicines13092103" TargetMode="External"/><Relationship Id="rId61" Type="http://schemas.openxmlformats.org/officeDocument/2006/relationships/hyperlink" Target="https://doi.org/10.1093/ofid/ofad051" TargetMode="External"/><Relationship Id="rId82" Type="http://schemas.openxmlformats.org/officeDocument/2006/relationships/hyperlink" Target="https://doi.org/10.1093/jacamr/dlac046" TargetMode="External"/><Relationship Id="rId19" Type="http://schemas.openxmlformats.org/officeDocument/2006/relationships/hyperlink" Target="https://doi.org/10.1007/s12223-020-00835-z"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2"/>
  <sheetViews>
    <sheetView workbookViewId="0"/>
  </sheetViews>
  <sheetFormatPr baseColWidth="10" defaultColWidth="8.88671875" defaultRowHeight="14.4" x14ac:dyDescent="0.3"/>
  <cols>
    <col min="1" max="1" width="100" customWidth="1"/>
  </cols>
  <sheetData>
    <row r="1" spans="1:1" x14ac:dyDescent="0.3">
      <c r="A1" s="1" t="s">
        <v>0</v>
      </c>
    </row>
    <row r="2" spans="1:1" x14ac:dyDescent="0.3">
      <c r="A2" t="s">
        <v>1</v>
      </c>
    </row>
    <row r="4" spans="1:1" x14ac:dyDescent="0.3">
      <c r="A4" s="1" t="s">
        <v>2</v>
      </c>
    </row>
    <row r="6" spans="1:1" x14ac:dyDescent="0.3">
      <c r="A6" s="1" t="s">
        <v>3</v>
      </c>
    </row>
    <row r="7" spans="1:1" x14ac:dyDescent="0.3">
      <c r="A7" t="s">
        <v>4</v>
      </c>
    </row>
    <row r="8" spans="1:1" x14ac:dyDescent="0.3">
      <c r="A8" t="s">
        <v>5</v>
      </c>
    </row>
    <row r="9" spans="1:1" x14ac:dyDescent="0.3">
      <c r="A9" t="s">
        <v>6</v>
      </c>
    </row>
    <row r="11" spans="1:1" x14ac:dyDescent="0.3">
      <c r="A11" s="1" t="s">
        <v>7</v>
      </c>
    </row>
    <row r="12" spans="1:1" x14ac:dyDescent="0.3">
      <c r="A12" t="s">
        <v>8</v>
      </c>
    </row>
    <row r="13" spans="1:1" x14ac:dyDescent="0.3">
      <c r="A13" t="s">
        <v>9</v>
      </c>
    </row>
    <row r="14" spans="1:1" x14ac:dyDescent="0.3">
      <c r="A14" t="s">
        <v>10</v>
      </c>
    </row>
    <row r="15" spans="1:1" x14ac:dyDescent="0.3">
      <c r="A15" t="s">
        <v>11</v>
      </c>
    </row>
    <row r="17" spans="1:1" x14ac:dyDescent="0.3">
      <c r="A17" s="1" t="s">
        <v>12</v>
      </c>
    </row>
    <row r="18" spans="1:1" x14ac:dyDescent="0.3">
      <c r="A18" t="s">
        <v>13</v>
      </c>
    </row>
    <row r="19" spans="1:1" x14ac:dyDescent="0.3">
      <c r="A19" t="s">
        <v>14</v>
      </c>
    </row>
    <row r="20" spans="1:1" x14ac:dyDescent="0.3">
      <c r="A20" t="s">
        <v>15</v>
      </c>
    </row>
    <row r="21" spans="1:1" x14ac:dyDescent="0.3">
      <c r="A21" t="s">
        <v>16</v>
      </c>
    </row>
    <row r="23" spans="1:1" x14ac:dyDescent="0.3">
      <c r="A23" s="1" t="s">
        <v>17</v>
      </c>
    </row>
    <row r="24" spans="1:1" x14ac:dyDescent="0.3">
      <c r="A24" t="s">
        <v>18</v>
      </c>
    </row>
    <row r="25" spans="1:1" x14ac:dyDescent="0.3">
      <c r="A25" t="s">
        <v>19</v>
      </c>
    </row>
    <row r="27" spans="1:1" x14ac:dyDescent="0.3">
      <c r="A27" s="1" t="s">
        <v>20</v>
      </c>
    </row>
    <row r="28" spans="1:1" x14ac:dyDescent="0.3">
      <c r="A28" t="s">
        <v>21</v>
      </c>
    </row>
    <row r="29" spans="1:1" x14ac:dyDescent="0.3">
      <c r="A29" t="s">
        <v>22</v>
      </c>
    </row>
    <row r="31" spans="1:1" x14ac:dyDescent="0.3">
      <c r="A31" s="1" t="s">
        <v>23</v>
      </c>
    </row>
    <row r="32" spans="1:1" x14ac:dyDescent="0.3">
      <c r="A32" t="s">
        <v>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33"/>
  <sheetViews>
    <sheetView tabSelected="1" topLeftCell="X1" workbookViewId="0">
      <selection activeCell="AC16" sqref="AC16"/>
    </sheetView>
  </sheetViews>
  <sheetFormatPr baseColWidth="10" defaultColWidth="8.88671875" defaultRowHeight="14.4" x14ac:dyDescent="0.3"/>
  <cols>
    <col min="1" max="1" width="9" style="8" customWidth="1"/>
    <col min="2" max="2" width="7" style="8" customWidth="1"/>
    <col min="3" max="3" width="58" style="8" customWidth="1"/>
    <col min="4" max="4" width="24" style="8" customWidth="1"/>
    <col min="5" max="5" width="6" style="8" customWidth="1"/>
    <col min="6" max="6" width="17" style="8" customWidth="1"/>
    <col min="7" max="7" width="24" style="8" customWidth="1"/>
    <col min="8" max="8" width="16" style="8" customWidth="1"/>
    <col min="9" max="9" width="22" style="8" customWidth="1"/>
    <col min="10" max="10" width="8" style="8" customWidth="1"/>
    <col min="11" max="26" width="18" style="8" customWidth="1"/>
    <col min="27" max="27" width="42" style="8" customWidth="1"/>
    <col min="28" max="28" width="26" style="8" customWidth="1"/>
    <col min="29" max="29" width="20" style="8" customWidth="1"/>
    <col min="30" max="30" width="32" style="8" customWidth="1"/>
    <col min="31" max="31" width="30" style="8" customWidth="1"/>
    <col min="32" max="16384" width="8.88671875" style="8"/>
  </cols>
  <sheetData>
    <row r="1" spans="1:31" ht="46.05" customHeight="1" x14ac:dyDescent="0.3">
      <c r="A1" s="9" t="s">
        <v>25</v>
      </c>
      <c r="B1" s="9" t="s">
        <v>26</v>
      </c>
      <c r="C1" s="9" t="s">
        <v>27</v>
      </c>
      <c r="D1" s="9" t="s">
        <v>28</v>
      </c>
      <c r="E1" s="9" t="s">
        <v>29</v>
      </c>
      <c r="F1" s="9" t="s">
        <v>30</v>
      </c>
      <c r="G1" s="9" t="s">
        <v>31</v>
      </c>
      <c r="H1" s="9" t="s">
        <v>32</v>
      </c>
      <c r="I1" s="9" t="s">
        <v>33</v>
      </c>
      <c r="J1" s="9" t="s">
        <v>34</v>
      </c>
      <c r="K1" s="9" t="s">
        <v>35</v>
      </c>
      <c r="L1" s="9" t="s">
        <v>36</v>
      </c>
      <c r="M1" s="9" t="s">
        <v>37</v>
      </c>
      <c r="N1" s="9" t="s">
        <v>38</v>
      </c>
      <c r="O1" s="9" t="s">
        <v>39</v>
      </c>
      <c r="P1" s="9" t="s">
        <v>40</v>
      </c>
      <c r="Q1" s="9" t="s">
        <v>41</v>
      </c>
      <c r="R1" s="9" t="s">
        <v>42</v>
      </c>
      <c r="S1" s="9" t="s">
        <v>43</v>
      </c>
      <c r="T1" s="9" t="s">
        <v>44</v>
      </c>
      <c r="U1" s="9" t="s">
        <v>45</v>
      </c>
      <c r="V1" s="9" t="s">
        <v>46</v>
      </c>
      <c r="W1" s="9" t="s">
        <v>47</v>
      </c>
      <c r="X1" s="9" t="s">
        <v>48</v>
      </c>
      <c r="Y1" s="9" t="s">
        <v>49</v>
      </c>
      <c r="Z1" s="9" t="s">
        <v>50</v>
      </c>
      <c r="AA1" s="9" t="s">
        <v>51</v>
      </c>
      <c r="AB1" s="9" t="s">
        <v>52</v>
      </c>
      <c r="AC1" s="9" t="s">
        <v>53</v>
      </c>
      <c r="AD1" s="9" t="s">
        <v>54</v>
      </c>
      <c r="AE1" s="9" t="s">
        <v>55</v>
      </c>
    </row>
    <row r="2" spans="1:31" x14ac:dyDescent="0.3">
      <c r="A2" s="5" t="s">
        <v>56</v>
      </c>
      <c r="B2" s="5">
        <v>12</v>
      </c>
      <c r="C2" s="5" t="s">
        <v>57</v>
      </c>
      <c r="D2" s="5" t="s">
        <v>58</v>
      </c>
      <c r="E2" s="5" t="s">
        <v>59</v>
      </c>
      <c r="F2" s="5" t="s">
        <v>60</v>
      </c>
      <c r="G2" s="5" t="s">
        <v>61</v>
      </c>
      <c r="H2" s="6" t="s">
        <v>62</v>
      </c>
      <c r="I2" s="7" t="s">
        <v>63</v>
      </c>
      <c r="J2" s="7" t="s">
        <v>64</v>
      </c>
      <c r="K2" s="7" t="s">
        <v>65</v>
      </c>
      <c r="L2" s="7" t="s">
        <v>66</v>
      </c>
      <c r="M2" s="7" t="s">
        <v>775</v>
      </c>
      <c r="N2" s="7" t="s">
        <v>68</v>
      </c>
      <c r="O2" s="7" t="s">
        <v>69</v>
      </c>
      <c r="P2" s="7" t="s">
        <v>70</v>
      </c>
      <c r="Q2" s="7" t="s">
        <v>71</v>
      </c>
      <c r="R2" s="7" t="s">
        <v>72</v>
      </c>
      <c r="S2" s="7">
        <v>7</v>
      </c>
      <c r="T2" s="7" t="s">
        <v>73</v>
      </c>
      <c r="U2" s="7">
        <v>0</v>
      </c>
      <c r="V2" s="7" t="s">
        <v>73</v>
      </c>
      <c r="W2" s="7">
        <v>0</v>
      </c>
      <c r="X2" s="7" t="s">
        <v>73</v>
      </c>
      <c r="Y2" s="7" t="s">
        <v>73</v>
      </c>
      <c r="Z2" s="7">
        <v>2025</v>
      </c>
      <c r="AA2" s="7" t="s">
        <v>74</v>
      </c>
      <c r="AB2" s="7" t="s">
        <v>75</v>
      </c>
      <c r="AC2" s="7" t="s">
        <v>76</v>
      </c>
      <c r="AD2" s="7" t="s">
        <v>856</v>
      </c>
      <c r="AE2" s="7" t="s">
        <v>718</v>
      </c>
    </row>
    <row r="3" spans="1:31" x14ac:dyDescent="0.3">
      <c r="A3" s="5" t="s">
        <v>77</v>
      </c>
      <c r="B3" s="5">
        <v>54</v>
      </c>
      <c r="C3" s="5" t="s">
        <v>78</v>
      </c>
      <c r="D3" s="5" t="s">
        <v>79</v>
      </c>
      <c r="E3" s="5" t="s">
        <v>80</v>
      </c>
      <c r="F3" s="5" t="s">
        <v>60</v>
      </c>
      <c r="G3" s="5" t="s">
        <v>81</v>
      </c>
      <c r="H3" s="6" t="s">
        <v>62</v>
      </c>
      <c r="I3" s="7" t="s">
        <v>82</v>
      </c>
      <c r="J3" s="7" t="s">
        <v>64</v>
      </c>
      <c r="K3" s="7" t="s">
        <v>145</v>
      </c>
      <c r="L3" s="7" t="s">
        <v>209</v>
      </c>
      <c r="M3" s="7" t="s">
        <v>67</v>
      </c>
      <c r="N3" s="7" t="s">
        <v>68</v>
      </c>
      <c r="O3" s="7" t="s">
        <v>83</v>
      </c>
      <c r="P3" s="7" t="s">
        <v>84</v>
      </c>
      <c r="Q3" s="7" t="s">
        <v>71</v>
      </c>
      <c r="R3" s="7" t="s">
        <v>72</v>
      </c>
      <c r="S3" s="7">
        <v>12</v>
      </c>
      <c r="T3" s="7" t="s">
        <v>73</v>
      </c>
      <c r="U3" s="7">
        <v>3</v>
      </c>
      <c r="V3" s="7" t="s">
        <v>73</v>
      </c>
      <c r="W3" s="7">
        <v>0</v>
      </c>
      <c r="X3" s="7"/>
      <c r="Y3" s="7"/>
      <c r="Z3" s="7">
        <v>2019</v>
      </c>
      <c r="AA3" s="7" t="s">
        <v>74</v>
      </c>
      <c r="AB3" s="7" t="s">
        <v>75</v>
      </c>
      <c r="AC3" s="7" t="s">
        <v>85</v>
      </c>
      <c r="AD3" s="7" t="s">
        <v>857</v>
      </c>
      <c r="AE3" s="7" t="s">
        <v>718</v>
      </c>
    </row>
    <row r="4" spans="1:31" x14ac:dyDescent="0.3">
      <c r="A4" s="5" t="s">
        <v>86</v>
      </c>
      <c r="B4" s="5">
        <v>80</v>
      </c>
      <c r="C4" s="5" t="s">
        <v>87</v>
      </c>
      <c r="D4" s="5" t="s">
        <v>88</v>
      </c>
      <c r="E4" s="5" t="s">
        <v>89</v>
      </c>
      <c r="F4" s="5" t="s">
        <v>60</v>
      </c>
      <c r="G4" s="5" t="s">
        <v>90</v>
      </c>
      <c r="H4" s="6" t="s">
        <v>62</v>
      </c>
      <c r="I4" s="7" t="s">
        <v>91</v>
      </c>
      <c r="J4" s="7" t="s">
        <v>64</v>
      </c>
      <c r="K4" s="7" t="s">
        <v>65</v>
      </c>
      <c r="L4" s="7" t="s">
        <v>209</v>
      </c>
      <c r="M4" s="7" t="s">
        <v>67</v>
      </c>
      <c r="N4" s="7" t="s">
        <v>68</v>
      </c>
      <c r="O4" s="7" t="s">
        <v>315</v>
      </c>
      <c r="P4" s="7" t="s">
        <v>170</v>
      </c>
      <c r="Q4" s="7" t="s">
        <v>71</v>
      </c>
      <c r="R4" s="7" t="s">
        <v>92</v>
      </c>
      <c r="S4" s="7" t="s">
        <v>73</v>
      </c>
      <c r="T4" s="7" t="s">
        <v>73</v>
      </c>
      <c r="U4" s="7" t="s">
        <v>273</v>
      </c>
      <c r="V4" s="7" t="s">
        <v>73</v>
      </c>
      <c r="W4" s="7" t="s">
        <v>73</v>
      </c>
      <c r="X4" s="7" t="s">
        <v>73</v>
      </c>
      <c r="Y4" s="7" t="s">
        <v>73</v>
      </c>
      <c r="Z4" s="7">
        <v>2022</v>
      </c>
      <c r="AA4" s="7" t="s">
        <v>801</v>
      </c>
      <c r="AB4" s="7" t="s">
        <v>75</v>
      </c>
      <c r="AC4" s="7" t="s">
        <v>802</v>
      </c>
      <c r="AD4" s="7" t="s">
        <v>803</v>
      </c>
      <c r="AE4" s="7" t="s">
        <v>277</v>
      </c>
    </row>
    <row r="5" spans="1:31" x14ac:dyDescent="0.3">
      <c r="A5" s="5" t="s">
        <v>93</v>
      </c>
      <c r="B5" s="5">
        <v>181</v>
      </c>
      <c r="C5" s="5" t="s">
        <v>94</v>
      </c>
      <c r="D5" s="5" t="s">
        <v>95</v>
      </c>
      <c r="E5" s="5" t="s">
        <v>96</v>
      </c>
      <c r="F5" s="5" t="s">
        <v>60</v>
      </c>
      <c r="G5" s="5" t="s">
        <v>97</v>
      </c>
      <c r="H5" s="6" t="s">
        <v>62</v>
      </c>
      <c r="I5" s="7" t="s">
        <v>98</v>
      </c>
      <c r="J5" s="7" t="s">
        <v>64</v>
      </c>
      <c r="K5" s="7" t="s">
        <v>65</v>
      </c>
      <c r="L5" s="7" t="s">
        <v>66</v>
      </c>
      <c r="M5" s="7" t="s">
        <v>67</v>
      </c>
      <c r="N5" s="7" t="s">
        <v>68</v>
      </c>
      <c r="O5" s="7" t="s">
        <v>69</v>
      </c>
      <c r="P5" s="7" t="s">
        <v>70</v>
      </c>
      <c r="Q5" s="7" t="s">
        <v>804</v>
      </c>
      <c r="R5" s="7" t="s">
        <v>147</v>
      </c>
      <c r="S5" s="7">
        <v>10</v>
      </c>
      <c r="T5" s="7" t="s">
        <v>73</v>
      </c>
      <c r="U5" s="7" t="s">
        <v>273</v>
      </c>
      <c r="V5" s="7" t="s">
        <v>73</v>
      </c>
      <c r="W5" s="7" t="s">
        <v>73</v>
      </c>
      <c r="X5" s="7">
        <v>14</v>
      </c>
      <c r="Y5" s="7" t="s">
        <v>273</v>
      </c>
      <c r="Z5" s="7">
        <v>2023</v>
      </c>
      <c r="AA5" s="7" t="s">
        <v>805</v>
      </c>
      <c r="AB5" s="7" t="s">
        <v>75</v>
      </c>
      <c r="AC5" s="7" t="s">
        <v>309</v>
      </c>
      <c r="AD5" s="7" t="s">
        <v>806</v>
      </c>
      <c r="AE5" s="7" t="s">
        <v>277</v>
      </c>
    </row>
    <row r="6" spans="1:31" x14ac:dyDescent="0.3">
      <c r="A6" s="5" t="s">
        <v>99</v>
      </c>
      <c r="B6" s="5">
        <v>361</v>
      </c>
      <c r="C6" s="5" t="s">
        <v>100</v>
      </c>
      <c r="D6" s="5" t="s">
        <v>101</v>
      </c>
      <c r="E6" s="5" t="s">
        <v>96</v>
      </c>
      <c r="F6" s="5" t="s">
        <v>60</v>
      </c>
      <c r="G6" s="5" t="s">
        <v>102</v>
      </c>
      <c r="H6" s="6" t="s">
        <v>62</v>
      </c>
      <c r="I6" s="7" t="s">
        <v>103</v>
      </c>
      <c r="J6" s="7" t="s">
        <v>64</v>
      </c>
      <c r="K6" s="7" t="s">
        <v>145</v>
      </c>
      <c r="L6" s="7" t="s">
        <v>209</v>
      </c>
      <c r="M6" s="7" t="s">
        <v>67</v>
      </c>
      <c r="N6" s="7" t="s">
        <v>68</v>
      </c>
      <c r="O6" s="7" t="s">
        <v>69</v>
      </c>
      <c r="P6" s="7" t="s">
        <v>84</v>
      </c>
      <c r="Q6" s="7" t="s">
        <v>71</v>
      </c>
      <c r="R6" s="7" t="s">
        <v>72</v>
      </c>
      <c r="S6" s="7">
        <v>30</v>
      </c>
      <c r="T6" s="7" t="s">
        <v>73</v>
      </c>
      <c r="U6" s="7">
        <v>0</v>
      </c>
      <c r="V6" s="7" t="s">
        <v>73</v>
      </c>
      <c r="W6" s="7">
        <v>0</v>
      </c>
      <c r="X6" s="7" t="s">
        <v>73</v>
      </c>
      <c r="Y6" s="7" t="s">
        <v>73</v>
      </c>
      <c r="Z6" s="7">
        <v>2023</v>
      </c>
      <c r="AA6" s="7" t="s">
        <v>74</v>
      </c>
      <c r="AB6" s="7" t="s">
        <v>104</v>
      </c>
      <c r="AC6" s="7" t="s">
        <v>105</v>
      </c>
      <c r="AD6" s="7" t="s">
        <v>858</v>
      </c>
      <c r="AE6" s="7" t="s">
        <v>277</v>
      </c>
    </row>
    <row r="7" spans="1:31" x14ac:dyDescent="0.3">
      <c r="A7" s="5" t="s">
        <v>106</v>
      </c>
      <c r="B7" s="5">
        <v>498</v>
      </c>
      <c r="C7" s="5" t="s">
        <v>107</v>
      </c>
      <c r="D7" s="5" t="s">
        <v>108</v>
      </c>
      <c r="E7" s="5" t="s">
        <v>59</v>
      </c>
      <c r="F7" s="5" t="s">
        <v>60</v>
      </c>
      <c r="G7" s="5" t="s">
        <v>109</v>
      </c>
      <c r="H7" s="6" t="s">
        <v>62</v>
      </c>
      <c r="I7" s="7" t="s">
        <v>110</v>
      </c>
      <c r="J7" s="7" t="s">
        <v>64</v>
      </c>
      <c r="K7" s="7" t="s">
        <v>145</v>
      </c>
      <c r="L7" s="7" t="s">
        <v>209</v>
      </c>
      <c r="M7" s="7" t="s">
        <v>67</v>
      </c>
      <c r="N7" s="7" t="s">
        <v>68</v>
      </c>
      <c r="O7" s="7" t="s">
        <v>69</v>
      </c>
      <c r="P7" s="7" t="s">
        <v>84</v>
      </c>
      <c r="Q7" s="7" t="s">
        <v>71</v>
      </c>
      <c r="R7" s="7" t="s">
        <v>72</v>
      </c>
      <c r="S7" s="7">
        <v>30</v>
      </c>
      <c r="T7" s="7" t="s">
        <v>73</v>
      </c>
      <c r="U7" s="7">
        <v>0</v>
      </c>
      <c r="V7" s="7" t="s">
        <v>73</v>
      </c>
      <c r="W7" s="7">
        <v>0</v>
      </c>
      <c r="X7" s="7" t="s">
        <v>73</v>
      </c>
      <c r="Y7" s="7" t="s">
        <v>73</v>
      </c>
      <c r="Z7" s="7">
        <v>2025</v>
      </c>
      <c r="AA7" s="7" t="s">
        <v>74</v>
      </c>
      <c r="AB7" s="7" t="s">
        <v>104</v>
      </c>
      <c r="AC7" s="7" t="s">
        <v>105</v>
      </c>
      <c r="AD7" s="7" t="s">
        <v>859</v>
      </c>
      <c r="AE7" s="7" t="s">
        <v>277</v>
      </c>
    </row>
    <row r="8" spans="1:31" x14ac:dyDescent="0.3">
      <c r="A8" s="5" t="s">
        <v>111</v>
      </c>
      <c r="B8" s="5">
        <v>753</v>
      </c>
      <c r="C8" s="5" t="s">
        <v>112</v>
      </c>
      <c r="D8" s="5" t="s">
        <v>113</v>
      </c>
      <c r="E8" s="5" t="s">
        <v>89</v>
      </c>
      <c r="F8" s="5" t="s">
        <v>60</v>
      </c>
      <c r="G8" s="5" t="s">
        <v>114</v>
      </c>
      <c r="H8" s="6" t="s">
        <v>62</v>
      </c>
      <c r="I8" s="7" t="s">
        <v>115</v>
      </c>
      <c r="J8" s="7" t="s">
        <v>64</v>
      </c>
      <c r="K8" s="7" t="s">
        <v>145</v>
      </c>
      <c r="L8" s="7" t="s">
        <v>209</v>
      </c>
      <c r="M8" s="7" t="s">
        <v>67</v>
      </c>
      <c r="N8" s="7" t="s">
        <v>68</v>
      </c>
      <c r="O8" s="7" t="s">
        <v>69</v>
      </c>
      <c r="P8" s="7" t="s">
        <v>70</v>
      </c>
      <c r="Q8" s="7" t="s">
        <v>804</v>
      </c>
      <c r="R8" s="7" t="s">
        <v>92</v>
      </c>
      <c r="S8" s="7" t="s">
        <v>73</v>
      </c>
      <c r="T8" s="7" t="s">
        <v>73</v>
      </c>
      <c r="U8" s="7" t="s">
        <v>273</v>
      </c>
      <c r="V8" s="7" t="s">
        <v>73</v>
      </c>
      <c r="W8" s="7" t="s">
        <v>73</v>
      </c>
      <c r="X8" s="7" t="s">
        <v>73</v>
      </c>
      <c r="Y8" s="7" t="s">
        <v>273</v>
      </c>
      <c r="Z8" s="7">
        <v>2022</v>
      </c>
      <c r="AA8" s="7" t="s">
        <v>807</v>
      </c>
      <c r="AB8" s="7" t="s">
        <v>104</v>
      </c>
      <c r="AC8" s="7" t="s">
        <v>309</v>
      </c>
      <c r="AD8" s="7" t="s">
        <v>808</v>
      </c>
      <c r="AE8" s="7" t="s">
        <v>277</v>
      </c>
    </row>
    <row r="9" spans="1:31" x14ac:dyDescent="0.3">
      <c r="A9" s="5" t="s">
        <v>116</v>
      </c>
      <c r="B9" s="5">
        <v>869</v>
      </c>
      <c r="C9" s="5" t="s">
        <v>117</v>
      </c>
      <c r="D9" s="5" t="s">
        <v>118</v>
      </c>
      <c r="E9" s="5" t="s">
        <v>119</v>
      </c>
      <c r="F9" s="5" t="s">
        <v>60</v>
      </c>
      <c r="G9" s="5" t="s">
        <v>120</v>
      </c>
      <c r="H9" s="6" t="s">
        <v>62</v>
      </c>
      <c r="I9" s="7" t="s">
        <v>121</v>
      </c>
      <c r="J9" s="7" t="s">
        <v>64</v>
      </c>
      <c r="K9" s="7" t="s">
        <v>145</v>
      </c>
      <c r="L9" s="7" t="s">
        <v>209</v>
      </c>
      <c r="M9" s="7" t="s">
        <v>67</v>
      </c>
      <c r="N9" s="7" t="s">
        <v>68</v>
      </c>
      <c r="O9" s="7" t="s">
        <v>83</v>
      </c>
      <c r="P9" s="7" t="s">
        <v>70</v>
      </c>
      <c r="Q9" s="7" t="s">
        <v>71</v>
      </c>
      <c r="R9" s="7" t="s">
        <v>72</v>
      </c>
      <c r="S9" s="7">
        <v>34</v>
      </c>
      <c r="T9" s="7" t="s">
        <v>73</v>
      </c>
      <c r="U9" s="7">
        <v>0</v>
      </c>
      <c r="V9" s="7" t="s">
        <v>73</v>
      </c>
      <c r="W9" s="7">
        <v>0</v>
      </c>
      <c r="X9" s="7" t="s">
        <v>73</v>
      </c>
      <c r="Y9" s="7" t="s">
        <v>73</v>
      </c>
      <c r="Z9" s="7">
        <v>2026</v>
      </c>
      <c r="AA9" s="7" t="s">
        <v>74</v>
      </c>
      <c r="AB9" s="7" t="s">
        <v>104</v>
      </c>
      <c r="AC9" s="7" t="s">
        <v>122</v>
      </c>
      <c r="AD9" s="7" t="s">
        <v>860</v>
      </c>
      <c r="AE9" s="7" t="s">
        <v>277</v>
      </c>
    </row>
    <row r="10" spans="1:31" x14ac:dyDescent="0.3">
      <c r="A10" s="5" t="s">
        <v>123</v>
      </c>
      <c r="B10" s="5">
        <v>3039</v>
      </c>
      <c r="C10" s="5" t="s">
        <v>124</v>
      </c>
      <c r="D10" s="5" t="s">
        <v>125</v>
      </c>
      <c r="E10" s="5" t="s">
        <v>126</v>
      </c>
      <c r="F10" s="5" t="s">
        <v>60</v>
      </c>
      <c r="G10" s="5" t="s">
        <v>127</v>
      </c>
      <c r="H10" s="6" t="s">
        <v>62</v>
      </c>
      <c r="I10" s="7" t="s">
        <v>128</v>
      </c>
      <c r="J10" s="7" t="s">
        <v>64</v>
      </c>
      <c r="K10" s="7" t="s">
        <v>145</v>
      </c>
      <c r="L10" s="7" t="s">
        <v>66</v>
      </c>
      <c r="M10" s="7" t="s">
        <v>66</v>
      </c>
      <c r="N10" s="7" t="s">
        <v>68</v>
      </c>
      <c r="O10" s="7" t="s">
        <v>129</v>
      </c>
      <c r="P10" s="7" t="s">
        <v>84</v>
      </c>
      <c r="Q10" s="7" t="s">
        <v>130</v>
      </c>
      <c r="R10" s="7" t="s">
        <v>72</v>
      </c>
      <c r="S10" s="7">
        <v>80</v>
      </c>
      <c r="T10" s="7" t="s">
        <v>73</v>
      </c>
      <c r="U10" s="7">
        <v>0</v>
      </c>
      <c r="V10" s="7" t="s">
        <v>73</v>
      </c>
      <c r="W10" s="7">
        <v>0</v>
      </c>
      <c r="X10" s="7" t="s">
        <v>73</v>
      </c>
      <c r="Y10" s="7" t="s">
        <v>73</v>
      </c>
      <c r="Z10" s="7">
        <v>2021</v>
      </c>
      <c r="AA10" s="7" t="s">
        <v>74</v>
      </c>
      <c r="AB10" s="7" t="s">
        <v>131</v>
      </c>
      <c r="AC10" s="7" t="s">
        <v>132</v>
      </c>
      <c r="AD10" s="7" t="s">
        <v>861</v>
      </c>
      <c r="AE10" s="7" t="s">
        <v>277</v>
      </c>
    </row>
    <row r="11" spans="1:31" x14ac:dyDescent="0.3">
      <c r="A11" s="5" t="s">
        <v>133</v>
      </c>
      <c r="B11" s="5">
        <v>3367</v>
      </c>
      <c r="C11" s="5" t="s">
        <v>134</v>
      </c>
      <c r="D11" s="5" t="s">
        <v>135</v>
      </c>
      <c r="E11" s="5" t="s">
        <v>96</v>
      </c>
      <c r="F11" s="5" t="s">
        <v>60</v>
      </c>
      <c r="G11" s="5" t="s">
        <v>136</v>
      </c>
      <c r="H11" s="6" t="s">
        <v>62</v>
      </c>
      <c r="I11" s="7" t="s">
        <v>137</v>
      </c>
      <c r="J11" s="7" t="s">
        <v>64</v>
      </c>
      <c r="K11" s="7" t="s">
        <v>73</v>
      </c>
      <c r="L11" s="7" t="s">
        <v>66</v>
      </c>
      <c r="M11" s="7" t="s">
        <v>67</v>
      </c>
      <c r="N11" s="7" t="s">
        <v>68</v>
      </c>
      <c r="O11" s="7" t="s">
        <v>83</v>
      </c>
      <c r="P11" s="7" t="s">
        <v>70</v>
      </c>
      <c r="Q11" s="7" t="s">
        <v>138</v>
      </c>
      <c r="R11" s="7" t="s">
        <v>72</v>
      </c>
      <c r="S11" s="7">
        <v>23</v>
      </c>
      <c r="T11" s="7">
        <v>22</v>
      </c>
      <c r="U11" s="7">
        <v>0</v>
      </c>
      <c r="V11" s="7" t="s">
        <v>73</v>
      </c>
      <c r="W11" s="7">
        <v>0</v>
      </c>
      <c r="X11" s="7" t="s">
        <v>73</v>
      </c>
      <c r="Y11" s="7" t="s">
        <v>73</v>
      </c>
      <c r="Z11" s="7">
        <v>2023</v>
      </c>
      <c r="AA11" s="7" t="s">
        <v>74</v>
      </c>
      <c r="AB11" s="7" t="s">
        <v>104</v>
      </c>
      <c r="AC11" s="7" t="s">
        <v>139</v>
      </c>
      <c r="AD11" s="7" t="s">
        <v>806</v>
      </c>
      <c r="AE11" s="7" t="s">
        <v>711</v>
      </c>
    </row>
    <row r="12" spans="1:31" x14ac:dyDescent="0.3">
      <c r="A12" s="5" t="s">
        <v>140</v>
      </c>
      <c r="B12" s="5">
        <v>66</v>
      </c>
      <c r="C12" s="5" t="s">
        <v>141</v>
      </c>
      <c r="D12" s="5" t="s">
        <v>142</v>
      </c>
      <c r="E12" s="5" t="s">
        <v>59</v>
      </c>
      <c r="F12" s="5" t="s">
        <v>60</v>
      </c>
      <c r="G12" s="5" t="s">
        <v>143</v>
      </c>
      <c r="H12" s="6" t="s">
        <v>62</v>
      </c>
      <c r="I12" s="7" t="s">
        <v>144</v>
      </c>
      <c r="J12" s="7" t="s">
        <v>64</v>
      </c>
      <c r="K12" s="7" t="s">
        <v>145</v>
      </c>
      <c r="L12" s="7" t="s">
        <v>66</v>
      </c>
      <c r="M12" s="7" t="s">
        <v>67</v>
      </c>
      <c r="N12" s="7" t="s">
        <v>68</v>
      </c>
      <c r="O12" s="7" t="s">
        <v>146</v>
      </c>
      <c r="P12" s="7" t="s">
        <v>70</v>
      </c>
      <c r="Q12" s="7" t="s">
        <v>71</v>
      </c>
      <c r="R12" s="7" t="s">
        <v>147</v>
      </c>
      <c r="S12" s="7">
        <v>13</v>
      </c>
      <c r="T12" s="7" t="s">
        <v>73</v>
      </c>
      <c r="U12" s="7">
        <v>0</v>
      </c>
      <c r="V12" s="7" t="s">
        <v>73</v>
      </c>
      <c r="W12" s="7">
        <v>0</v>
      </c>
      <c r="X12" s="7" t="s">
        <v>73</v>
      </c>
      <c r="Y12" s="7" t="s">
        <v>73</v>
      </c>
      <c r="Z12" s="7">
        <v>2025</v>
      </c>
      <c r="AA12" s="7" t="s">
        <v>74</v>
      </c>
      <c r="AB12" s="7" t="str">
        <f>IFERROR(IF(VLOOKUP(D12,Revistas!$A$21:$C$400,3,FALSE)=0,"",VLOOKUP(D12,Revistas!$A$21:$C$400,3,FALSE)),"")</f>
        <v>alto</v>
      </c>
      <c r="AC12" s="7" t="s">
        <v>76</v>
      </c>
      <c r="AD12" s="7" t="s">
        <v>73</v>
      </c>
      <c r="AE12" s="7" t="s">
        <v>709</v>
      </c>
    </row>
    <row r="13" spans="1:31" x14ac:dyDescent="0.3">
      <c r="A13" s="5" t="s">
        <v>148</v>
      </c>
      <c r="B13" s="5">
        <v>219</v>
      </c>
      <c r="C13" s="5" t="s">
        <v>149</v>
      </c>
      <c r="D13" s="5" t="s">
        <v>150</v>
      </c>
      <c r="E13" s="5" t="s">
        <v>96</v>
      </c>
      <c r="F13" s="5" t="s">
        <v>60</v>
      </c>
      <c r="G13" s="5" t="s">
        <v>151</v>
      </c>
      <c r="H13" s="6" t="s">
        <v>62</v>
      </c>
      <c r="I13" s="7" t="s">
        <v>809</v>
      </c>
      <c r="J13" s="7" t="s">
        <v>64</v>
      </c>
      <c r="K13" s="7" t="s">
        <v>65</v>
      </c>
      <c r="L13" s="7" t="s">
        <v>271</v>
      </c>
      <c r="M13" s="7" t="s">
        <v>67</v>
      </c>
      <c r="N13" s="7" t="s">
        <v>68</v>
      </c>
      <c r="O13" s="7" t="s">
        <v>69</v>
      </c>
      <c r="P13" s="7" t="s">
        <v>170</v>
      </c>
      <c r="Q13" s="7" t="s">
        <v>129</v>
      </c>
      <c r="R13" s="7" t="s">
        <v>72</v>
      </c>
      <c r="S13" s="7">
        <v>24</v>
      </c>
      <c r="T13" s="7" t="s">
        <v>73</v>
      </c>
      <c r="U13" s="7" t="s">
        <v>273</v>
      </c>
      <c r="V13" s="7" t="s">
        <v>73</v>
      </c>
      <c r="W13" s="7" t="s">
        <v>73</v>
      </c>
      <c r="X13" s="7" t="s">
        <v>73</v>
      </c>
      <c r="Y13" s="7" t="s">
        <v>273</v>
      </c>
      <c r="Z13" s="7">
        <v>2022</v>
      </c>
      <c r="AA13" s="7" t="s">
        <v>810</v>
      </c>
      <c r="AB13" s="7" t="s">
        <v>73</v>
      </c>
      <c r="AC13" s="7" t="s">
        <v>721</v>
      </c>
      <c r="AD13" s="7" t="s">
        <v>811</v>
      </c>
      <c r="AE13" s="7" t="s">
        <v>718</v>
      </c>
    </row>
    <row r="14" spans="1:31" x14ac:dyDescent="0.3">
      <c r="A14" s="5" t="s">
        <v>152</v>
      </c>
      <c r="B14" s="5">
        <v>288</v>
      </c>
      <c r="C14" s="5" t="s">
        <v>153</v>
      </c>
      <c r="D14" s="5" t="s">
        <v>154</v>
      </c>
      <c r="E14" s="5" t="s">
        <v>59</v>
      </c>
      <c r="F14" s="5" t="s">
        <v>155</v>
      </c>
      <c r="G14" s="5" t="s">
        <v>156</v>
      </c>
      <c r="H14" s="6" t="s">
        <v>62</v>
      </c>
      <c r="I14" s="7" t="s">
        <v>73</v>
      </c>
      <c r="J14" s="7" t="s">
        <v>64</v>
      </c>
      <c r="K14" s="7" t="s">
        <v>73</v>
      </c>
      <c r="L14" s="7" t="s">
        <v>66</v>
      </c>
      <c r="M14" s="7" t="s">
        <v>66</v>
      </c>
      <c r="N14" s="7" t="s">
        <v>812</v>
      </c>
      <c r="O14" s="7" t="s">
        <v>73</v>
      </c>
      <c r="P14" s="7" t="s">
        <v>73</v>
      </c>
      <c r="Q14" s="7" t="s">
        <v>73</v>
      </c>
      <c r="R14" s="7" t="s">
        <v>92</v>
      </c>
      <c r="S14" s="7" t="s">
        <v>73</v>
      </c>
      <c r="T14" s="7" t="s">
        <v>73</v>
      </c>
      <c r="U14" s="7" t="s">
        <v>273</v>
      </c>
      <c r="V14" s="7" t="s">
        <v>73</v>
      </c>
      <c r="W14" s="7" t="s">
        <v>73</v>
      </c>
      <c r="X14" s="7" t="s">
        <v>73</v>
      </c>
      <c r="Y14" s="7" t="s">
        <v>273</v>
      </c>
      <c r="Z14" s="7" t="s">
        <v>595</v>
      </c>
      <c r="AA14" s="7" t="s">
        <v>73</v>
      </c>
      <c r="AB14" s="7" t="s">
        <v>73</v>
      </c>
      <c r="AC14" s="7" t="s">
        <v>73</v>
      </c>
      <c r="AD14" s="7" t="s">
        <v>73</v>
      </c>
      <c r="AE14" s="7" t="s">
        <v>709</v>
      </c>
    </row>
    <row r="15" spans="1:31" x14ac:dyDescent="0.3">
      <c r="A15" s="5" t="s">
        <v>158</v>
      </c>
      <c r="B15" s="5">
        <v>399</v>
      </c>
      <c r="C15" s="5" t="s">
        <v>159</v>
      </c>
      <c r="D15" s="5" t="s">
        <v>160</v>
      </c>
      <c r="E15" s="5" t="s">
        <v>59</v>
      </c>
      <c r="F15" s="5" t="s">
        <v>60</v>
      </c>
      <c r="G15" s="5" t="s">
        <v>161</v>
      </c>
      <c r="H15" s="6" t="s">
        <v>62</v>
      </c>
      <c r="I15" s="7" t="s">
        <v>162</v>
      </c>
      <c r="J15" s="7" t="s">
        <v>64</v>
      </c>
      <c r="K15" s="7" t="s">
        <v>73</v>
      </c>
      <c r="L15" s="7" t="s">
        <v>66</v>
      </c>
      <c r="M15" s="7" t="s">
        <v>66</v>
      </c>
      <c r="N15" s="7" t="s">
        <v>812</v>
      </c>
      <c r="O15" s="7" t="s">
        <v>73</v>
      </c>
      <c r="P15" s="7" t="s">
        <v>73</v>
      </c>
      <c r="Q15" s="7" t="s">
        <v>73</v>
      </c>
      <c r="R15" s="7" t="s">
        <v>92</v>
      </c>
      <c r="S15" s="7" t="s">
        <v>73</v>
      </c>
      <c r="T15" s="7" t="s">
        <v>73</v>
      </c>
      <c r="U15" s="7" t="s">
        <v>273</v>
      </c>
      <c r="V15" s="7" t="s">
        <v>73</v>
      </c>
      <c r="W15" s="7" t="s">
        <v>73</v>
      </c>
      <c r="X15" s="7" t="s">
        <v>73</v>
      </c>
      <c r="Y15" s="7" t="s">
        <v>273</v>
      </c>
      <c r="Z15" s="7">
        <v>2025</v>
      </c>
      <c r="AA15" s="7" t="s">
        <v>73</v>
      </c>
      <c r="AB15" s="7" t="s">
        <v>73</v>
      </c>
      <c r="AC15" s="7" t="s">
        <v>139</v>
      </c>
      <c r="AD15" s="7" t="s">
        <v>73</v>
      </c>
      <c r="AE15" s="7" t="s">
        <v>709</v>
      </c>
    </row>
    <row r="16" spans="1:31" x14ac:dyDescent="0.3">
      <c r="A16" s="5" t="s">
        <v>163</v>
      </c>
      <c r="B16" s="5">
        <v>506</v>
      </c>
      <c r="C16" s="5" t="s">
        <v>164</v>
      </c>
      <c r="D16" s="5" t="s">
        <v>160</v>
      </c>
      <c r="E16" s="5" t="s">
        <v>119</v>
      </c>
      <c r="F16" s="5" t="s">
        <v>60</v>
      </c>
      <c r="G16" s="5" t="s">
        <v>165</v>
      </c>
      <c r="H16" s="6" t="s">
        <v>62</v>
      </c>
      <c r="I16" s="7" t="s">
        <v>813</v>
      </c>
      <c r="J16" s="7" t="s">
        <v>64</v>
      </c>
      <c r="K16" s="7" t="s">
        <v>73</v>
      </c>
      <c r="L16" s="7" t="s">
        <v>66</v>
      </c>
      <c r="M16" s="7" t="s">
        <v>66</v>
      </c>
      <c r="N16" s="7" t="s">
        <v>812</v>
      </c>
      <c r="O16" s="7" t="s">
        <v>73</v>
      </c>
      <c r="P16" s="7" t="s">
        <v>73</v>
      </c>
      <c r="Q16" s="7" t="s">
        <v>73</v>
      </c>
      <c r="R16" s="7" t="s">
        <v>92</v>
      </c>
      <c r="S16" s="7" t="s">
        <v>73</v>
      </c>
      <c r="T16" s="7" t="s">
        <v>73</v>
      </c>
      <c r="U16" s="7" t="s">
        <v>273</v>
      </c>
      <c r="V16" s="7" t="s">
        <v>73</v>
      </c>
      <c r="W16" s="7" t="s">
        <v>73</v>
      </c>
      <c r="X16" s="7" t="s">
        <v>73</v>
      </c>
      <c r="Y16" s="7" t="s">
        <v>273</v>
      </c>
      <c r="Z16" s="7">
        <v>2026</v>
      </c>
      <c r="AA16" s="7" t="s">
        <v>73</v>
      </c>
      <c r="AB16" s="7" t="s">
        <v>73</v>
      </c>
      <c r="AC16" s="7" t="s">
        <v>139</v>
      </c>
      <c r="AD16" s="7" t="s">
        <v>73</v>
      </c>
      <c r="AE16" s="7" t="s">
        <v>709</v>
      </c>
    </row>
    <row r="17" spans="1:31" x14ac:dyDescent="0.3">
      <c r="A17" s="5" t="s">
        <v>166</v>
      </c>
      <c r="B17" s="5">
        <v>720</v>
      </c>
      <c r="C17" s="5" t="s">
        <v>167</v>
      </c>
      <c r="D17" s="5" t="s">
        <v>79</v>
      </c>
      <c r="E17" s="5" t="s">
        <v>126</v>
      </c>
      <c r="F17" s="5" t="s">
        <v>60</v>
      </c>
      <c r="G17" s="5" t="s">
        <v>168</v>
      </c>
      <c r="H17" s="6" t="s">
        <v>62</v>
      </c>
      <c r="I17" s="7" t="s">
        <v>833</v>
      </c>
      <c r="J17" s="7" t="s">
        <v>64</v>
      </c>
      <c r="K17" s="7" t="s">
        <v>145</v>
      </c>
      <c r="L17" s="7" t="s">
        <v>66</v>
      </c>
      <c r="M17" s="7" t="s">
        <v>67</v>
      </c>
      <c r="N17" s="7" t="s">
        <v>68</v>
      </c>
      <c r="O17" s="7" t="s">
        <v>169</v>
      </c>
      <c r="P17" s="7" t="s">
        <v>170</v>
      </c>
      <c r="Q17" s="7" t="s">
        <v>71</v>
      </c>
      <c r="R17" s="7" t="s">
        <v>147</v>
      </c>
      <c r="S17" s="7">
        <v>28</v>
      </c>
      <c r="T17" s="7" t="s">
        <v>73</v>
      </c>
      <c r="U17" s="7">
        <v>6</v>
      </c>
      <c r="V17" s="7">
        <v>5</v>
      </c>
      <c r="W17" s="7">
        <v>0</v>
      </c>
      <c r="X17" s="7" t="s">
        <v>73</v>
      </c>
      <c r="Y17" s="7" t="s">
        <v>73</v>
      </c>
      <c r="Z17" s="7">
        <v>2021</v>
      </c>
      <c r="AA17" s="7" t="s">
        <v>74</v>
      </c>
      <c r="AB17" s="7" t="str">
        <f>IFERROR(IF(VLOOKUP(D17,Revistas!$A$21:$C$400,3,FALSE)=0,"",VLOOKUP(D17,Revistas!$A$21:$C$400,3,FALSE)),"")</f>
        <v>alto</v>
      </c>
      <c r="AC17" s="7" t="s">
        <v>171</v>
      </c>
      <c r="AD17" s="7" t="s">
        <v>862</v>
      </c>
      <c r="AE17" s="7" t="s">
        <v>718</v>
      </c>
    </row>
    <row r="18" spans="1:31" x14ac:dyDescent="0.3">
      <c r="A18" s="5" t="s">
        <v>172</v>
      </c>
      <c r="B18" s="5">
        <v>787</v>
      </c>
      <c r="C18" s="5" t="s">
        <v>173</v>
      </c>
      <c r="D18" s="5" t="s">
        <v>174</v>
      </c>
      <c r="E18" s="5" t="s">
        <v>175</v>
      </c>
      <c r="F18" s="5" t="s">
        <v>60</v>
      </c>
      <c r="G18" s="5" t="s">
        <v>176</v>
      </c>
      <c r="H18" s="6" t="s">
        <v>62</v>
      </c>
      <c r="I18" s="7" t="s">
        <v>177</v>
      </c>
      <c r="J18" s="7" t="s">
        <v>64</v>
      </c>
      <c r="K18" s="7" t="s">
        <v>73</v>
      </c>
      <c r="L18" s="7" t="s">
        <v>66</v>
      </c>
      <c r="M18" s="7" t="s">
        <v>67</v>
      </c>
      <c r="N18" s="7" t="s">
        <v>68</v>
      </c>
      <c r="O18" s="7" t="s">
        <v>69</v>
      </c>
      <c r="P18" s="7" t="s">
        <v>70</v>
      </c>
      <c r="Q18" s="7" t="s">
        <v>71</v>
      </c>
      <c r="R18" s="7" t="s">
        <v>72</v>
      </c>
      <c r="S18" s="7">
        <v>212</v>
      </c>
      <c r="T18" s="7" t="s">
        <v>73</v>
      </c>
      <c r="U18" s="7">
        <v>0</v>
      </c>
      <c r="V18" s="7" t="s">
        <v>73</v>
      </c>
      <c r="W18" s="7">
        <v>0</v>
      </c>
      <c r="X18" s="7" t="s">
        <v>73</v>
      </c>
      <c r="Y18" s="7" t="s">
        <v>73</v>
      </c>
      <c r="Z18" s="7">
        <v>2024</v>
      </c>
      <c r="AA18" s="7" t="s">
        <v>74</v>
      </c>
      <c r="AB18" s="7" t="s">
        <v>131</v>
      </c>
      <c r="AC18" s="7" t="s">
        <v>178</v>
      </c>
      <c r="AD18" s="7" t="s">
        <v>811</v>
      </c>
      <c r="AE18" s="7" t="s">
        <v>711</v>
      </c>
    </row>
    <row r="19" spans="1:31" x14ac:dyDescent="0.3">
      <c r="A19" s="5" t="s">
        <v>179</v>
      </c>
      <c r="B19" s="5">
        <v>1639</v>
      </c>
      <c r="C19" s="5" t="s">
        <v>180</v>
      </c>
      <c r="D19" s="5" t="s">
        <v>181</v>
      </c>
      <c r="E19" s="5" t="s">
        <v>119</v>
      </c>
      <c r="F19" s="5" t="s">
        <v>60</v>
      </c>
      <c r="G19" s="5" t="s">
        <v>182</v>
      </c>
      <c r="H19" s="6" t="s">
        <v>62</v>
      </c>
      <c r="I19" s="7" t="s">
        <v>183</v>
      </c>
      <c r="J19" s="7" t="s">
        <v>64</v>
      </c>
      <c r="K19" s="7" t="s">
        <v>73</v>
      </c>
      <c r="L19" s="7" t="s">
        <v>66</v>
      </c>
      <c r="M19" s="7" t="s">
        <v>66</v>
      </c>
      <c r="N19" s="7" t="s">
        <v>68</v>
      </c>
      <c r="O19" s="7" t="s">
        <v>146</v>
      </c>
      <c r="P19" s="7" t="s">
        <v>70</v>
      </c>
      <c r="Q19" s="7" t="s">
        <v>71</v>
      </c>
      <c r="R19" s="7" t="s">
        <v>147</v>
      </c>
      <c r="S19" s="7">
        <v>30</v>
      </c>
      <c r="T19" s="7" t="s">
        <v>73</v>
      </c>
      <c r="U19" s="7">
        <v>0</v>
      </c>
      <c r="V19" s="7" t="s">
        <v>73</v>
      </c>
      <c r="W19" s="7">
        <v>0</v>
      </c>
      <c r="X19" s="7"/>
      <c r="Y19" s="7"/>
      <c r="Z19" s="7">
        <v>2024</v>
      </c>
      <c r="AA19" s="7" t="s">
        <v>74</v>
      </c>
      <c r="AB19" s="7" t="str">
        <f>IFERROR(IF(VLOOKUP(D19,Revistas!$A$21:$C$400,3,FALSE)=0,"",VLOOKUP(D19,Revistas!$A$21:$C$400,3,FALSE)),"")</f>
        <v/>
      </c>
      <c r="AC19" s="7" t="s">
        <v>122</v>
      </c>
      <c r="AD19" s="7" t="s">
        <v>73</v>
      </c>
      <c r="AE19" s="7" t="s">
        <v>709</v>
      </c>
    </row>
    <row r="20" spans="1:31" x14ac:dyDescent="0.3">
      <c r="A20" s="5" t="s">
        <v>184</v>
      </c>
      <c r="B20" s="5">
        <v>2267</v>
      </c>
      <c r="C20" s="5" t="s">
        <v>185</v>
      </c>
      <c r="D20" s="5" t="s">
        <v>181</v>
      </c>
      <c r="E20" s="5" t="s">
        <v>175</v>
      </c>
      <c r="F20" s="5" t="s">
        <v>60</v>
      </c>
      <c r="G20" s="5" t="s">
        <v>186</v>
      </c>
      <c r="H20" s="6" t="s">
        <v>62</v>
      </c>
      <c r="I20" s="7" t="s">
        <v>834</v>
      </c>
      <c r="J20" s="7" t="s">
        <v>64</v>
      </c>
      <c r="K20" s="7" t="s">
        <v>73</v>
      </c>
      <c r="L20" s="7" t="s">
        <v>66</v>
      </c>
      <c r="M20" s="7" t="s">
        <v>66</v>
      </c>
      <c r="N20" s="7" t="s">
        <v>68</v>
      </c>
      <c r="O20" s="7" t="s">
        <v>146</v>
      </c>
      <c r="P20" s="7" t="s">
        <v>70</v>
      </c>
      <c r="Q20" s="7" t="s">
        <v>138</v>
      </c>
      <c r="R20" s="7" t="s">
        <v>147</v>
      </c>
      <c r="S20" s="7">
        <v>27</v>
      </c>
      <c r="T20" s="7" t="s">
        <v>73</v>
      </c>
      <c r="U20" s="7">
        <v>0</v>
      </c>
      <c r="V20" s="7"/>
      <c r="W20" s="7"/>
      <c r="X20" s="7"/>
      <c r="Y20" s="7"/>
      <c r="Z20" s="7">
        <v>2024</v>
      </c>
      <c r="AA20" s="7" t="s">
        <v>74</v>
      </c>
      <c r="AB20" s="7" t="str">
        <f>IFERROR(IF(VLOOKUP(D20,Revistas!$A$21:$C$400,3,FALSE)=0,"",VLOOKUP(D20,Revistas!$A$21:$C$400,3,FALSE)),"")</f>
        <v/>
      </c>
      <c r="AC20" s="7" t="s">
        <v>122</v>
      </c>
      <c r="AD20" s="7" t="s">
        <v>73</v>
      </c>
      <c r="AE20" s="7" t="s">
        <v>709</v>
      </c>
    </row>
    <row r="21" spans="1:31" x14ac:dyDescent="0.3">
      <c r="A21" s="5" t="s">
        <v>187</v>
      </c>
      <c r="B21" s="5">
        <v>2761</v>
      </c>
      <c r="C21" s="5" t="s">
        <v>188</v>
      </c>
      <c r="D21" s="5" t="s">
        <v>189</v>
      </c>
      <c r="E21" s="5" t="s">
        <v>190</v>
      </c>
      <c r="F21" s="5" t="s">
        <v>60</v>
      </c>
      <c r="G21" s="5" t="s">
        <v>191</v>
      </c>
      <c r="H21" s="6" t="s">
        <v>62</v>
      </c>
      <c r="I21" s="7" t="s">
        <v>73</v>
      </c>
      <c r="J21" s="7" t="s">
        <v>64</v>
      </c>
      <c r="K21" s="7" t="s">
        <v>73</v>
      </c>
      <c r="L21" s="7" t="s">
        <v>66</v>
      </c>
      <c r="M21" s="7" t="s">
        <v>66</v>
      </c>
      <c r="N21" s="7" t="s">
        <v>812</v>
      </c>
      <c r="O21" s="7" t="s">
        <v>73</v>
      </c>
      <c r="P21" s="7" t="s">
        <v>73</v>
      </c>
      <c r="Q21" s="7" t="s">
        <v>73</v>
      </c>
      <c r="R21" s="7" t="s">
        <v>92</v>
      </c>
      <c r="S21" s="7" t="s">
        <v>73</v>
      </c>
      <c r="T21" s="7" t="s">
        <v>73</v>
      </c>
      <c r="U21" s="7" t="s">
        <v>273</v>
      </c>
      <c r="V21" s="7" t="s">
        <v>73</v>
      </c>
      <c r="W21" s="7" t="s">
        <v>73</v>
      </c>
      <c r="X21" s="7" t="s">
        <v>73</v>
      </c>
      <c r="Y21" s="7" t="s">
        <v>273</v>
      </c>
      <c r="Z21" s="7" t="s">
        <v>595</v>
      </c>
      <c r="AA21" s="7" t="s">
        <v>73</v>
      </c>
      <c r="AB21" s="7" t="s">
        <v>73</v>
      </c>
      <c r="AC21" s="7" t="s">
        <v>73</v>
      </c>
      <c r="AD21" s="7" t="s">
        <v>73</v>
      </c>
      <c r="AE21" s="7" t="s">
        <v>709</v>
      </c>
    </row>
    <row r="22" spans="1:31" x14ac:dyDescent="0.3">
      <c r="A22" s="5" t="s">
        <v>192</v>
      </c>
      <c r="B22" s="5">
        <v>3017</v>
      </c>
      <c r="C22" s="5" t="s">
        <v>193</v>
      </c>
      <c r="D22" s="5" t="s">
        <v>194</v>
      </c>
      <c r="E22" s="5" t="s">
        <v>126</v>
      </c>
      <c r="F22" s="5" t="s">
        <v>60</v>
      </c>
      <c r="G22" s="5" t="s">
        <v>195</v>
      </c>
      <c r="H22" s="6" t="s">
        <v>62</v>
      </c>
      <c r="I22" s="7" t="s">
        <v>814</v>
      </c>
      <c r="J22" s="7" t="s">
        <v>64</v>
      </c>
      <c r="K22" s="7" t="s">
        <v>73</v>
      </c>
      <c r="L22" s="7" t="s">
        <v>66</v>
      </c>
      <c r="M22" s="7" t="s">
        <v>66</v>
      </c>
      <c r="N22" s="7" t="s">
        <v>812</v>
      </c>
      <c r="O22" s="7" t="s">
        <v>73</v>
      </c>
      <c r="P22" s="7" t="s">
        <v>73</v>
      </c>
      <c r="Q22" s="7" t="s">
        <v>73</v>
      </c>
      <c r="R22" s="7" t="s">
        <v>92</v>
      </c>
      <c r="S22" s="7" t="s">
        <v>73</v>
      </c>
      <c r="T22" s="7" t="s">
        <v>73</v>
      </c>
      <c r="U22" s="7" t="s">
        <v>273</v>
      </c>
      <c r="V22" s="7" t="s">
        <v>73</v>
      </c>
      <c r="W22" s="7" t="s">
        <v>73</v>
      </c>
      <c r="X22" s="7" t="s">
        <v>73</v>
      </c>
      <c r="Y22" s="7" t="s">
        <v>273</v>
      </c>
      <c r="Z22" s="7">
        <v>2021</v>
      </c>
      <c r="AA22" s="7" t="s">
        <v>73</v>
      </c>
      <c r="AB22" s="7" t="s">
        <v>73</v>
      </c>
      <c r="AC22" s="7" t="s">
        <v>73</v>
      </c>
      <c r="AD22" s="7" t="s">
        <v>73</v>
      </c>
      <c r="AE22" s="7" t="s">
        <v>709</v>
      </c>
    </row>
    <row r="23" spans="1:31" x14ac:dyDescent="0.3">
      <c r="A23" s="5" t="s">
        <v>196</v>
      </c>
      <c r="B23" s="5">
        <v>4064</v>
      </c>
      <c r="C23" s="5" t="s">
        <v>197</v>
      </c>
      <c r="D23" s="5" t="s">
        <v>198</v>
      </c>
      <c r="E23" s="5" t="s">
        <v>199</v>
      </c>
      <c r="F23" s="5" t="s">
        <v>155</v>
      </c>
      <c r="G23" s="5" t="s">
        <v>200</v>
      </c>
      <c r="H23" s="6" t="s">
        <v>62</v>
      </c>
      <c r="I23" s="7" t="s">
        <v>73</v>
      </c>
      <c r="J23" s="7" t="s">
        <v>64</v>
      </c>
      <c r="K23" s="7" t="s">
        <v>73</v>
      </c>
      <c r="L23" s="7" t="s">
        <v>66</v>
      </c>
      <c r="M23" s="7" t="s">
        <v>66</v>
      </c>
      <c r="N23" s="7" t="s">
        <v>812</v>
      </c>
      <c r="O23" s="7" t="s">
        <v>73</v>
      </c>
      <c r="P23" s="7" t="s">
        <v>73</v>
      </c>
      <c r="Q23" s="7" t="s">
        <v>73</v>
      </c>
      <c r="R23" s="7" t="s">
        <v>92</v>
      </c>
      <c r="S23" s="7" t="s">
        <v>73</v>
      </c>
      <c r="T23" s="7" t="s">
        <v>73</v>
      </c>
      <c r="U23" s="7" t="s">
        <v>273</v>
      </c>
      <c r="V23" s="7" t="s">
        <v>73</v>
      </c>
      <c r="W23" s="7" t="s">
        <v>73</v>
      </c>
      <c r="X23" s="7" t="s">
        <v>73</v>
      </c>
      <c r="Y23" s="7" t="s">
        <v>273</v>
      </c>
      <c r="Z23" s="7" t="s">
        <v>595</v>
      </c>
      <c r="AA23" s="7" t="s">
        <v>73</v>
      </c>
      <c r="AB23" s="7" t="s">
        <v>73</v>
      </c>
      <c r="AC23" s="7" t="s">
        <v>73</v>
      </c>
      <c r="AD23" s="7" t="s">
        <v>73</v>
      </c>
      <c r="AE23" s="7" t="s">
        <v>709</v>
      </c>
    </row>
    <row r="24" spans="1:31" x14ac:dyDescent="0.3">
      <c r="A24" s="5" t="s">
        <v>201</v>
      </c>
      <c r="B24" s="5">
        <v>11138</v>
      </c>
      <c r="C24" s="5" t="s">
        <v>202</v>
      </c>
      <c r="D24" s="5" t="s">
        <v>160</v>
      </c>
      <c r="E24" s="5" t="s">
        <v>96</v>
      </c>
      <c r="F24" s="5" t="s">
        <v>60</v>
      </c>
      <c r="G24" s="5" t="s">
        <v>203</v>
      </c>
      <c r="H24" s="6" t="s">
        <v>62</v>
      </c>
      <c r="I24" s="7" t="s">
        <v>73</v>
      </c>
      <c r="J24" s="7" t="s">
        <v>64</v>
      </c>
      <c r="K24" s="7" t="s">
        <v>73</v>
      </c>
      <c r="L24" s="7" t="s">
        <v>66</v>
      </c>
      <c r="M24" s="7" t="s">
        <v>66</v>
      </c>
      <c r="N24" s="7" t="s">
        <v>68</v>
      </c>
      <c r="O24" s="7" t="s">
        <v>129</v>
      </c>
      <c r="P24" s="7" t="s">
        <v>70</v>
      </c>
      <c r="Q24" s="7" t="s">
        <v>138</v>
      </c>
      <c r="R24" s="7" t="s">
        <v>147</v>
      </c>
      <c r="S24" s="7">
        <v>111</v>
      </c>
      <c r="T24" s="7" t="s">
        <v>73</v>
      </c>
      <c r="U24" s="7">
        <v>0</v>
      </c>
      <c r="V24" s="7"/>
      <c r="W24" s="7"/>
      <c r="X24" s="7"/>
      <c r="Y24" s="7"/>
      <c r="Z24" s="7">
        <v>2023</v>
      </c>
      <c r="AA24" s="7" t="s">
        <v>74</v>
      </c>
      <c r="AB24" s="7" t="str">
        <f>IFERROR(IF(VLOOKUP(D24,Revistas!$A$21:$C$400,3,FALSE)=0,"",VLOOKUP(D24,Revistas!$A$21:$C$400,3,FALSE)),"")</f>
        <v/>
      </c>
      <c r="AC24" s="7" t="s">
        <v>139</v>
      </c>
      <c r="AD24" s="7" t="s">
        <v>73</v>
      </c>
      <c r="AE24" s="7" t="s">
        <v>709</v>
      </c>
    </row>
    <row r="25" spans="1:31" x14ac:dyDescent="0.3">
      <c r="A25" s="5" t="s">
        <v>204</v>
      </c>
      <c r="B25" s="5">
        <v>4</v>
      </c>
      <c r="C25" s="5" t="s">
        <v>205</v>
      </c>
      <c r="D25" s="5" t="s">
        <v>206</v>
      </c>
      <c r="E25" s="5" t="s">
        <v>59</v>
      </c>
      <c r="F25" s="5" t="s">
        <v>60</v>
      </c>
      <c r="G25" s="5" t="s">
        <v>207</v>
      </c>
      <c r="H25" s="6" t="s">
        <v>62</v>
      </c>
      <c r="I25" s="7" t="s">
        <v>208</v>
      </c>
      <c r="J25" s="7" t="s">
        <v>64</v>
      </c>
      <c r="K25" s="7" t="s">
        <v>65</v>
      </c>
      <c r="L25" s="7" t="s">
        <v>209</v>
      </c>
      <c r="M25" s="7" t="s">
        <v>67</v>
      </c>
      <c r="N25" s="7" t="s">
        <v>210</v>
      </c>
      <c r="O25" s="7" t="s">
        <v>69</v>
      </c>
      <c r="P25" s="7" t="s">
        <v>70</v>
      </c>
      <c r="Q25" s="7" t="s">
        <v>138</v>
      </c>
      <c r="R25" s="7" t="s">
        <v>72</v>
      </c>
      <c r="S25" s="7">
        <v>9</v>
      </c>
      <c r="T25" s="7">
        <v>9</v>
      </c>
      <c r="U25" s="7">
        <v>0</v>
      </c>
      <c r="V25" s="7">
        <v>0</v>
      </c>
      <c r="W25" s="7">
        <v>0</v>
      </c>
      <c r="X25" s="7" t="s">
        <v>73</v>
      </c>
      <c r="Y25" s="7" t="s">
        <v>73</v>
      </c>
      <c r="Z25" s="7">
        <v>2025</v>
      </c>
      <c r="AA25" s="7" t="s">
        <v>74</v>
      </c>
      <c r="AB25" s="7" t="s">
        <v>75</v>
      </c>
      <c r="AC25" s="7" t="s">
        <v>211</v>
      </c>
      <c r="AD25" s="7" t="s">
        <v>863</v>
      </c>
      <c r="AE25" s="7" t="s">
        <v>273</v>
      </c>
    </row>
    <row r="26" spans="1:31" x14ac:dyDescent="0.3">
      <c r="A26" s="5" t="s">
        <v>204</v>
      </c>
      <c r="B26" s="5">
        <v>4</v>
      </c>
      <c r="C26" s="5" t="s">
        <v>205</v>
      </c>
      <c r="D26" s="5" t="s">
        <v>206</v>
      </c>
      <c r="E26" s="5" t="s">
        <v>59</v>
      </c>
      <c r="F26" s="5" t="s">
        <v>60</v>
      </c>
      <c r="G26" s="5" t="s">
        <v>207</v>
      </c>
      <c r="H26" s="6" t="s">
        <v>62</v>
      </c>
      <c r="I26" s="7" t="s">
        <v>208</v>
      </c>
      <c r="J26" s="7" t="s">
        <v>212</v>
      </c>
      <c r="K26" s="7" t="s">
        <v>65</v>
      </c>
      <c r="L26" s="7" t="s">
        <v>213</v>
      </c>
      <c r="M26" s="7" t="s">
        <v>67</v>
      </c>
      <c r="N26" s="7" t="s">
        <v>68</v>
      </c>
      <c r="O26" s="7" t="s">
        <v>69</v>
      </c>
      <c r="P26" s="7" t="s">
        <v>70</v>
      </c>
      <c r="Q26" s="7" t="s">
        <v>214</v>
      </c>
      <c r="R26" s="7" t="s">
        <v>72</v>
      </c>
      <c r="S26" s="7">
        <v>2</v>
      </c>
      <c r="T26" s="7">
        <v>2</v>
      </c>
      <c r="U26" s="7">
        <v>0</v>
      </c>
      <c r="V26" s="7">
        <v>2</v>
      </c>
      <c r="W26" s="7">
        <v>0</v>
      </c>
      <c r="X26" s="7" t="s">
        <v>73</v>
      </c>
      <c r="Y26" s="7" t="s">
        <v>73</v>
      </c>
      <c r="Z26" s="7">
        <v>2025</v>
      </c>
      <c r="AA26" s="7" t="s">
        <v>215</v>
      </c>
      <c r="AB26" s="7" t="str">
        <f>IFERROR(IF(VLOOKUP(D26,Revistas!$A$21:$C$400,3,FALSE)=0,"",VLOOKUP(D26,Revistas!$A$21:$C$400,3,FALSE)),"")</f>
        <v>alto</v>
      </c>
      <c r="AC26" s="7" t="s">
        <v>211</v>
      </c>
      <c r="AD26" s="7" t="s">
        <v>863</v>
      </c>
      <c r="AE26" s="7" t="s">
        <v>273</v>
      </c>
    </row>
    <row r="27" spans="1:31" x14ac:dyDescent="0.3">
      <c r="A27" s="5" t="s">
        <v>216</v>
      </c>
      <c r="B27" s="5">
        <v>47</v>
      </c>
      <c r="C27" s="5" t="s">
        <v>217</v>
      </c>
      <c r="D27" s="5" t="s">
        <v>218</v>
      </c>
      <c r="E27" s="5" t="s">
        <v>96</v>
      </c>
      <c r="F27" s="5" t="s">
        <v>60</v>
      </c>
      <c r="G27" s="5" t="s">
        <v>219</v>
      </c>
      <c r="H27" s="6" t="s">
        <v>62</v>
      </c>
      <c r="I27" s="7" t="s">
        <v>220</v>
      </c>
      <c r="J27" s="7" t="s">
        <v>64</v>
      </c>
      <c r="K27" s="7" t="s">
        <v>65</v>
      </c>
      <c r="L27" s="7" t="s">
        <v>213</v>
      </c>
      <c r="M27" s="7" t="s">
        <v>67</v>
      </c>
      <c r="N27" s="7" t="s">
        <v>210</v>
      </c>
      <c r="O27" s="7" t="s">
        <v>69</v>
      </c>
      <c r="P27" s="7" t="s">
        <v>70</v>
      </c>
      <c r="Q27" s="7" t="s">
        <v>138</v>
      </c>
      <c r="R27" s="7" t="s">
        <v>72</v>
      </c>
      <c r="S27" s="7">
        <v>2</v>
      </c>
      <c r="T27" s="7">
        <v>2</v>
      </c>
      <c r="U27" s="7">
        <v>0</v>
      </c>
      <c r="V27" s="7">
        <v>0</v>
      </c>
      <c r="W27" s="7">
        <v>0</v>
      </c>
      <c r="X27" s="7"/>
      <c r="Y27" s="7"/>
      <c r="Z27" s="7">
        <v>2023</v>
      </c>
      <c r="AA27" s="7" t="s">
        <v>74</v>
      </c>
      <c r="AB27" s="7" t="s">
        <v>104</v>
      </c>
      <c r="AC27" s="7" t="s">
        <v>211</v>
      </c>
      <c r="AD27" s="7" t="s">
        <v>862</v>
      </c>
      <c r="AE27" s="7" t="s">
        <v>73</v>
      </c>
    </row>
    <row r="28" spans="1:31" x14ac:dyDescent="0.3">
      <c r="A28" s="5" t="s">
        <v>221</v>
      </c>
      <c r="B28" s="5">
        <v>97</v>
      </c>
      <c r="C28" s="5" t="s">
        <v>222</v>
      </c>
      <c r="D28" s="5" t="s">
        <v>223</v>
      </c>
      <c r="E28" s="5" t="s">
        <v>96</v>
      </c>
      <c r="F28" s="5" t="s">
        <v>60</v>
      </c>
      <c r="G28" s="5" t="s">
        <v>224</v>
      </c>
      <c r="H28" s="6" t="s">
        <v>62</v>
      </c>
      <c r="I28" s="7" t="s">
        <v>225</v>
      </c>
      <c r="J28" s="7" t="s">
        <v>64</v>
      </c>
      <c r="K28" s="7" t="s">
        <v>145</v>
      </c>
      <c r="L28" s="7" t="s">
        <v>209</v>
      </c>
      <c r="M28" s="7" t="s">
        <v>67</v>
      </c>
      <c r="N28" s="7" t="s">
        <v>210</v>
      </c>
      <c r="O28" s="7" t="s">
        <v>69</v>
      </c>
      <c r="P28" s="7" t="s">
        <v>84</v>
      </c>
      <c r="Q28" s="7" t="s">
        <v>138</v>
      </c>
      <c r="R28" s="7" t="s">
        <v>72</v>
      </c>
      <c r="S28" s="7">
        <v>3</v>
      </c>
      <c r="T28" s="7">
        <v>3</v>
      </c>
      <c r="U28" s="7">
        <v>0</v>
      </c>
      <c r="V28" s="7">
        <v>3</v>
      </c>
      <c r="W28" s="7">
        <v>0</v>
      </c>
      <c r="X28" s="7" t="s">
        <v>73</v>
      </c>
      <c r="Y28" s="7" t="s">
        <v>73</v>
      </c>
      <c r="Z28" s="7">
        <v>2023</v>
      </c>
      <c r="AA28" s="7" t="s">
        <v>74</v>
      </c>
      <c r="AB28" s="7" t="s">
        <v>104</v>
      </c>
      <c r="AC28" s="7" t="s">
        <v>139</v>
      </c>
      <c r="AD28" s="7" t="s">
        <v>862</v>
      </c>
      <c r="AE28" s="7" t="s">
        <v>73</v>
      </c>
    </row>
    <row r="29" spans="1:31" x14ac:dyDescent="0.3">
      <c r="A29" s="5" t="s">
        <v>226</v>
      </c>
      <c r="B29" s="5">
        <v>110</v>
      </c>
      <c r="C29" s="5" t="s">
        <v>227</v>
      </c>
      <c r="D29" s="5" t="s">
        <v>228</v>
      </c>
      <c r="E29" s="5" t="s">
        <v>59</v>
      </c>
      <c r="F29" s="5" t="s">
        <v>60</v>
      </c>
      <c r="G29" s="5" t="s">
        <v>229</v>
      </c>
      <c r="H29" s="6" t="s">
        <v>62</v>
      </c>
      <c r="I29" s="7" t="s">
        <v>230</v>
      </c>
      <c r="J29" s="7" t="s">
        <v>64</v>
      </c>
      <c r="K29" s="7" t="s">
        <v>65</v>
      </c>
      <c r="L29" s="7" t="s">
        <v>213</v>
      </c>
      <c r="M29" s="7" t="s">
        <v>67</v>
      </c>
      <c r="N29" s="7" t="s">
        <v>210</v>
      </c>
      <c r="O29" s="7" t="s">
        <v>83</v>
      </c>
      <c r="P29" s="7" t="s">
        <v>70</v>
      </c>
      <c r="Q29" s="7" t="s">
        <v>138</v>
      </c>
      <c r="R29" s="7" t="s">
        <v>72</v>
      </c>
      <c r="S29" s="7">
        <v>2</v>
      </c>
      <c r="T29" s="7">
        <v>1</v>
      </c>
      <c r="U29" s="7">
        <v>0</v>
      </c>
      <c r="V29" s="7">
        <v>1</v>
      </c>
      <c r="W29" s="7">
        <v>0</v>
      </c>
      <c r="X29" s="7"/>
      <c r="Y29" s="7"/>
      <c r="Z29" s="7">
        <v>2025</v>
      </c>
      <c r="AA29" s="7" t="s">
        <v>74</v>
      </c>
      <c r="AB29" s="7" t="s">
        <v>104</v>
      </c>
      <c r="AC29" s="7" t="s">
        <v>231</v>
      </c>
      <c r="AD29" s="7" t="s">
        <v>862</v>
      </c>
      <c r="AE29" s="7" t="s">
        <v>73</v>
      </c>
    </row>
    <row r="30" spans="1:31" x14ac:dyDescent="0.3">
      <c r="A30" s="5" t="s">
        <v>232</v>
      </c>
      <c r="B30" s="5">
        <v>138</v>
      </c>
      <c r="C30" s="5" t="s">
        <v>233</v>
      </c>
      <c r="D30" s="5" t="s">
        <v>234</v>
      </c>
      <c r="E30" s="5" t="s">
        <v>59</v>
      </c>
      <c r="F30" s="5" t="s">
        <v>60</v>
      </c>
      <c r="G30" s="5" t="s">
        <v>235</v>
      </c>
      <c r="H30" s="6" t="s">
        <v>62</v>
      </c>
      <c r="I30" s="7" t="s">
        <v>236</v>
      </c>
      <c r="J30" s="7" t="s">
        <v>64</v>
      </c>
      <c r="K30" s="7" t="s">
        <v>73</v>
      </c>
      <c r="L30" s="7" t="s">
        <v>209</v>
      </c>
      <c r="M30" s="7" t="s">
        <v>67</v>
      </c>
      <c r="N30" s="7" t="s">
        <v>210</v>
      </c>
      <c r="O30" s="7" t="s">
        <v>237</v>
      </c>
      <c r="P30" s="7" t="s">
        <v>70</v>
      </c>
      <c r="Q30" s="7" t="s">
        <v>130</v>
      </c>
      <c r="R30" s="7" t="s">
        <v>72</v>
      </c>
      <c r="S30" s="7">
        <v>178</v>
      </c>
      <c r="T30" s="7" t="s">
        <v>73</v>
      </c>
      <c r="U30" s="7">
        <v>0</v>
      </c>
      <c r="V30" s="7" t="s">
        <v>73</v>
      </c>
      <c r="W30" s="7">
        <v>0</v>
      </c>
      <c r="X30" s="7" t="s">
        <v>73</v>
      </c>
      <c r="Y30" s="7" t="s">
        <v>73</v>
      </c>
      <c r="Z30" s="7">
        <v>2025</v>
      </c>
      <c r="AA30" s="7" t="s">
        <v>74</v>
      </c>
      <c r="AB30" s="7" t="s">
        <v>104</v>
      </c>
      <c r="AC30" s="7" t="s">
        <v>139</v>
      </c>
      <c r="AD30" s="7" t="s">
        <v>862</v>
      </c>
      <c r="AE30" s="7" t="s">
        <v>277</v>
      </c>
    </row>
    <row r="31" spans="1:31" x14ac:dyDescent="0.3">
      <c r="A31" s="5" t="s">
        <v>238</v>
      </c>
      <c r="B31" s="5">
        <v>259</v>
      </c>
      <c r="C31" s="5" t="s">
        <v>239</v>
      </c>
      <c r="D31" s="5" t="s">
        <v>240</v>
      </c>
      <c r="E31" s="5" t="s">
        <v>199</v>
      </c>
      <c r="F31" s="5" t="s">
        <v>60</v>
      </c>
      <c r="G31" s="5" t="s">
        <v>241</v>
      </c>
      <c r="H31" s="6" t="s">
        <v>62</v>
      </c>
      <c r="I31" s="7" t="s">
        <v>242</v>
      </c>
      <c r="J31" s="7" t="s">
        <v>64</v>
      </c>
      <c r="K31" s="7" t="s">
        <v>145</v>
      </c>
      <c r="L31" s="7" t="s">
        <v>209</v>
      </c>
      <c r="M31" s="7" t="s">
        <v>67</v>
      </c>
      <c r="N31" s="7" t="s">
        <v>210</v>
      </c>
      <c r="O31" s="7" t="s">
        <v>129</v>
      </c>
      <c r="P31" s="7" t="s">
        <v>70</v>
      </c>
      <c r="Q31" s="7" t="s">
        <v>138</v>
      </c>
      <c r="R31" s="7" t="s">
        <v>72</v>
      </c>
      <c r="S31" s="7">
        <v>8</v>
      </c>
      <c r="T31" s="7">
        <v>7</v>
      </c>
      <c r="U31" s="7">
        <v>0</v>
      </c>
      <c r="V31" s="7">
        <v>7</v>
      </c>
      <c r="W31" s="7">
        <v>1</v>
      </c>
      <c r="X31" s="7" t="s">
        <v>73</v>
      </c>
      <c r="Y31" s="7" t="s">
        <v>73</v>
      </c>
      <c r="Z31" s="7">
        <v>2020</v>
      </c>
      <c r="AA31" s="7" t="s">
        <v>74</v>
      </c>
      <c r="AB31" s="7" t="s">
        <v>104</v>
      </c>
      <c r="AC31" s="7" t="s">
        <v>243</v>
      </c>
      <c r="AD31" s="7" t="s">
        <v>862</v>
      </c>
      <c r="AE31" s="7" t="s">
        <v>716</v>
      </c>
    </row>
    <row r="32" spans="1:31" x14ac:dyDescent="0.3">
      <c r="A32" s="5" t="s">
        <v>244</v>
      </c>
      <c r="B32" s="5">
        <v>264</v>
      </c>
      <c r="C32" s="5" t="s">
        <v>245</v>
      </c>
      <c r="D32" s="5" t="s">
        <v>246</v>
      </c>
      <c r="E32" s="5" t="s">
        <v>126</v>
      </c>
      <c r="F32" s="5" t="s">
        <v>60</v>
      </c>
      <c r="G32" s="5" t="s">
        <v>247</v>
      </c>
      <c r="H32" s="6" t="s">
        <v>62</v>
      </c>
      <c r="I32" s="7" t="s">
        <v>248</v>
      </c>
      <c r="J32" s="7" t="s">
        <v>64</v>
      </c>
      <c r="K32" s="7" t="s">
        <v>73</v>
      </c>
      <c r="L32" s="7" t="s">
        <v>209</v>
      </c>
      <c r="M32" s="7" t="s">
        <v>67</v>
      </c>
      <c r="N32" s="7" t="s">
        <v>210</v>
      </c>
      <c r="O32" s="7" t="s">
        <v>129</v>
      </c>
      <c r="P32" s="7" t="s">
        <v>70</v>
      </c>
      <c r="Q32" s="7" t="s">
        <v>138</v>
      </c>
      <c r="R32" s="7" t="s">
        <v>72</v>
      </c>
      <c r="S32" s="7">
        <v>19</v>
      </c>
      <c r="T32" s="7">
        <v>19</v>
      </c>
      <c r="U32" s="7">
        <v>0</v>
      </c>
      <c r="V32" s="7" t="s">
        <v>73</v>
      </c>
      <c r="W32" s="7">
        <v>0</v>
      </c>
      <c r="X32" s="7" t="s">
        <v>73</v>
      </c>
      <c r="Y32" s="7" t="s">
        <v>73</v>
      </c>
      <c r="Z32" s="7">
        <v>2021</v>
      </c>
      <c r="AA32" s="7" t="s">
        <v>74</v>
      </c>
      <c r="AB32" s="7" t="s">
        <v>104</v>
      </c>
      <c r="AC32" s="7" t="s">
        <v>139</v>
      </c>
      <c r="AD32" s="7" t="s">
        <v>816</v>
      </c>
      <c r="AE32" s="7" t="s">
        <v>716</v>
      </c>
    </row>
    <row r="33" spans="1:31" x14ac:dyDescent="0.3">
      <c r="A33" s="5" t="s">
        <v>249</v>
      </c>
      <c r="B33" s="5">
        <v>278</v>
      </c>
      <c r="C33" s="5" t="s">
        <v>250</v>
      </c>
      <c r="D33" s="5" t="s">
        <v>251</v>
      </c>
      <c r="E33" s="5" t="s">
        <v>175</v>
      </c>
      <c r="F33" s="5" t="s">
        <v>60</v>
      </c>
      <c r="G33" s="5" t="s">
        <v>252</v>
      </c>
      <c r="H33" s="6" t="s">
        <v>62</v>
      </c>
      <c r="I33" s="7" t="s">
        <v>253</v>
      </c>
      <c r="J33" s="7" t="s">
        <v>64</v>
      </c>
      <c r="K33" s="7" t="s">
        <v>65</v>
      </c>
      <c r="L33" s="7" t="s">
        <v>209</v>
      </c>
      <c r="M33" s="7" t="s">
        <v>67</v>
      </c>
      <c r="N33" s="7" t="s">
        <v>210</v>
      </c>
      <c r="O33" s="7" t="s">
        <v>254</v>
      </c>
      <c r="P33" s="7" t="s">
        <v>70</v>
      </c>
      <c r="Q33" s="7" t="s">
        <v>138</v>
      </c>
      <c r="R33" s="7" t="s">
        <v>72</v>
      </c>
      <c r="S33" s="7">
        <v>4</v>
      </c>
      <c r="T33" s="7">
        <v>0</v>
      </c>
      <c r="U33" s="7">
        <v>0</v>
      </c>
      <c r="V33" s="7">
        <v>0</v>
      </c>
      <c r="W33" s="7">
        <v>4</v>
      </c>
      <c r="X33" s="7"/>
      <c r="Y33" s="7"/>
      <c r="Z33" s="7">
        <v>2024</v>
      </c>
      <c r="AA33" s="7" t="s">
        <v>74</v>
      </c>
      <c r="AB33" s="7" t="s">
        <v>75</v>
      </c>
      <c r="AC33" s="7" t="s">
        <v>255</v>
      </c>
      <c r="AD33" s="7" t="s">
        <v>858</v>
      </c>
      <c r="AE33" s="7" t="s">
        <v>73</v>
      </c>
    </row>
    <row r="34" spans="1:31" x14ac:dyDescent="0.3">
      <c r="A34" s="5" t="s">
        <v>256</v>
      </c>
      <c r="B34" s="5">
        <v>321</v>
      </c>
      <c r="C34" s="5" t="s">
        <v>257</v>
      </c>
      <c r="D34" s="5" t="s">
        <v>258</v>
      </c>
      <c r="E34" s="5" t="s">
        <v>199</v>
      </c>
      <c r="F34" s="5" t="s">
        <v>60</v>
      </c>
      <c r="G34" s="5" t="s">
        <v>259</v>
      </c>
      <c r="H34" s="6" t="s">
        <v>62</v>
      </c>
      <c r="I34" s="7" t="s">
        <v>835</v>
      </c>
      <c r="J34" s="7" t="s">
        <v>64</v>
      </c>
      <c r="K34" s="7" t="s">
        <v>65</v>
      </c>
      <c r="L34" s="7" t="s">
        <v>209</v>
      </c>
      <c r="M34" s="7" t="s">
        <v>67</v>
      </c>
      <c r="N34" s="7" t="s">
        <v>68</v>
      </c>
      <c r="O34" s="7" t="s">
        <v>83</v>
      </c>
      <c r="P34" s="7" t="s">
        <v>84</v>
      </c>
      <c r="Q34" s="7" t="s">
        <v>138</v>
      </c>
      <c r="R34" s="7" t="s">
        <v>72</v>
      </c>
      <c r="S34" s="7">
        <v>4</v>
      </c>
      <c r="T34" s="7">
        <v>4</v>
      </c>
      <c r="U34" s="7">
        <v>0</v>
      </c>
      <c r="V34" s="7" t="s">
        <v>73</v>
      </c>
      <c r="W34" s="7">
        <v>0</v>
      </c>
      <c r="X34" s="7" t="s">
        <v>73</v>
      </c>
      <c r="Y34" s="7" t="s">
        <v>73</v>
      </c>
      <c r="Z34" s="7">
        <v>2020</v>
      </c>
      <c r="AA34" s="7" t="s">
        <v>74</v>
      </c>
      <c r="AB34" s="7" t="s">
        <v>104</v>
      </c>
      <c r="AC34" s="7" t="s">
        <v>171</v>
      </c>
      <c r="AD34" s="7" t="s">
        <v>864</v>
      </c>
      <c r="AE34" s="7" t="s">
        <v>277</v>
      </c>
    </row>
    <row r="35" spans="1:31" x14ac:dyDescent="0.3">
      <c r="A35" s="5" t="s">
        <v>260</v>
      </c>
      <c r="B35" s="5">
        <v>387</v>
      </c>
      <c r="C35" s="5" t="s">
        <v>261</v>
      </c>
      <c r="D35" s="5" t="s">
        <v>262</v>
      </c>
      <c r="E35" s="5" t="s">
        <v>59</v>
      </c>
      <c r="F35" s="5" t="s">
        <v>60</v>
      </c>
      <c r="G35" s="5" t="s">
        <v>263</v>
      </c>
      <c r="H35" s="6" t="s">
        <v>62</v>
      </c>
      <c r="I35" s="7" t="s">
        <v>264</v>
      </c>
      <c r="J35" s="7" t="s">
        <v>64</v>
      </c>
      <c r="K35" s="7" t="s">
        <v>145</v>
      </c>
      <c r="L35" s="7" t="s">
        <v>66</v>
      </c>
      <c r="M35" s="7" t="s">
        <v>67</v>
      </c>
      <c r="N35" s="7" t="s">
        <v>68</v>
      </c>
      <c r="O35" s="7" t="s">
        <v>129</v>
      </c>
      <c r="P35" s="7" t="s">
        <v>84</v>
      </c>
      <c r="Q35" s="7" t="s">
        <v>130</v>
      </c>
      <c r="R35" s="7" t="s">
        <v>72</v>
      </c>
      <c r="S35" s="7">
        <v>10</v>
      </c>
      <c r="T35" s="7" t="s">
        <v>73</v>
      </c>
      <c r="U35" s="7">
        <v>0</v>
      </c>
      <c r="V35" s="7" t="s">
        <v>73</v>
      </c>
      <c r="W35" s="7">
        <v>0</v>
      </c>
      <c r="X35" s="7" t="s">
        <v>73</v>
      </c>
      <c r="Y35" s="7" t="s">
        <v>73</v>
      </c>
      <c r="Z35" s="7">
        <v>2026</v>
      </c>
      <c r="AA35" s="7" t="s">
        <v>74</v>
      </c>
      <c r="AB35" s="7" t="s">
        <v>104</v>
      </c>
      <c r="AC35" s="7" t="s">
        <v>265</v>
      </c>
      <c r="AD35" s="7" t="s">
        <v>865</v>
      </c>
      <c r="AE35" s="7" t="s">
        <v>711</v>
      </c>
    </row>
    <row r="36" spans="1:31" x14ac:dyDescent="0.3">
      <c r="A36" s="5" t="s">
        <v>266</v>
      </c>
      <c r="B36" s="5">
        <v>606</v>
      </c>
      <c r="C36" s="5" t="s">
        <v>267</v>
      </c>
      <c r="D36" s="5" t="s">
        <v>268</v>
      </c>
      <c r="E36" s="5" t="s">
        <v>175</v>
      </c>
      <c r="F36" s="5" t="s">
        <v>60</v>
      </c>
      <c r="G36" s="5" t="s">
        <v>269</v>
      </c>
      <c r="H36" s="6" t="s">
        <v>62</v>
      </c>
      <c r="I36" s="7" t="s">
        <v>270</v>
      </c>
      <c r="J36" s="7" t="s">
        <v>64</v>
      </c>
      <c r="K36" s="7" t="s">
        <v>145</v>
      </c>
      <c r="L36" s="7" t="s">
        <v>271</v>
      </c>
      <c r="M36" s="7" t="s">
        <v>67</v>
      </c>
      <c r="N36" s="7" t="s">
        <v>68</v>
      </c>
      <c r="O36" s="7" t="s">
        <v>129</v>
      </c>
      <c r="P36" s="7" t="s">
        <v>70</v>
      </c>
      <c r="Q36" s="7" t="s">
        <v>272</v>
      </c>
      <c r="R36" s="7" t="s">
        <v>72</v>
      </c>
      <c r="S36" s="7">
        <v>20</v>
      </c>
      <c r="T36" s="7" t="s">
        <v>73</v>
      </c>
      <c r="U36" s="7" t="s">
        <v>273</v>
      </c>
      <c r="V36" s="7" t="s">
        <v>73</v>
      </c>
      <c r="W36" s="7" t="s">
        <v>73</v>
      </c>
      <c r="X36" s="7" t="s">
        <v>73</v>
      </c>
      <c r="Y36" s="7">
        <v>0</v>
      </c>
      <c r="Z36" s="7">
        <v>2024</v>
      </c>
      <c r="AA36" s="7" t="s">
        <v>274</v>
      </c>
      <c r="AB36" s="7" t="str">
        <f>IFERROR(IF(VLOOKUP(D36,[1]Revistas!$A$21:$C$400,3,FALSE)=0,"",VLOOKUP(D36,[1]Revistas!$A$21:$C$400,3,FALSE)),"")</f>
        <v>alto</v>
      </c>
      <c r="AC36" s="7" t="s">
        <v>275</v>
      </c>
      <c r="AD36" s="7" t="s">
        <v>276</v>
      </c>
      <c r="AE36" s="7" t="s">
        <v>277</v>
      </c>
    </row>
    <row r="37" spans="1:31" x14ac:dyDescent="0.3">
      <c r="A37" s="5" t="s">
        <v>266</v>
      </c>
      <c r="B37" s="5">
        <v>606</v>
      </c>
      <c r="C37" s="5" t="s">
        <v>267</v>
      </c>
      <c r="D37" s="5" t="s">
        <v>268</v>
      </c>
      <c r="E37" s="5" t="s">
        <v>175</v>
      </c>
      <c r="F37" s="5" t="s">
        <v>60</v>
      </c>
      <c r="G37" s="5" t="s">
        <v>269</v>
      </c>
      <c r="H37" s="6" t="s">
        <v>62</v>
      </c>
      <c r="I37" s="7" t="s">
        <v>270</v>
      </c>
      <c r="J37" s="7" t="s">
        <v>212</v>
      </c>
      <c r="K37" s="7" t="s">
        <v>145</v>
      </c>
      <c r="L37" s="7" t="s">
        <v>209</v>
      </c>
      <c r="M37" s="7" t="s">
        <v>67</v>
      </c>
      <c r="N37" s="7" t="s">
        <v>68</v>
      </c>
      <c r="O37" s="7" t="s">
        <v>129</v>
      </c>
      <c r="P37" s="7" t="s">
        <v>70</v>
      </c>
      <c r="Q37" s="7" t="s">
        <v>272</v>
      </c>
      <c r="R37" s="7" t="s">
        <v>72</v>
      </c>
      <c r="S37" s="7">
        <v>17</v>
      </c>
      <c r="T37" s="7" t="s">
        <v>73</v>
      </c>
      <c r="U37" s="7" t="s">
        <v>273</v>
      </c>
      <c r="V37" s="7" t="s">
        <v>73</v>
      </c>
      <c r="W37" s="7" t="s">
        <v>73</v>
      </c>
      <c r="X37" s="7" t="s">
        <v>73</v>
      </c>
      <c r="Y37" s="7">
        <v>3</v>
      </c>
      <c r="Z37" s="7">
        <v>2024</v>
      </c>
      <c r="AA37" s="7" t="s">
        <v>274</v>
      </c>
      <c r="AB37" s="7" t="str">
        <f>IFERROR(IF(VLOOKUP(D37,[1]Revistas!$A$21:$C$400,3,FALSE)=0,"",VLOOKUP(D37,[1]Revistas!$A$21:$C$400,3,FALSE)),"")</f>
        <v>alto</v>
      </c>
      <c r="AC37" s="7" t="s">
        <v>275</v>
      </c>
      <c r="AD37" s="7" t="s">
        <v>278</v>
      </c>
      <c r="AE37" s="7" t="s">
        <v>277</v>
      </c>
    </row>
    <row r="38" spans="1:31" x14ac:dyDescent="0.3">
      <c r="A38" s="5" t="s">
        <v>266</v>
      </c>
      <c r="B38" s="5">
        <v>606</v>
      </c>
      <c r="C38" s="5" t="s">
        <v>267</v>
      </c>
      <c r="D38" s="5" t="s">
        <v>268</v>
      </c>
      <c r="E38" s="5" t="s">
        <v>175</v>
      </c>
      <c r="F38" s="5" t="s">
        <v>60</v>
      </c>
      <c r="G38" s="5" t="s">
        <v>269</v>
      </c>
      <c r="H38" s="6" t="s">
        <v>62</v>
      </c>
      <c r="I38" s="7" t="s">
        <v>270</v>
      </c>
      <c r="J38" s="7" t="s">
        <v>279</v>
      </c>
      <c r="K38" s="7" t="s">
        <v>145</v>
      </c>
      <c r="L38" s="7" t="s">
        <v>280</v>
      </c>
      <c r="M38" s="7" t="s">
        <v>67</v>
      </c>
      <c r="N38" s="7" t="s">
        <v>68</v>
      </c>
      <c r="O38" s="7" t="s">
        <v>129</v>
      </c>
      <c r="P38" s="7" t="s">
        <v>70</v>
      </c>
      <c r="Q38" s="7" t="s">
        <v>272</v>
      </c>
      <c r="R38" s="7" t="s">
        <v>72</v>
      </c>
      <c r="S38" s="7">
        <v>11</v>
      </c>
      <c r="T38" s="7" t="s">
        <v>73</v>
      </c>
      <c r="U38" s="7" t="s">
        <v>273</v>
      </c>
      <c r="V38" s="7" t="s">
        <v>73</v>
      </c>
      <c r="W38" s="7" t="s">
        <v>73</v>
      </c>
      <c r="X38" s="7" t="s">
        <v>73</v>
      </c>
      <c r="Y38" s="7">
        <v>3</v>
      </c>
      <c r="Z38" s="7">
        <v>2024</v>
      </c>
      <c r="AA38" s="7" t="s">
        <v>274</v>
      </c>
      <c r="AB38" s="7" t="str">
        <f>IFERROR(IF(VLOOKUP(D38,[1]Revistas!$A$21:$C$400,3,FALSE)=0,"",VLOOKUP(D38,[1]Revistas!$A$21:$C$400,3,FALSE)),"")</f>
        <v>alto</v>
      </c>
      <c r="AC38" s="7" t="s">
        <v>275</v>
      </c>
      <c r="AD38" s="7" t="s">
        <v>281</v>
      </c>
      <c r="AE38" s="7" t="s">
        <v>277</v>
      </c>
    </row>
    <row r="39" spans="1:31" x14ac:dyDescent="0.3">
      <c r="A39" s="5" t="s">
        <v>266</v>
      </c>
      <c r="B39" s="5">
        <v>606</v>
      </c>
      <c r="C39" s="5" t="s">
        <v>267</v>
      </c>
      <c r="D39" s="5" t="s">
        <v>268</v>
      </c>
      <c r="E39" s="5" t="s">
        <v>175</v>
      </c>
      <c r="F39" s="5" t="s">
        <v>60</v>
      </c>
      <c r="G39" s="5" t="s">
        <v>269</v>
      </c>
      <c r="H39" s="6" t="s">
        <v>62</v>
      </c>
      <c r="I39" s="7" t="s">
        <v>270</v>
      </c>
      <c r="J39" s="7" t="s">
        <v>282</v>
      </c>
      <c r="K39" s="7" t="s">
        <v>145</v>
      </c>
      <c r="L39" s="7" t="s">
        <v>213</v>
      </c>
      <c r="M39" s="7" t="s">
        <v>67</v>
      </c>
      <c r="N39" s="7" t="s">
        <v>68</v>
      </c>
      <c r="O39" s="7" t="s">
        <v>129</v>
      </c>
      <c r="P39" s="7" t="s">
        <v>70</v>
      </c>
      <c r="Q39" s="7" t="s">
        <v>272</v>
      </c>
      <c r="R39" s="7" t="s">
        <v>72</v>
      </c>
      <c r="S39" s="7">
        <v>2</v>
      </c>
      <c r="T39" s="7" t="s">
        <v>73</v>
      </c>
      <c r="U39" s="7" t="s">
        <v>273</v>
      </c>
      <c r="V39" s="7" t="s">
        <v>73</v>
      </c>
      <c r="W39" s="7" t="s">
        <v>73</v>
      </c>
      <c r="X39" s="7" t="s">
        <v>73</v>
      </c>
      <c r="Y39" s="7">
        <v>0</v>
      </c>
      <c r="Z39" s="7">
        <v>2024</v>
      </c>
      <c r="AA39" s="7" t="s">
        <v>274</v>
      </c>
      <c r="AB39" s="7" t="str">
        <f>IFERROR(IF(VLOOKUP(D39,[1]Revistas!$A$21:$C$400,3,FALSE)=0,"",VLOOKUP(D39,[1]Revistas!$A$21:$C$400,3,FALSE)),"")</f>
        <v>alto</v>
      </c>
      <c r="AC39" s="7" t="s">
        <v>275</v>
      </c>
      <c r="AD39" s="7" t="s">
        <v>283</v>
      </c>
      <c r="AE39" s="7" t="s">
        <v>277</v>
      </c>
    </row>
    <row r="40" spans="1:31" x14ac:dyDescent="0.3">
      <c r="A40" s="5" t="s">
        <v>284</v>
      </c>
      <c r="B40" s="5">
        <v>687</v>
      </c>
      <c r="C40" s="5" t="s">
        <v>285</v>
      </c>
      <c r="D40" s="5" t="s">
        <v>135</v>
      </c>
      <c r="E40" s="5" t="s">
        <v>80</v>
      </c>
      <c r="F40" s="5" t="s">
        <v>60</v>
      </c>
      <c r="G40" s="5" t="s">
        <v>286</v>
      </c>
      <c r="H40" s="6" t="s">
        <v>62</v>
      </c>
      <c r="I40" s="7" t="s">
        <v>815</v>
      </c>
      <c r="J40" s="7" t="s">
        <v>64</v>
      </c>
      <c r="K40" s="7" t="s">
        <v>145</v>
      </c>
      <c r="L40" s="7" t="s">
        <v>209</v>
      </c>
      <c r="M40" s="7" t="s">
        <v>67</v>
      </c>
      <c r="N40" s="7" t="s">
        <v>68</v>
      </c>
      <c r="O40" s="7" t="s">
        <v>129</v>
      </c>
      <c r="P40" s="7" t="s">
        <v>70</v>
      </c>
      <c r="Q40" s="7" t="s">
        <v>804</v>
      </c>
      <c r="R40" s="7" t="s">
        <v>72</v>
      </c>
      <c r="S40" s="7">
        <v>260</v>
      </c>
      <c r="T40" s="7" t="s">
        <v>73</v>
      </c>
      <c r="U40" s="7" t="s">
        <v>273</v>
      </c>
      <c r="V40" s="7" t="s">
        <v>73</v>
      </c>
      <c r="W40" s="7" t="s">
        <v>73</v>
      </c>
      <c r="X40" s="7" t="s">
        <v>73</v>
      </c>
      <c r="Y40" s="7" t="s">
        <v>273</v>
      </c>
      <c r="Z40" s="7">
        <v>2019</v>
      </c>
      <c r="AA40" s="7" t="s">
        <v>73</v>
      </c>
      <c r="AB40" s="7" t="s">
        <v>104</v>
      </c>
      <c r="AC40" s="7" t="s">
        <v>710</v>
      </c>
      <c r="AD40" s="7" t="s">
        <v>816</v>
      </c>
      <c r="AE40" s="7" t="s">
        <v>711</v>
      </c>
    </row>
    <row r="41" spans="1:31" x14ac:dyDescent="0.3">
      <c r="A41" s="5" t="s">
        <v>287</v>
      </c>
      <c r="B41" s="5">
        <v>708</v>
      </c>
      <c r="C41" s="5" t="s">
        <v>288</v>
      </c>
      <c r="D41" s="5" t="s">
        <v>289</v>
      </c>
      <c r="E41" s="5" t="s">
        <v>126</v>
      </c>
      <c r="F41" s="5" t="s">
        <v>60</v>
      </c>
      <c r="G41" s="5" t="s">
        <v>290</v>
      </c>
      <c r="H41" s="6" t="s">
        <v>62</v>
      </c>
      <c r="I41" s="7" t="s">
        <v>836</v>
      </c>
      <c r="J41" s="7" t="s">
        <v>64</v>
      </c>
      <c r="K41" s="7" t="s">
        <v>145</v>
      </c>
      <c r="L41" s="7" t="s">
        <v>66</v>
      </c>
      <c r="M41" s="7" t="s">
        <v>67</v>
      </c>
      <c r="N41" s="7" t="s">
        <v>68</v>
      </c>
      <c r="O41" s="7" t="s">
        <v>129</v>
      </c>
      <c r="P41" s="7" t="s">
        <v>84</v>
      </c>
      <c r="Q41" s="7" t="s">
        <v>130</v>
      </c>
      <c r="R41" s="7" t="s">
        <v>72</v>
      </c>
      <c r="S41" s="7">
        <v>25</v>
      </c>
      <c r="T41" s="7" t="s">
        <v>73</v>
      </c>
      <c r="U41" s="7">
        <v>0</v>
      </c>
      <c r="V41" s="7" t="s">
        <v>73</v>
      </c>
      <c r="W41" s="7">
        <v>0</v>
      </c>
      <c r="X41" s="7" t="s">
        <v>73</v>
      </c>
      <c r="Y41" s="7" t="s">
        <v>73</v>
      </c>
      <c r="Z41" s="7">
        <v>2021</v>
      </c>
      <c r="AA41" s="7" t="s">
        <v>74</v>
      </c>
      <c r="AB41" s="7" t="s">
        <v>104</v>
      </c>
      <c r="AC41" s="7" t="s">
        <v>265</v>
      </c>
      <c r="AD41" s="7" t="s">
        <v>816</v>
      </c>
      <c r="AE41" s="7" t="s">
        <v>277</v>
      </c>
    </row>
    <row r="42" spans="1:31" x14ac:dyDescent="0.3">
      <c r="A42" s="5" t="s">
        <v>291</v>
      </c>
      <c r="B42" s="5">
        <v>896</v>
      </c>
      <c r="C42" s="5" t="s">
        <v>292</v>
      </c>
      <c r="D42" s="5" t="s">
        <v>293</v>
      </c>
      <c r="E42" s="5" t="s">
        <v>294</v>
      </c>
      <c r="F42" s="5" t="s">
        <v>60</v>
      </c>
      <c r="G42" s="5" t="s">
        <v>295</v>
      </c>
      <c r="H42" s="6" t="s">
        <v>62</v>
      </c>
      <c r="I42" s="7" t="s">
        <v>296</v>
      </c>
      <c r="J42" s="7" t="s">
        <v>64</v>
      </c>
      <c r="K42" s="7" t="s">
        <v>145</v>
      </c>
      <c r="L42" s="7" t="s">
        <v>66</v>
      </c>
      <c r="M42" s="7" t="s">
        <v>67</v>
      </c>
      <c r="N42" s="7" t="s">
        <v>68</v>
      </c>
      <c r="O42" s="7" t="s">
        <v>83</v>
      </c>
      <c r="P42" s="7" t="s">
        <v>84</v>
      </c>
      <c r="Q42" s="7" t="s">
        <v>138</v>
      </c>
      <c r="R42" s="7" t="s">
        <v>72</v>
      </c>
      <c r="S42" s="7">
        <v>9</v>
      </c>
      <c r="T42" s="7">
        <v>6</v>
      </c>
      <c r="U42" s="7">
        <v>0</v>
      </c>
      <c r="V42" s="7" t="s">
        <v>73</v>
      </c>
      <c r="W42" s="7">
        <v>0</v>
      </c>
      <c r="X42" s="7" t="s">
        <v>73</v>
      </c>
      <c r="Y42" s="7" t="s">
        <v>73</v>
      </c>
      <c r="Z42" s="7">
        <v>2018</v>
      </c>
      <c r="AA42" s="7" t="s">
        <v>74</v>
      </c>
      <c r="AB42" s="7" t="s">
        <v>104</v>
      </c>
      <c r="AC42" s="7" t="s">
        <v>171</v>
      </c>
      <c r="AD42" s="7" t="s">
        <v>816</v>
      </c>
      <c r="AE42" s="7" t="s">
        <v>711</v>
      </c>
    </row>
    <row r="43" spans="1:31" x14ac:dyDescent="0.3">
      <c r="A43" s="5" t="s">
        <v>297</v>
      </c>
      <c r="B43" s="5">
        <v>1239</v>
      </c>
      <c r="C43" s="5" t="s">
        <v>298</v>
      </c>
      <c r="D43" s="5" t="s">
        <v>299</v>
      </c>
      <c r="E43" s="5" t="s">
        <v>96</v>
      </c>
      <c r="F43" s="5" t="s">
        <v>60</v>
      </c>
      <c r="G43" s="5" t="s">
        <v>300</v>
      </c>
      <c r="H43" s="6" t="s">
        <v>62</v>
      </c>
      <c r="I43" s="7" t="s">
        <v>301</v>
      </c>
      <c r="J43" s="7" t="s">
        <v>64</v>
      </c>
      <c r="K43" s="7" t="s">
        <v>145</v>
      </c>
      <c r="L43" s="7" t="s">
        <v>66</v>
      </c>
      <c r="M43" s="7" t="s">
        <v>67</v>
      </c>
      <c r="N43" s="7" t="s">
        <v>68</v>
      </c>
      <c r="O43" s="7" t="s">
        <v>129</v>
      </c>
      <c r="P43" s="7" t="s">
        <v>70</v>
      </c>
      <c r="Q43" s="7" t="s">
        <v>138</v>
      </c>
      <c r="R43" s="7" t="s">
        <v>72</v>
      </c>
      <c r="S43" s="7">
        <v>12</v>
      </c>
      <c r="T43" s="7">
        <v>7</v>
      </c>
      <c r="U43" s="7">
        <v>0</v>
      </c>
      <c r="V43" s="7">
        <v>5</v>
      </c>
      <c r="W43" s="7">
        <v>0</v>
      </c>
      <c r="X43" s="7" t="s">
        <v>73</v>
      </c>
      <c r="Y43" s="7" t="s">
        <v>73</v>
      </c>
      <c r="Z43" s="7">
        <v>2023</v>
      </c>
      <c r="AA43" s="7" t="s">
        <v>74</v>
      </c>
      <c r="AB43" s="7" t="s">
        <v>75</v>
      </c>
      <c r="AC43" s="7" t="s">
        <v>211</v>
      </c>
      <c r="AD43" s="7" t="s">
        <v>816</v>
      </c>
      <c r="AE43" s="7" t="s">
        <v>711</v>
      </c>
    </row>
    <row r="44" spans="1:31" x14ac:dyDescent="0.3">
      <c r="A44" s="5" t="s">
        <v>302</v>
      </c>
      <c r="B44" s="5">
        <v>1410</v>
      </c>
      <c r="C44" s="5" t="s">
        <v>303</v>
      </c>
      <c r="D44" s="5" t="s">
        <v>223</v>
      </c>
      <c r="E44" s="5" t="s">
        <v>59</v>
      </c>
      <c r="F44" s="5" t="s">
        <v>60</v>
      </c>
      <c r="G44" s="5" t="s">
        <v>304</v>
      </c>
      <c r="H44" s="6" t="s">
        <v>62</v>
      </c>
      <c r="I44" s="7" t="s">
        <v>837</v>
      </c>
      <c r="J44" s="7" t="s">
        <v>64</v>
      </c>
      <c r="K44" s="7" t="s">
        <v>145</v>
      </c>
      <c r="L44" s="7" t="s">
        <v>66</v>
      </c>
      <c r="M44" s="7" t="s">
        <v>67</v>
      </c>
      <c r="N44" s="7" t="s">
        <v>68</v>
      </c>
      <c r="O44" s="7" t="s">
        <v>129</v>
      </c>
      <c r="P44" s="7" t="s">
        <v>84</v>
      </c>
      <c r="Q44" s="7" t="s">
        <v>130</v>
      </c>
      <c r="R44" s="7" t="s">
        <v>72</v>
      </c>
      <c r="S44" s="7">
        <v>27</v>
      </c>
      <c r="T44" s="7" t="s">
        <v>73</v>
      </c>
      <c r="U44" s="7">
        <v>0</v>
      </c>
      <c r="V44" s="7" t="s">
        <v>73</v>
      </c>
      <c r="W44" s="7">
        <v>0</v>
      </c>
      <c r="X44" s="7" t="s">
        <v>73</v>
      </c>
      <c r="Y44" s="7" t="s">
        <v>73</v>
      </c>
      <c r="Z44" s="7">
        <v>2025</v>
      </c>
      <c r="AA44" s="7" t="s">
        <v>74</v>
      </c>
      <c r="AB44" s="7" t="s">
        <v>104</v>
      </c>
      <c r="AC44" s="7" t="s">
        <v>265</v>
      </c>
      <c r="AD44" s="7" t="s">
        <v>816</v>
      </c>
      <c r="AE44" s="7" t="s">
        <v>711</v>
      </c>
    </row>
    <row r="45" spans="1:31" x14ac:dyDescent="0.3">
      <c r="A45" s="5" t="s">
        <v>305</v>
      </c>
      <c r="B45" s="5">
        <v>2315</v>
      </c>
      <c r="C45" s="5" t="s">
        <v>306</v>
      </c>
      <c r="D45" s="5" t="s">
        <v>307</v>
      </c>
      <c r="E45" s="5" t="s">
        <v>175</v>
      </c>
      <c r="F45" s="5" t="s">
        <v>60</v>
      </c>
      <c r="G45" s="5" t="s">
        <v>308</v>
      </c>
      <c r="H45" s="6" t="s">
        <v>62</v>
      </c>
      <c r="I45" s="7" t="s">
        <v>838</v>
      </c>
      <c r="J45" s="7" t="s">
        <v>64</v>
      </c>
      <c r="K45" s="7" t="s">
        <v>65</v>
      </c>
      <c r="L45" s="7" t="s">
        <v>66</v>
      </c>
      <c r="M45" s="7" t="s">
        <v>67</v>
      </c>
      <c r="N45" s="7" t="s">
        <v>68</v>
      </c>
      <c r="O45" s="7" t="s">
        <v>69</v>
      </c>
      <c r="P45" s="7" t="s">
        <v>70</v>
      </c>
      <c r="Q45" s="7" t="s">
        <v>138</v>
      </c>
      <c r="R45" s="7" t="s">
        <v>72</v>
      </c>
      <c r="S45" s="7">
        <v>2</v>
      </c>
      <c r="T45" s="7">
        <v>2</v>
      </c>
      <c r="U45" s="7">
        <v>0</v>
      </c>
      <c r="V45" s="7">
        <v>1</v>
      </c>
      <c r="W45" s="7">
        <v>0</v>
      </c>
      <c r="X45" s="7"/>
      <c r="Y45" s="7"/>
      <c r="Z45" s="7">
        <v>2024</v>
      </c>
      <c r="AA45" s="7" t="s">
        <v>74</v>
      </c>
      <c r="AB45" s="7" t="s">
        <v>75</v>
      </c>
      <c r="AC45" s="7" t="s">
        <v>309</v>
      </c>
      <c r="AD45" s="7" t="s">
        <v>816</v>
      </c>
      <c r="AE45" s="7" t="s">
        <v>718</v>
      </c>
    </row>
    <row r="46" spans="1:31" x14ac:dyDescent="0.3">
      <c r="A46" s="5" t="s">
        <v>310</v>
      </c>
      <c r="B46" s="5">
        <v>3</v>
      </c>
      <c r="C46" s="5" t="s">
        <v>311</v>
      </c>
      <c r="D46" s="5" t="s">
        <v>142</v>
      </c>
      <c r="E46" s="5" t="s">
        <v>96</v>
      </c>
      <c r="F46" s="5" t="s">
        <v>60</v>
      </c>
      <c r="G46" s="5" t="s">
        <v>312</v>
      </c>
      <c r="H46" s="6" t="s">
        <v>62</v>
      </c>
      <c r="I46" s="7" t="s">
        <v>313</v>
      </c>
      <c r="J46" s="7" t="s">
        <v>64</v>
      </c>
      <c r="K46" s="7" t="s">
        <v>65</v>
      </c>
      <c r="L46" s="7" t="s">
        <v>66</v>
      </c>
      <c r="M46" s="7" t="s">
        <v>67</v>
      </c>
      <c r="N46" s="7" t="s">
        <v>68</v>
      </c>
      <c r="O46" s="7" t="s">
        <v>129</v>
      </c>
      <c r="P46" s="7" t="s">
        <v>70</v>
      </c>
      <c r="Q46" s="7" t="s">
        <v>138</v>
      </c>
      <c r="R46" s="7" t="s">
        <v>72</v>
      </c>
      <c r="S46" s="7">
        <v>15</v>
      </c>
      <c r="T46" s="7">
        <v>13</v>
      </c>
      <c r="U46" s="7">
        <v>0</v>
      </c>
      <c r="V46" s="7" t="s">
        <v>73</v>
      </c>
      <c r="W46" s="7">
        <v>0</v>
      </c>
      <c r="X46" s="7" t="s">
        <v>73</v>
      </c>
      <c r="Y46" s="7" t="s">
        <v>73</v>
      </c>
      <c r="Z46" s="7">
        <v>2023</v>
      </c>
      <c r="AA46" s="7" t="s">
        <v>74</v>
      </c>
      <c r="AB46" s="7" t="s">
        <v>75</v>
      </c>
      <c r="AC46" s="7" t="s">
        <v>314</v>
      </c>
      <c r="AD46" s="7" t="s">
        <v>866</v>
      </c>
      <c r="AE46" s="7" t="s">
        <v>273</v>
      </c>
    </row>
    <row r="47" spans="1:31" x14ac:dyDescent="0.3">
      <c r="A47" s="5" t="s">
        <v>310</v>
      </c>
      <c r="B47" s="5">
        <v>3</v>
      </c>
      <c r="C47" s="5" t="s">
        <v>311</v>
      </c>
      <c r="D47" s="5" t="s">
        <v>142</v>
      </c>
      <c r="E47" s="5" t="s">
        <v>96</v>
      </c>
      <c r="F47" s="5" t="s">
        <v>60</v>
      </c>
      <c r="G47" s="5" t="s">
        <v>312</v>
      </c>
      <c r="H47" s="6" t="s">
        <v>62</v>
      </c>
      <c r="I47" s="7" t="s">
        <v>313</v>
      </c>
      <c r="J47" s="7" t="s">
        <v>212</v>
      </c>
      <c r="K47" s="7" t="s">
        <v>65</v>
      </c>
      <c r="L47" s="7" t="s">
        <v>271</v>
      </c>
      <c r="M47" s="7" t="s">
        <v>67</v>
      </c>
      <c r="N47" s="7" t="s">
        <v>68</v>
      </c>
      <c r="O47" s="7" t="s">
        <v>315</v>
      </c>
      <c r="P47" s="7" t="s">
        <v>70</v>
      </c>
      <c r="Q47" s="7" t="s">
        <v>138</v>
      </c>
      <c r="R47" s="7" t="s">
        <v>72</v>
      </c>
      <c r="S47" s="7">
        <v>5</v>
      </c>
      <c r="T47" s="7">
        <v>4</v>
      </c>
      <c r="U47" s="7">
        <v>3</v>
      </c>
      <c r="V47" s="7">
        <v>1</v>
      </c>
      <c r="W47" s="7">
        <v>1</v>
      </c>
      <c r="X47" s="7" t="s">
        <v>73</v>
      </c>
      <c r="Y47" s="7" t="s">
        <v>73</v>
      </c>
      <c r="Z47" s="7">
        <v>2023</v>
      </c>
      <c r="AA47" s="7" t="s">
        <v>316</v>
      </c>
      <c r="AB47" s="7" t="str">
        <f>IFERROR(IF(VLOOKUP(D47,Revistas!$A$21:$C$400,3,FALSE)=0,"",VLOOKUP(D47,Revistas!$A$21:$C$400,3,FALSE)),"")</f>
        <v>alto</v>
      </c>
      <c r="AC47" s="7" t="s">
        <v>317</v>
      </c>
      <c r="AD47" s="7" t="s">
        <v>866</v>
      </c>
      <c r="AE47" s="7" t="s">
        <v>273</v>
      </c>
    </row>
    <row r="48" spans="1:31" x14ac:dyDescent="0.3">
      <c r="A48" s="5" t="s">
        <v>310</v>
      </c>
      <c r="B48" s="5">
        <v>3</v>
      </c>
      <c r="C48" s="5" t="s">
        <v>311</v>
      </c>
      <c r="D48" s="5" t="s">
        <v>142</v>
      </c>
      <c r="E48" s="5" t="s">
        <v>96</v>
      </c>
      <c r="F48" s="5" t="s">
        <v>60</v>
      </c>
      <c r="G48" s="5" t="s">
        <v>312</v>
      </c>
      <c r="H48" s="6" t="s">
        <v>62</v>
      </c>
      <c r="I48" s="7" t="s">
        <v>313</v>
      </c>
      <c r="J48" s="7" t="s">
        <v>279</v>
      </c>
      <c r="K48" s="7" t="s">
        <v>65</v>
      </c>
      <c r="L48" s="7" t="s">
        <v>209</v>
      </c>
      <c r="M48" s="7" t="s">
        <v>67</v>
      </c>
      <c r="N48" s="7" t="s">
        <v>68</v>
      </c>
      <c r="O48" s="7" t="s">
        <v>315</v>
      </c>
      <c r="P48" s="7" t="s">
        <v>70</v>
      </c>
      <c r="Q48" s="7" t="s">
        <v>138</v>
      </c>
      <c r="R48" s="7" t="s">
        <v>72</v>
      </c>
      <c r="S48" s="7">
        <v>4</v>
      </c>
      <c r="T48" s="7">
        <v>3</v>
      </c>
      <c r="U48" s="7">
        <v>2</v>
      </c>
      <c r="V48" s="7">
        <v>1</v>
      </c>
      <c r="W48" s="7">
        <v>1</v>
      </c>
      <c r="X48" s="7" t="s">
        <v>73</v>
      </c>
      <c r="Y48" s="7" t="s">
        <v>73</v>
      </c>
      <c r="Z48" s="7">
        <v>2023</v>
      </c>
      <c r="AA48" s="7" t="s">
        <v>316</v>
      </c>
      <c r="AB48" s="7" t="str">
        <f>IFERROR(IF(VLOOKUP(D48,Revistas!$A$21:$C$400,3,FALSE)=0,"",VLOOKUP(D48,Revistas!$A$21:$C$400,3,FALSE)),"")</f>
        <v>alto</v>
      </c>
      <c r="AC48" s="7" t="s">
        <v>317</v>
      </c>
      <c r="AD48" s="7" t="s">
        <v>866</v>
      </c>
      <c r="AE48" s="7" t="s">
        <v>273</v>
      </c>
    </row>
    <row r="49" spans="1:31" x14ac:dyDescent="0.3">
      <c r="A49" s="5" t="s">
        <v>310</v>
      </c>
      <c r="B49" s="5">
        <v>3</v>
      </c>
      <c r="C49" s="5" t="s">
        <v>311</v>
      </c>
      <c r="D49" s="5" t="s">
        <v>142</v>
      </c>
      <c r="E49" s="5" t="s">
        <v>96</v>
      </c>
      <c r="F49" s="5" t="s">
        <v>60</v>
      </c>
      <c r="G49" s="5" t="s">
        <v>312</v>
      </c>
      <c r="H49" s="6" t="s">
        <v>62</v>
      </c>
      <c r="I49" s="7" t="s">
        <v>313</v>
      </c>
      <c r="J49" s="7" t="s">
        <v>282</v>
      </c>
      <c r="K49" s="7" t="s">
        <v>65</v>
      </c>
      <c r="L49" s="7" t="s">
        <v>280</v>
      </c>
      <c r="M49" s="7" t="s">
        <v>67</v>
      </c>
      <c r="N49" s="7" t="s">
        <v>68</v>
      </c>
      <c r="O49" s="7" t="s">
        <v>315</v>
      </c>
      <c r="P49" s="7" t="s">
        <v>70</v>
      </c>
      <c r="Q49" s="7" t="s">
        <v>138</v>
      </c>
      <c r="R49" s="7" t="s">
        <v>72</v>
      </c>
      <c r="S49" s="7">
        <v>1</v>
      </c>
      <c r="T49" s="7">
        <v>1</v>
      </c>
      <c r="U49" s="7">
        <v>0</v>
      </c>
      <c r="V49" s="7">
        <v>0</v>
      </c>
      <c r="W49" s="7">
        <v>0</v>
      </c>
      <c r="X49" s="7" t="s">
        <v>73</v>
      </c>
      <c r="Y49" s="7" t="s">
        <v>73</v>
      </c>
      <c r="Z49" s="7">
        <v>2023</v>
      </c>
      <c r="AA49" s="7" t="s">
        <v>316</v>
      </c>
      <c r="AB49" s="7" t="str">
        <f>IFERROR(IF(VLOOKUP(D49,Revistas!$A$21:$C$400,3,FALSE)=0,"",VLOOKUP(D49,Revistas!$A$21:$C$400,3,FALSE)),"")</f>
        <v>alto</v>
      </c>
      <c r="AC49" s="7" t="s">
        <v>317</v>
      </c>
      <c r="AD49" s="7" t="s">
        <v>866</v>
      </c>
      <c r="AE49" s="7" t="s">
        <v>273</v>
      </c>
    </row>
    <row r="50" spans="1:31" x14ac:dyDescent="0.3">
      <c r="A50" s="5" t="s">
        <v>310</v>
      </c>
      <c r="B50" s="5">
        <v>3</v>
      </c>
      <c r="C50" s="5" t="s">
        <v>311</v>
      </c>
      <c r="D50" s="5" t="s">
        <v>142</v>
      </c>
      <c r="E50" s="5" t="s">
        <v>96</v>
      </c>
      <c r="F50" s="5" t="s">
        <v>60</v>
      </c>
      <c r="G50" s="5" t="s">
        <v>312</v>
      </c>
      <c r="H50" s="6" t="s">
        <v>62</v>
      </c>
      <c r="I50" s="7" t="s">
        <v>313</v>
      </c>
      <c r="J50" s="7" t="s">
        <v>318</v>
      </c>
      <c r="K50" s="7" t="s">
        <v>65</v>
      </c>
      <c r="L50" s="7" t="s">
        <v>213</v>
      </c>
      <c r="M50" s="7" t="s">
        <v>67</v>
      </c>
      <c r="N50" s="7" t="s">
        <v>68</v>
      </c>
      <c r="O50" s="7" t="s">
        <v>73</v>
      </c>
      <c r="P50" s="7" t="s">
        <v>73</v>
      </c>
      <c r="Q50" s="7" t="s">
        <v>138</v>
      </c>
      <c r="R50" s="7" t="s">
        <v>72</v>
      </c>
      <c r="S50" s="7">
        <v>1</v>
      </c>
      <c r="T50" s="7">
        <v>0</v>
      </c>
      <c r="U50" s="7">
        <v>0</v>
      </c>
      <c r="V50" s="7">
        <v>0</v>
      </c>
      <c r="W50" s="7">
        <v>0</v>
      </c>
      <c r="X50" s="7" t="s">
        <v>73</v>
      </c>
      <c r="Y50" s="7" t="s">
        <v>73</v>
      </c>
      <c r="Z50" s="7">
        <v>2023</v>
      </c>
      <c r="AA50" s="7" t="s">
        <v>316</v>
      </c>
      <c r="AB50" s="7" t="str">
        <f>IFERROR(IF(VLOOKUP(D50,Revistas!$A$21:$C$400,3,FALSE)=0,"",VLOOKUP(D50,Revistas!$A$21:$C$400,3,FALSE)),"")</f>
        <v>alto</v>
      </c>
      <c r="AC50" s="7" t="s">
        <v>317</v>
      </c>
      <c r="AD50" s="7" t="s">
        <v>866</v>
      </c>
      <c r="AE50" s="7" t="s">
        <v>273</v>
      </c>
    </row>
    <row r="51" spans="1:31" x14ac:dyDescent="0.3">
      <c r="A51" s="5" t="s">
        <v>319</v>
      </c>
      <c r="B51" s="5">
        <v>35</v>
      </c>
      <c r="C51" s="5" t="s">
        <v>320</v>
      </c>
      <c r="D51" s="5" t="s">
        <v>142</v>
      </c>
      <c r="E51" s="5" t="s">
        <v>175</v>
      </c>
      <c r="F51" s="5" t="s">
        <v>60</v>
      </c>
      <c r="G51" s="5" t="s">
        <v>321</v>
      </c>
      <c r="H51" s="6" t="s">
        <v>62</v>
      </c>
      <c r="I51" s="7" t="s">
        <v>839</v>
      </c>
      <c r="J51" s="7" t="s">
        <v>64</v>
      </c>
      <c r="K51" s="7" t="s">
        <v>145</v>
      </c>
      <c r="L51" s="7" t="s">
        <v>209</v>
      </c>
      <c r="M51" s="7" t="s">
        <v>67</v>
      </c>
      <c r="N51" s="7" t="s">
        <v>68</v>
      </c>
      <c r="O51" s="7" t="s">
        <v>69</v>
      </c>
      <c r="P51" s="7" t="s">
        <v>84</v>
      </c>
      <c r="Q51" s="7" t="s">
        <v>138</v>
      </c>
      <c r="R51" s="7" t="s">
        <v>72</v>
      </c>
      <c r="S51" s="7">
        <v>2</v>
      </c>
      <c r="T51" s="7">
        <v>2</v>
      </c>
      <c r="U51" s="7">
        <v>0</v>
      </c>
      <c r="V51" s="7" t="s">
        <v>73</v>
      </c>
      <c r="W51" s="7">
        <v>0</v>
      </c>
      <c r="X51" s="7"/>
      <c r="Y51" s="7"/>
      <c r="Z51" s="7">
        <v>2024</v>
      </c>
      <c r="AA51" s="7" t="s">
        <v>74</v>
      </c>
      <c r="AB51" s="7" t="s">
        <v>75</v>
      </c>
      <c r="AC51" s="7" t="s">
        <v>322</v>
      </c>
      <c r="AD51" s="7" t="s">
        <v>816</v>
      </c>
      <c r="AE51" s="7" t="s">
        <v>277</v>
      </c>
    </row>
    <row r="52" spans="1:31" x14ac:dyDescent="0.3">
      <c r="A52" s="5" t="s">
        <v>323</v>
      </c>
      <c r="B52" s="5">
        <v>64</v>
      </c>
      <c r="C52" s="5" t="s">
        <v>324</v>
      </c>
      <c r="D52" s="5" t="s">
        <v>325</v>
      </c>
      <c r="E52" s="5" t="s">
        <v>59</v>
      </c>
      <c r="F52" s="5" t="s">
        <v>60</v>
      </c>
      <c r="G52" s="5" t="s">
        <v>326</v>
      </c>
      <c r="H52" s="6" t="s">
        <v>62</v>
      </c>
      <c r="I52" s="7" t="s">
        <v>327</v>
      </c>
      <c r="J52" s="7" t="s">
        <v>64</v>
      </c>
      <c r="K52" s="7" t="s">
        <v>145</v>
      </c>
      <c r="L52" s="7" t="s">
        <v>209</v>
      </c>
      <c r="M52" s="7" t="s">
        <v>67</v>
      </c>
      <c r="N52" s="7" t="s">
        <v>68</v>
      </c>
      <c r="O52" s="7" t="s">
        <v>73</v>
      </c>
      <c r="P52" s="7" t="s">
        <v>73</v>
      </c>
      <c r="Q52" s="7" t="s">
        <v>130</v>
      </c>
      <c r="R52" s="7" t="s">
        <v>147</v>
      </c>
      <c r="S52" s="7">
        <v>30</v>
      </c>
      <c r="T52" s="7" t="s">
        <v>73</v>
      </c>
      <c r="U52" s="7">
        <v>0</v>
      </c>
      <c r="V52" s="7"/>
      <c r="W52" s="7"/>
      <c r="X52" s="7"/>
      <c r="Y52" s="7"/>
      <c r="Z52" s="7">
        <v>2025</v>
      </c>
      <c r="AA52" s="7" t="s">
        <v>74</v>
      </c>
      <c r="AB52" s="7" t="str">
        <f>IFERROR(IF(VLOOKUP(D52,Revistas!$A$21:$C$400,3,FALSE)=0,"",VLOOKUP(D52,Revistas!$A$21:$C$400,3,FALSE)),"")</f>
        <v/>
      </c>
      <c r="AC52" s="7" t="s">
        <v>328</v>
      </c>
      <c r="AD52" s="7" t="s">
        <v>818</v>
      </c>
      <c r="AE52" s="7" t="s">
        <v>709</v>
      </c>
    </row>
    <row r="53" spans="1:31" x14ac:dyDescent="0.3">
      <c r="A53" s="5" t="s">
        <v>329</v>
      </c>
      <c r="B53" s="5">
        <v>68</v>
      </c>
      <c r="C53" s="5" t="s">
        <v>330</v>
      </c>
      <c r="D53" s="5" t="s">
        <v>331</v>
      </c>
      <c r="E53" s="5" t="s">
        <v>119</v>
      </c>
      <c r="F53" s="5" t="s">
        <v>60</v>
      </c>
      <c r="G53" s="5" t="s">
        <v>332</v>
      </c>
      <c r="H53" s="6" t="s">
        <v>62</v>
      </c>
      <c r="I53" s="7" t="s">
        <v>333</v>
      </c>
      <c r="J53" s="7" t="s">
        <v>64</v>
      </c>
      <c r="K53" s="7" t="s">
        <v>65</v>
      </c>
      <c r="L53" s="7" t="s">
        <v>209</v>
      </c>
      <c r="M53" s="7" t="s">
        <v>67</v>
      </c>
      <c r="N53" s="7" t="s">
        <v>210</v>
      </c>
      <c r="O53" s="7" t="s">
        <v>83</v>
      </c>
      <c r="P53" s="7" t="s">
        <v>84</v>
      </c>
      <c r="Q53" s="7" t="s">
        <v>138</v>
      </c>
      <c r="R53" s="7" t="s">
        <v>72</v>
      </c>
      <c r="S53" s="7">
        <v>3</v>
      </c>
      <c r="T53" s="7">
        <v>3</v>
      </c>
      <c r="U53" s="7">
        <v>0</v>
      </c>
      <c r="V53" s="7" t="s">
        <v>73</v>
      </c>
      <c r="W53" s="7">
        <v>0</v>
      </c>
      <c r="X53" s="7" t="s">
        <v>73</v>
      </c>
      <c r="Y53" s="7" t="s">
        <v>73</v>
      </c>
      <c r="Z53" s="7">
        <v>2026</v>
      </c>
      <c r="AA53" s="7" t="s">
        <v>74</v>
      </c>
      <c r="AB53" s="7" t="s">
        <v>104</v>
      </c>
      <c r="AC53" s="7" t="s">
        <v>122</v>
      </c>
      <c r="AD53" s="7" t="s">
        <v>818</v>
      </c>
      <c r="AE53" s="7" t="s">
        <v>73</v>
      </c>
    </row>
    <row r="54" spans="1:31" x14ac:dyDescent="0.3">
      <c r="A54" s="5" t="s">
        <v>334</v>
      </c>
      <c r="B54" s="5">
        <v>75</v>
      </c>
      <c r="C54" s="5" t="s">
        <v>335</v>
      </c>
      <c r="D54" s="5" t="s">
        <v>336</v>
      </c>
      <c r="E54" s="5" t="s">
        <v>199</v>
      </c>
      <c r="F54" s="5" t="s">
        <v>60</v>
      </c>
      <c r="G54" s="5" t="s">
        <v>337</v>
      </c>
      <c r="H54" s="6" t="s">
        <v>62</v>
      </c>
      <c r="I54" s="7" t="s">
        <v>338</v>
      </c>
      <c r="J54" s="7" t="s">
        <v>64</v>
      </c>
      <c r="K54" s="7" t="s">
        <v>145</v>
      </c>
      <c r="L54" s="7" t="s">
        <v>209</v>
      </c>
      <c r="M54" s="7" t="s">
        <v>67</v>
      </c>
      <c r="N54" s="7" t="s">
        <v>210</v>
      </c>
      <c r="O54" s="7" t="s">
        <v>254</v>
      </c>
      <c r="P54" s="7" t="s">
        <v>70</v>
      </c>
      <c r="Q54" s="7" t="s">
        <v>138</v>
      </c>
      <c r="R54" s="7" t="s">
        <v>72</v>
      </c>
      <c r="S54" s="7">
        <v>10</v>
      </c>
      <c r="T54" s="7">
        <v>7</v>
      </c>
      <c r="U54" s="7">
        <v>0</v>
      </c>
      <c r="V54" s="7" t="s">
        <v>73</v>
      </c>
      <c r="W54" s="7">
        <v>0</v>
      </c>
      <c r="X54" s="7" t="s">
        <v>73</v>
      </c>
      <c r="Y54" s="7" t="s">
        <v>73</v>
      </c>
      <c r="Z54" s="7">
        <v>2020</v>
      </c>
      <c r="AA54" s="7" t="s">
        <v>74</v>
      </c>
      <c r="AB54" s="7" t="s">
        <v>75</v>
      </c>
      <c r="AC54" s="7" t="s">
        <v>211</v>
      </c>
      <c r="AD54" s="7" t="s">
        <v>818</v>
      </c>
      <c r="AE54" s="7" t="s">
        <v>711</v>
      </c>
    </row>
    <row r="55" spans="1:31" x14ac:dyDescent="0.3">
      <c r="A55" s="5" t="s">
        <v>339</v>
      </c>
      <c r="B55" s="5">
        <v>95</v>
      </c>
      <c r="C55" s="5" t="s">
        <v>340</v>
      </c>
      <c r="D55" s="5" t="s">
        <v>135</v>
      </c>
      <c r="E55" s="5" t="s">
        <v>126</v>
      </c>
      <c r="F55" s="5" t="s">
        <v>60</v>
      </c>
      <c r="G55" s="5" t="s">
        <v>341</v>
      </c>
      <c r="H55" s="6" t="s">
        <v>62</v>
      </c>
      <c r="I55" s="7" t="s">
        <v>342</v>
      </c>
      <c r="J55" s="7" t="s">
        <v>64</v>
      </c>
      <c r="K55" s="7" t="s">
        <v>65</v>
      </c>
      <c r="L55" s="7" t="s">
        <v>66</v>
      </c>
      <c r="M55" s="7" t="s">
        <v>67</v>
      </c>
      <c r="N55" s="7" t="s">
        <v>68</v>
      </c>
      <c r="O55" s="7" t="s">
        <v>129</v>
      </c>
      <c r="P55" s="7" t="s">
        <v>84</v>
      </c>
      <c r="Q55" s="7" t="s">
        <v>138</v>
      </c>
      <c r="R55" s="7" t="s">
        <v>72</v>
      </c>
      <c r="S55" s="7">
        <v>3</v>
      </c>
      <c r="T55" s="7">
        <v>0</v>
      </c>
      <c r="U55" s="7">
        <v>0</v>
      </c>
      <c r="V55" s="7" t="s">
        <v>73</v>
      </c>
      <c r="W55" s="7">
        <v>0</v>
      </c>
      <c r="X55" s="7" t="s">
        <v>73</v>
      </c>
      <c r="Y55" s="7" t="s">
        <v>73</v>
      </c>
      <c r="Z55" s="7">
        <v>2021</v>
      </c>
      <c r="AA55" s="7" t="s">
        <v>74</v>
      </c>
      <c r="AB55" s="7" t="s">
        <v>104</v>
      </c>
      <c r="AC55" s="7" t="s">
        <v>171</v>
      </c>
      <c r="AD55" s="7" t="s">
        <v>818</v>
      </c>
      <c r="AE55" s="7" t="s">
        <v>277</v>
      </c>
    </row>
    <row r="56" spans="1:31" x14ac:dyDescent="0.3">
      <c r="A56" s="5" t="s">
        <v>343</v>
      </c>
      <c r="B56" s="5">
        <v>130</v>
      </c>
      <c r="C56" s="5" t="s">
        <v>344</v>
      </c>
      <c r="D56" s="5" t="s">
        <v>345</v>
      </c>
      <c r="E56" s="5" t="s">
        <v>175</v>
      </c>
      <c r="F56" s="5" t="s">
        <v>60</v>
      </c>
      <c r="G56" s="5" t="s">
        <v>346</v>
      </c>
      <c r="H56" s="6" t="s">
        <v>62</v>
      </c>
      <c r="I56" s="7" t="s">
        <v>347</v>
      </c>
      <c r="J56" s="7" t="s">
        <v>64</v>
      </c>
      <c r="K56" s="7" t="s">
        <v>145</v>
      </c>
      <c r="L56" s="7" t="s">
        <v>66</v>
      </c>
      <c r="M56" s="7" t="s">
        <v>67</v>
      </c>
      <c r="N56" s="7" t="s">
        <v>68</v>
      </c>
      <c r="O56" s="7" t="s">
        <v>129</v>
      </c>
      <c r="P56" s="7" t="s">
        <v>70</v>
      </c>
      <c r="Q56" s="7" t="s">
        <v>138</v>
      </c>
      <c r="R56" s="7" t="s">
        <v>72</v>
      </c>
      <c r="S56" s="7">
        <v>26</v>
      </c>
      <c r="T56" s="7">
        <v>18</v>
      </c>
      <c r="U56" s="7">
        <v>0</v>
      </c>
      <c r="V56" s="7" t="s">
        <v>73</v>
      </c>
      <c r="W56" s="7">
        <v>0</v>
      </c>
      <c r="X56" s="7" t="s">
        <v>73</v>
      </c>
      <c r="Y56" s="7" t="s">
        <v>73</v>
      </c>
      <c r="Z56" s="7">
        <v>2024</v>
      </c>
      <c r="AA56" s="7" t="s">
        <v>74</v>
      </c>
      <c r="AB56" s="7" t="s">
        <v>75</v>
      </c>
      <c r="AC56" s="7" t="s">
        <v>348</v>
      </c>
      <c r="AD56" s="7" t="s">
        <v>818</v>
      </c>
      <c r="AE56" s="7" t="s">
        <v>711</v>
      </c>
    </row>
    <row r="57" spans="1:31" x14ac:dyDescent="0.3">
      <c r="A57" s="5" t="s">
        <v>349</v>
      </c>
      <c r="B57" s="5">
        <v>151</v>
      </c>
      <c r="C57" s="5" t="s">
        <v>350</v>
      </c>
      <c r="D57" s="5" t="s">
        <v>351</v>
      </c>
      <c r="E57" s="5" t="s">
        <v>352</v>
      </c>
      <c r="F57" s="5" t="s">
        <v>60</v>
      </c>
      <c r="G57" s="5" t="s">
        <v>353</v>
      </c>
      <c r="H57" s="6" t="s">
        <v>62</v>
      </c>
      <c r="I57" s="7" t="s">
        <v>354</v>
      </c>
      <c r="J57" s="7" t="s">
        <v>64</v>
      </c>
      <c r="K57" s="7" t="s">
        <v>145</v>
      </c>
      <c r="L57" s="7" t="s">
        <v>66</v>
      </c>
      <c r="M57" s="7" t="s">
        <v>67</v>
      </c>
      <c r="N57" s="7" t="s">
        <v>68</v>
      </c>
      <c r="O57" s="7" t="s">
        <v>237</v>
      </c>
      <c r="P57" s="7" t="s">
        <v>170</v>
      </c>
      <c r="Q57" s="7" t="s">
        <v>138</v>
      </c>
      <c r="R57" s="7" t="s">
        <v>147</v>
      </c>
      <c r="S57" s="7">
        <v>42</v>
      </c>
      <c r="T57" s="7" t="s">
        <v>73</v>
      </c>
      <c r="U57" s="7">
        <v>0</v>
      </c>
      <c r="V57" s="7"/>
      <c r="W57" s="7"/>
      <c r="X57" s="7"/>
      <c r="Y57" s="7"/>
      <c r="Z57" s="7">
        <v>2017</v>
      </c>
      <c r="AA57" s="7" t="s">
        <v>74</v>
      </c>
      <c r="AB57" s="7" t="str">
        <f>IFERROR(IF(VLOOKUP(D57,Revistas!$A$21:$C$400,3,FALSE)=0,"",VLOOKUP(D57,Revistas!$A$21:$C$400,3,FALSE)),"")</f>
        <v/>
      </c>
      <c r="AC57" s="7" t="s">
        <v>139</v>
      </c>
      <c r="AD57" s="7" t="s">
        <v>818</v>
      </c>
      <c r="AE57" s="7" t="s">
        <v>709</v>
      </c>
    </row>
    <row r="58" spans="1:31" x14ac:dyDescent="0.3">
      <c r="A58" s="5" t="s">
        <v>355</v>
      </c>
      <c r="B58" s="5">
        <v>156</v>
      </c>
      <c r="C58" s="5" t="s">
        <v>356</v>
      </c>
      <c r="D58" s="5" t="s">
        <v>357</v>
      </c>
      <c r="E58" s="5" t="s">
        <v>80</v>
      </c>
      <c r="F58" s="5" t="s">
        <v>60</v>
      </c>
      <c r="G58" s="5" t="s">
        <v>358</v>
      </c>
      <c r="H58" s="6" t="s">
        <v>62</v>
      </c>
      <c r="I58" s="7" t="s">
        <v>359</v>
      </c>
      <c r="J58" s="7" t="s">
        <v>64</v>
      </c>
      <c r="K58" s="7" t="s">
        <v>65</v>
      </c>
      <c r="L58" s="7" t="s">
        <v>209</v>
      </c>
      <c r="M58" s="7" t="s">
        <v>67</v>
      </c>
      <c r="N58" s="7" t="s">
        <v>210</v>
      </c>
      <c r="O58" s="7" t="s">
        <v>254</v>
      </c>
      <c r="P58" s="7" t="s">
        <v>70</v>
      </c>
      <c r="Q58" s="7" t="s">
        <v>138</v>
      </c>
      <c r="R58" s="7" t="s">
        <v>72</v>
      </c>
      <c r="S58" s="7">
        <v>3</v>
      </c>
      <c r="T58" s="7">
        <v>2</v>
      </c>
      <c r="U58" s="7">
        <v>0</v>
      </c>
      <c r="V58" s="7" t="s">
        <v>73</v>
      </c>
      <c r="W58" s="7">
        <v>1</v>
      </c>
      <c r="X58" s="7" t="s">
        <v>73</v>
      </c>
      <c r="Y58" s="7" t="s">
        <v>73</v>
      </c>
      <c r="Z58" s="7">
        <v>2019</v>
      </c>
      <c r="AA58" s="7" t="s">
        <v>74</v>
      </c>
      <c r="AB58" s="7" t="s">
        <v>75</v>
      </c>
      <c r="AC58" s="7" t="s">
        <v>211</v>
      </c>
      <c r="AD58" s="7" t="s">
        <v>818</v>
      </c>
      <c r="AE58" s="7" t="s">
        <v>277</v>
      </c>
    </row>
    <row r="59" spans="1:31" x14ac:dyDescent="0.3">
      <c r="A59" s="5" t="s">
        <v>360</v>
      </c>
      <c r="B59" s="5">
        <v>220</v>
      </c>
      <c r="C59" s="5" t="s">
        <v>361</v>
      </c>
      <c r="D59" s="5" t="s">
        <v>362</v>
      </c>
      <c r="E59" s="5" t="s">
        <v>96</v>
      </c>
      <c r="F59" s="5" t="s">
        <v>60</v>
      </c>
      <c r="G59" s="5" t="s">
        <v>363</v>
      </c>
      <c r="H59" s="6" t="s">
        <v>62</v>
      </c>
      <c r="I59" s="7" t="s">
        <v>313</v>
      </c>
      <c r="J59" s="7" t="s">
        <v>64</v>
      </c>
      <c r="K59" s="7" t="s">
        <v>145</v>
      </c>
      <c r="L59" s="7" t="s">
        <v>209</v>
      </c>
      <c r="M59" s="7" t="s">
        <v>67</v>
      </c>
      <c r="N59" s="7" t="s">
        <v>210</v>
      </c>
      <c r="O59" s="7" t="s">
        <v>129</v>
      </c>
      <c r="P59" s="7" t="s">
        <v>70</v>
      </c>
      <c r="Q59" s="7" t="s">
        <v>138</v>
      </c>
      <c r="R59" s="7" t="s">
        <v>72</v>
      </c>
      <c r="S59" s="7">
        <v>18</v>
      </c>
      <c r="T59" s="7">
        <v>14</v>
      </c>
      <c r="U59" s="7">
        <v>0</v>
      </c>
      <c r="V59" s="7" t="s">
        <v>73</v>
      </c>
      <c r="W59" s="7">
        <v>0</v>
      </c>
      <c r="X59" s="7" t="s">
        <v>73</v>
      </c>
      <c r="Y59" s="7" t="s">
        <v>73</v>
      </c>
      <c r="Z59" s="7">
        <v>2023</v>
      </c>
      <c r="AA59" s="7" t="s">
        <v>74</v>
      </c>
      <c r="AB59" s="7" t="s">
        <v>75</v>
      </c>
      <c r="AC59" s="7" t="s">
        <v>76</v>
      </c>
      <c r="AD59" s="7" t="s">
        <v>818</v>
      </c>
      <c r="AE59" s="7" t="s">
        <v>711</v>
      </c>
    </row>
    <row r="60" spans="1:31" x14ac:dyDescent="0.3">
      <c r="A60" s="5" t="s">
        <v>364</v>
      </c>
      <c r="B60" s="5">
        <v>253</v>
      </c>
      <c r="C60" s="5" t="s">
        <v>365</v>
      </c>
      <c r="D60" s="5" t="s">
        <v>181</v>
      </c>
      <c r="E60" s="5" t="s">
        <v>80</v>
      </c>
      <c r="F60" s="5" t="s">
        <v>60</v>
      </c>
      <c r="G60" s="5" t="s">
        <v>366</v>
      </c>
      <c r="H60" s="6" t="s">
        <v>62</v>
      </c>
      <c r="I60" s="7" t="s">
        <v>157</v>
      </c>
      <c r="J60" s="7" t="s">
        <v>64</v>
      </c>
      <c r="K60" s="7" t="s">
        <v>145</v>
      </c>
      <c r="L60" s="7" t="s">
        <v>66</v>
      </c>
      <c r="M60" s="7" t="s">
        <v>67</v>
      </c>
      <c r="N60" s="7" t="s">
        <v>68</v>
      </c>
      <c r="O60" s="7" t="s">
        <v>146</v>
      </c>
      <c r="P60" s="7" t="s">
        <v>170</v>
      </c>
      <c r="Q60" s="7" t="s">
        <v>138</v>
      </c>
      <c r="R60" s="7" t="s">
        <v>147</v>
      </c>
      <c r="S60" s="7">
        <v>20</v>
      </c>
      <c r="T60" s="7" t="s">
        <v>73</v>
      </c>
      <c r="U60" s="7">
        <v>0</v>
      </c>
      <c r="V60" s="7"/>
      <c r="W60" s="7"/>
      <c r="X60" s="7"/>
      <c r="Y60" s="7"/>
      <c r="Z60" s="7">
        <v>2019</v>
      </c>
      <c r="AA60" s="7" t="s">
        <v>74</v>
      </c>
      <c r="AB60" s="7" t="str">
        <f>IFERROR(IF(VLOOKUP(D60,Revistas!$A$21:$C$400,3,FALSE)=0,"",VLOOKUP(D60,Revistas!$A$21:$C$400,3,FALSE)),"")</f>
        <v/>
      </c>
      <c r="AC60" s="7" t="s">
        <v>122</v>
      </c>
      <c r="AD60" s="7" t="s">
        <v>867</v>
      </c>
      <c r="AE60" s="7" t="s">
        <v>709</v>
      </c>
    </row>
    <row r="61" spans="1:31" x14ac:dyDescent="0.3">
      <c r="A61" s="5" t="s">
        <v>367</v>
      </c>
      <c r="B61" s="5">
        <v>274</v>
      </c>
      <c r="C61" s="5" t="s">
        <v>368</v>
      </c>
      <c r="D61" s="5" t="s">
        <v>299</v>
      </c>
      <c r="E61" s="5" t="s">
        <v>96</v>
      </c>
      <c r="F61" s="5" t="s">
        <v>60</v>
      </c>
      <c r="G61" s="5" t="s">
        <v>369</v>
      </c>
      <c r="H61" s="6" t="s">
        <v>62</v>
      </c>
      <c r="I61" s="7" t="s">
        <v>370</v>
      </c>
      <c r="J61" s="7" t="s">
        <v>64</v>
      </c>
      <c r="K61" s="7" t="s">
        <v>73</v>
      </c>
      <c r="L61" s="7" t="s">
        <v>66</v>
      </c>
      <c r="M61" s="7" t="s">
        <v>67</v>
      </c>
      <c r="N61" s="7" t="s">
        <v>68</v>
      </c>
      <c r="O61" s="7" t="s">
        <v>83</v>
      </c>
      <c r="P61" s="7" t="s">
        <v>70</v>
      </c>
      <c r="Q61" s="7" t="s">
        <v>138</v>
      </c>
      <c r="R61" s="7" t="s">
        <v>72</v>
      </c>
      <c r="S61" s="7">
        <v>10</v>
      </c>
      <c r="T61" s="7">
        <v>10</v>
      </c>
      <c r="U61" s="7">
        <v>0</v>
      </c>
      <c r="V61" s="7" t="s">
        <v>73</v>
      </c>
      <c r="W61" s="7">
        <v>0</v>
      </c>
      <c r="X61" s="7" t="s">
        <v>73</v>
      </c>
      <c r="Y61" s="7" t="s">
        <v>73</v>
      </c>
      <c r="Z61" s="7">
        <v>2023</v>
      </c>
      <c r="AA61" s="7" t="s">
        <v>74</v>
      </c>
      <c r="AB61" s="7" t="s">
        <v>75</v>
      </c>
      <c r="AC61" s="7" t="s">
        <v>211</v>
      </c>
      <c r="AD61" s="7" t="s">
        <v>818</v>
      </c>
      <c r="AE61" s="7" t="s">
        <v>711</v>
      </c>
    </row>
    <row r="62" spans="1:31" x14ac:dyDescent="0.3">
      <c r="A62" s="5" t="s">
        <v>371</v>
      </c>
      <c r="B62" s="5">
        <v>443</v>
      </c>
      <c r="C62" s="5" t="s">
        <v>372</v>
      </c>
      <c r="D62" s="5" t="s">
        <v>223</v>
      </c>
      <c r="E62" s="5" t="s">
        <v>126</v>
      </c>
      <c r="F62" s="5" t="s">
        <v>60</v>
      </c>
      <c r="G62" s="5" t="s">
        <v>373</v>
      </c>
      <c r="H62" s="6" t="s">
        <v>62</v>
      </c>
      <c r="I62" s="7" t="s">
        <v>374</v>
      </c>
      <c r="J62" s="7" t="s">
        <v>64</v>
      </c>
      <c r="K62" s="7" t="s">
        <v>145</v>
      </c>
      <c r="L62" s="7" t="s">
        <v>209</v>
      </c>
      <c r="M62" s="7" t="s">
        <v>67</v>
      </c>
      <c r="N62" s="7" t="s">
        <v>210</v>
      </c>
      <c r="O62" s="7" t="s">
        <v>83</v>
      </c>
      <c r="P62" s="7" t="s">
        <v>84</v>
      </c>
      <c r="Q62" s="7" t="s">
        <v>130</v>
      </c>
      <c r="R62" s="7" t="s">
        <v>72</v>
      </c>
      <c r="S62" s="7">
        <v>15</v>
      </c>
      <c r="T62" s="7" t="s">
        <v>73</v>
      </c>
      <c r="U62" s="7">
        <v>0</v>
      </c>
      <c r="V62" s="7" t="s">
        <v>73</v>
      </c>
      <c r="W62" s="7">
        <v>0</v>
      </c>
      <c r="X62" s="7" t="s">
        <v>73</v>
      </c>
      <c r="Y62" s="7" t="s">
        <v>73</v>
      </c>
      <c r="Z62" s="7">
        <v>2021</v>
      </c>
      <c r="AA62" s="7" t="s">
        <v>74</v>
      </c>
      <c r="AB62" s="7" t="s">
        <v>104</v>
      </c>
      <c r="AC62" s="7" t="s">
        <v>265</v>
      </c>
      <c r="AD62" s="7" t="s">
        <v>818</v>
      </c>
      <c r="AE62" s="7" t="s">
        <v>720</v>
      </c>
    </row>
    <row r="63" spans="1:31" x14ac:dyDescent="0.3">
      <c r="A63" s="5" t="s">
        <v>375</v>
      </c>
      <c r="B63" s="5">
        <v>451</v>
      </c>
      <c r="C63" s="5" t="s">
        <v>376</v>
      </c>
      <c r="D63" s="5" t="s">
        <v>377</v>
      </c>
      <c r="E63" s="5" t="s">
        <v>89</v>
      </c>
      <c r="F63" s="5" t="s">
        <v>60</v>
      </c>
      <c r="G63" s="5" t="s">
        <v>378</v>
      </c>
      <c r="H63" s="6" t="s">
        <v>62</v>
      </c>
      <c r="I63" s="7" t="s">
        <v>379</v>
      </c>
      <c r="J63" s="7" t="s">
        <v>64</v>
      </c>
      <c r="K63" s="7" t="s">
        <v>73</v>
      </c>
      <c r="L63" s="7" t="s">
        <v>66</v>
      </c>
      <c r="M63" s="7" t="s">
        <v>67</v>
      </c>
      <c r="N63" s="7" t="s">
        <v>380</v>
      </c>
      <c r="O63" s="7" t="s">
        <v>315</v>
      </c>
      <c r="P63" s="7" t="s">
        <v>70</v>
      </c>
      <c r="Q63" s="7" t="s">
        <v>138</v>
      </c>
      <c r="R63" s="7" t="s">
        <v>147</v>
      </c>
      <c r="S63" s="7" t="s">
        <v>73</v>
      </c>
      <c r="T63" s="7" t="s">
        <v>73</v>
      </c>
      <c r="U63" s="7">
        <v>0</v>
      </c>
      <c r="V63" s="7"/>
      <c r="W63" s="7"/>
      <c r="X63" s="7"/>
      <c r="Y63" s="7"/>
      <c r="Z63" s="7">
        <v>2022</v>
      </c>
      <c r="AA63" s="7" t="s">
        <v>74</v>
      </c>
      <c r="AB63" s="7" t="str">
        <f>IFERROR(IF(VLOOKUP(D63,Revistas!$A$21:$C$400,3,FALSE)=0,"",VLOOKUP(D63,Revistas!$A$21:$C$400,3,FALSE)),"")</f>
        <v/>
      </c>
      <c r="AC63" s="7" t="s">
        <v>243</v>
      </c>
      <c r="AD63" s="7" t="s">
        <v>867</v>
      </c>
      <c r="AE63" s="7" t="s">
        <v>709</v>
      </c>
    </row>
    <row r="64" spans="1:31" x14ac:dyDescent="0.3">
      <c r="A64" s="5" t="s">
        <v>381</v>
      </c>
      <c r="B64" s="5">
        <v>666</v>
      </c>
      <c r="C64" s="5" t="s">
        <v>382</v>
      </c>
      <c r="D64" s="5" t="s">
        <v>383</v>
      </c>
      <c r="E64" s="5" t="s">
        <v>352</v>
      </c>
      <c r="F64" s="5" t="s">
        <v>60</v>
      </c>
      <c r="G64" s="5" t="s">
        <v>384</v>
      </c>
      <c r="H64" s="6" t="s">
        <v>62</v>
      </c>
      <c r="I64" s="7" t="s">
        <v>840</v>
      </c>
      <c r="J64" s="7" t="s">
        <v>64</v>
      </c>
      <c r="K64" s="7" t="s">
        <v>73</v>
      </c>
      <c r="L64" s="7" t="s">
        <v>66</v>
      </c>
      <c r="M64" s="7" t="s">
        <v>67</v>
      </c>
      <c r="N64" s="7" t="s">
        <v>68</v>
      </c>
      <c r="O64" s="7" t="s">
        <v>129</v>
      </c>
      <c r="P64" s="7" t="s">
        <v>170</v>
      </c>
      <c r="Q64" s="7" t="s">
        <v>138</v>
      </c>
      <c r="R64" s="7" t="s">
        <v>147</v>
      </c>
      <c r="S64" s="7">
        <v>62</v>
      </c>
      <c r="T64" s="7" t="s">
        <v>73</v>
      </c>
      <c r="U64" s="7">
        <v>0</v>
      </c>
      <c r="V64" s="7"/>
      <c r="W64" s="7"/>
      <c r="X64" s="7"/>
      <c r="Y64" s="7"/>
      <c r="Z64" s="7">
        <v>2017</v>
      </c>
      <c r="AA64" s="7" t="s">
        <v>74</v>
      </c>
      <c r="AB64" s="7" t="str">
        <f>IFERROR(IF(VLOOKUP(D64,Revistas!$A$21:$C$400,3,FALSE)=0,"",VLOOKUP(D64,Revistas!$A$21:$C$400,3,FALSE)),"")</f>
        <v/>
      </c>
      <c r="AC64" s="7" t="s">
        <v>265</v>
      </c>
      <c r="AD64" s="7" t="s">
        <v>867</v>
      </c>
      <c r="AE64" s="7" t="s">
        <v>709</v>
      </c>
    </row>
    <row r="65" spans="1:31" x14ac:dyDescent="0.3">
      <c r="A65" s="5" t="s">
        <v>385</v>
      </c>
      <c r="B65" s="5">
        <v>890</v>
      </c>
      <c r="C65" s="5" t="s">
        <v>386</v>
      </c>
      <c r="D65" s="5" t="s">
        <v>387</v>
      </c>
      <c r="E65" s="5" t="s">
        <v>190</v>
      </c>
      <c r="F65" s="5" t="s">
        <v>155</v>
      </c>
      <c r="G65" s="5" t="s">
        <v>388</v>
      </c>
      <c r="H65" s="6" t="s">
        <v>62</v>
      </c>
      <c r="I65" s="7" t="s">
        <v>73</v>
      </c>
      <c r="J65" s="7" t="s">
        <v>64</v>
      </c>
      <c r="K65" s="7" t="s">
        <v>73</v>
      </c>
      <c r="L65" s="7" t="s">
        <v>66</v>
      </c>
      <c r="M65" s="7" t="s">
        <v>66</v>
      </c>
      <c r="N65" s="7" t="s">
        <v>68</v>
      </c>
      <c r="O65" s="7" t="s">
        <v>169</v>
      </c>
      <c r="P65" s="7" t="s">
        <v>170</v>
      </c>
      <c r="Q65" s="7" t="s">
        <v>138</v>
      </c>
      <c r="R65" s="7" t="s">
        <v>147</v>
      </c>
      <c r="S65" s="7">
        <v>9</v>
      </c>
      <c r="T65" s="7" t="s">
        <v>73</v>
      </c>
      <c r="U65" s="7">
        <v>0</v>
      </c>
      <c r="V65" s="7"/>
      <c r="W65" s="7"/>
      <c r="X65" s="7"/>
      <c r="Y65" s="7"/>
      <c r="Z65" s="7">
        <v>2018</v>
      </c>
      <c r="AA65" s="7" t="s">
        <v>74</v>
      </c>
      <c r="AB65" s="7" t="str">
        <f>IFERROR(IF(VLOOKUP(D65,Revistas!$A$21:$C$400,3,FALSE)=0,"",VLOOKUP(D65,Revistas!$A$21:$C$400,3,FALSE)),"")</f>
        <v/>
      </c>
      <c r="AC65" s="7" t="s">
        <v>389</v>
      </c>
      <c r="AD65" s="7" t="s">
        <v>73</v>
      </c>
      <c r="AE65" s="7" t="s">
        <v>709</v>
      </c>
    </row>
    <row r="66" spans="1:31" x14ac:dyDescent="0.3">
      <c r="A66" s="5" t="s">
        <v>390</v>
      </c>
      <c r="B66" s="5">
        <v>2083</v>
      </c>
      <c r="C66" s="5" t="s">
        <v>391</v>
      </c>
      <c r="D66" s="5" t="s">
        <v>135</v>
      </c>
      <c r="E66" s="5" t="s">
        <v>80</v>
      </c>
      <c r="F66" s="5" t="s">
        <v>60</v>
      </c>
      <c r="G66" s="5" t="s">
        <v>392</v>
      </c>
      <c r="H66" s="6" t="s">
        <v>62</v>
      </c>
      <c r="I66" s="7" t="s">
        <v>393</v>
      </c>
      <c r="J66" s="7" t="s">
        <v>64</v>
      </c>
      <c r="K66" s="7" t="s">
        <v>145</v>
      </c>
      <c r="L66" s="7" t="s">
        <v>209</v>
      </c>
      <c r="M66" s="7" t="s">
        <v>67</v>
      </c>
      <c r="N66" s="7" t="s">
        <v>68</v>
      </c>
      <c r="O66" s="7" t="s">
        <v>83</v>
      </c>
      <c r="P66" s="7" t="s">
        <v>70</v>
      </c>
      <c r="Q66" s="7" t="s">
        <v>138</v>
      </c>
      <c r="R66" s="7" t="s">
        <v>72</v>
      </c>
      <c r="S66" s="7">
        <v>4</v>
      </c>
      <c r="T66" s="7">
        <v>4</v>
      </c>
      <c r="U66" s="7">
        <v>0</v>
      </c>
      <c r="V66" s="7" t="s">
        <v>73</v>
      </c>
      <c r="W66" s="7">
        <v>0</v>
      </c>
      <c r="X66" s="7" t="s">
        <v>73</v>
      </c>
      <c r="Y66" s="7" t="s">
        <v>73</v>
      </c>
      <c r="Z66" s="7">
        <v>2019</v>
      </c>
      <c r="AA66" s="7" t="s">
        <v>74</v>
      </c>
      <c r="AB66" s="7" t="s">
        <v>75</v>
      </c>
      <c r="AC66" s="7" t="s">
        <v>394</v>
      </c>
      <c r="AD66" s="7" t="s">
        <v>818</v>
      </c>
      <c r="AE66" s="7" t="s">
        <v>73</v>
      </c>
    </row>
    <row r="67" spans="1:31" x14ac:dyDescent="0.3">
      <c r="A67" s="5" t="s">
        <v>395</v>
      </c>
      <c r="B67" s="5">
        <v>2173</v>
      </c>
      <c r="C67" s="5" t="s">
        <v>396</v>
      </c>
      <c r="D67" s="5" t="s">
        <v>181</v>
      </c>
      <c r="E67" s="5" t="s">
        <v>126</v>
      </c>
      <c r="F67" s="5" t="s">
        <v>60</v>
      </c>
      <c r="G67" s="5" t="s">
        <v>397</v>
      </c>
      <c r="H67" s="6" t="s">
        <v>62</v>
      </c>
      <c r="I67" s="7" t="s">
        <v>841</v>
      </c>
      <c r="J67" s="7" t="s">
        <v>64</v>
      </c>
      <c r="K67" s="7" t="s">
        <v>73</v>
      </c>
      <c r="L67" s="7" t="s">
        <v>66</v>
      </c>
      <c r="M67" s="7" t="s">
        <v>66</v>
      </c>
      <c r="N67" s="7" t="s">
        <v>68</v>
      </c>
      <c r="O67" s="7" t="s">
        <v>146</v>
      </c>
      <c r="P67" s="7" t="s">
        <v>170</v>
      </c>
      <c r="Q67" s="7" t="s">
        <v>138</v>
      </c>
      <c r="R67" s="7" t="s">
        <v>147</v>
      </c>
      <c r="S67" s="7">
        <v>48</v>
      </c>
      <c r="T67" s="7" t="s">
        <v>73</v>
      </c>
      <c r="U67" s="7">
        <v>0</v>
      </c>
      <c r="V67" s="7"/>
      <c r="W67" s="7"/>
      <c r="X67" s="7"/>
      <c r="Y67" s="7"/>
      <c r="Z67" s="7">
        <v>2021</v>
      </c>
      <c r="AA67" s="7" t="s">
        <v>74</v>
      </c>
      <c r="AB67" s="7" t="str">
        <f>IFERROR(IF(VLOOKUP(D67,Revistas!$A$21:$C$400,3,FALSE)=0,"",VLOOKUP(D67,Revistas!$A$21:$C$400,3,FALSE)),"")</f>
        <v/>
      </c>
      <c r="AC67" s="7" t="s">
        <v>122</v>
      </c>
      <c r="AD67" s="7" t="s">
        <v>868</v>
      </c>
      <c r="AE67" s="7" t="s">
        <v>709</v>
      </c>
    </row>
    <row r="68" spans="1:31" x14ac:dyDescent="0.3">
      <c r="A68" s="5" t="s">
        <v>398</v>
      </c>
      <c r="B68" s="5">
        <v>3913</v>
      </c>
      <c r="C68" s="5" t="s">
        <v>399</v>
      </c>
      <c r="D68" s="5" t="s">
        <v>400</v>
      </c>
      <c r="E68" s="5" t="s">
        <v>119</v>
      </c>
      <c r="F68" s="5" t="s">
        <v>60</v>
      </c>
      <c r="G68" s="5" t="s">
        <v>401</v>
      </c>
      <c r="H68" s="6" t="s">
        <v>62</v>
      </c>
      <c r="I68" s="7" t="s">
        <v>817</v>
      </c>
      <c r="J68" s="7" t="s">
        <v>64</v>
      </c>
      <c r="K68" s="7" t="s">
        <v>73</v>
      </c>
      <c r="L68" s="7" t="s">
        <v>66</v>
      </c>
      <c r="M68" s="7" t="s">
        <v>66</v>
      </c>
      <c r="N68" s="7" t="s">
        <v>812</v>
      </c>
      <c r="O68" s="7" t="s">
        <v>73</v>
      </c>
      <c r="P68" s="7" t="s">
        <v>73</v>
      </c>
      <c r="Q68" s="7" t="s">
        <v>73</v>
      </c>
      <c r="R68" s="7" t="s">
        <v>92</v>
      </c>
      <c r="S68" s="7" t="s">
        <v>73</v>
      </c>
      <c r="T68" s="7" t="s">
        <v>73</v>
      </c>
      <c r="U68" s="7" t="s">
        <v>273</v>
      </c>
      <c r="V68" s="7" t="s">
        <v>73</v>
      </c>
      <c r="W68" s="7" t="s">
        <v>73</v>
      </c>
      <c r="X68" s="7" t="s">
        <v>73</v>
      </c>
      <c r="Y68" s="7" t="s">
        <v>273</v>
      </c>
      <c r="Z68" s="7">
        <v>2026</v>
      </c>
      <c r="AA68" s="7" t="s">
        <v>73</v>
      </c>
      <c r="AB68" s="7" t="s">
        <v>104</v>
      </c>
      <c r="AC68" s="7" t="s">
        <v>725</v>
      </c>
      <c r="AD68" s="7" t="s">
        <v>818</v>
      </c>
      <c r="AE68" s="7" t="s">
        <v>277</v>
      </c>
    </row>
    <row r="69" spans="1:31" x14ac:dyDescent="0.3">
      <c r="A69" s="5" t="s">
        <v>402</v>
      </c>
      <c r="B69" s="5">
        <v>1</v>
      </c>
      <c r="C69" s="5" t="s">
        <v>403</v>
      </c>
      <c r="D69" s="5" t="s">
        <v>404</v>
      </c>
      <c r="E69" s="5" t="s">
        <v>126</v>
      </c>
      <c r="F69" s="5" t="s">
        <v>60</v>
      </c>
      <c r="G69" s="5" t="s">
        <v>405</v>
      </c>
      <c r="H69" s="6" t="s">
        <v>62</v>
      </c>
      <c r="I69" s="7" t="s">
        <v>406</v>
      </c>
      <c r="J69" s="7" t="s">
        <v>64</v>
      </c>
      <c r="K69" s="7" t="s">
        <v>65</v>
      </c>
      <c r="L69" s="7" t="s">
        <v>271</v>
      </c>
      <c r="M69" s="7" t="s">
        <v>67</v>
      </c>
      <c r="N69" s="7" t="s">
        <v>68</v>
      </c>
      <c r="O69" s="7" t="s">
        <v>83</v>
      </c>
      <c r="P69" s="7" t="s">
        <v>70</v>
      </c>
      <c r="Q69" s="7" t="s">
        <v>407</v>
      </c>
      <c r="R69" s="7" t="s">
        <v>72</v>
      </c>
      <c r="S69" s="7">
        <v>1</v>
      </c>
      <c r="T69" s="7">
        <v>1</v>
      </c>
      <c r="U69" s="7">
        <v>0</v>
      </c>
      <c r="V69" s="7" t="s">
        <v>73</v>
      </c>
      <c r="W69" s="7">
        <v>0</v>
      </c>
      <c r="X69" s="7" t="s">
        <v>73</v>
      </c>
      <c r="Y69" s="7" t="s">
        <v>73</v>
      </c>
      <c r="Z69" s="7">
        <v>2021</v>
      </c>
      <c r="AA69" s="7" t="s">
        <v>74</v>
      </c>
      <c r="AB69" s="7" t="s">
        <v>104</v>
      </c>
      <c r="AC69" s="7" t="s">
        <v>348</v>
      </c>
      <c r="AD69" s="7" t="s">
        <v>869</v>
      </c>
      <c r="AE69" s="7" t="s">
        <v>870</v>
      </c>
    </row>
    <row r="70" spans="1:31" x14ac:dyDescent="0.3">
      <c r="A70" s="5" t="s">
        <v>408</v>
      </c>
      <c r="B70" s="5">
        <v>2</v>
      </c>
      <c r="C70" s="5" t="s">
        <v>409</v>
      </c>
      <c r="D70" s="5" t="s">
        <v>404</v>
      </c>
      <c r="E70" s="5" t="s">
        <v>96</v>
      </c>
      <c r="F70" s="5" t="s">
        <v>60</v>
      </c>
      <c r="G70" s="5" t="s">
        <v>410</v>
      </c>
      <c r="H70" s="6" t="s">
        <v>62</v>
      </c>
      <c r="I70" s="7" t="s">
        <v>411</v>
      </c>
      <c r="J70" s="7" t="s">
        <v>64</v>
      </c>
      <c r="K70" s="7" t="s">
        <v>65</v>
      </c>
      <c r="L70" s="7" t="s">
        <v>209</v>
      </c>
      <c r="M70" s="7" t="s">
        <v>67</v>
      </c>
      <c r="N70" s="7" t="s">
        <v>210</v>
      </c>
      <c r="O70" s="7" t="s">
        <v>254</v>
      </c>
      <c r="P70" s="7" t="s">
        <v>70</v>
      </c>
      <c r="Q70" s="7" t="s">
        <v>407</v>
      </c>
      <c r="R70" s="7" t="s">
        <v>72</v>
      </c>
      <c r="S70" s="7">
        <v>1</v>
      </c>
      <c r="T70" s="7">
        <v>0</v>
      </c>
      <c r="U70" s="7">
        <v>0</v>
      </c>
      <c r="V70" s="7" t="s">
        <v>73</v>
      </c>
      <c r="W70" s="7">
        <v>1</v>
      </c>
      <c r="X70" s="7" t="s">
        <v>73</v>
      </c>
      <c r="Y70" s="7" t="s">
        <v>73</v>
      </c>
      <c r="Z70" s="7">
        <v>2023</v>
      </c>
      <c r="AA70" s="7" t="s">
        <v>74</v>
      </c>
      <c r="AB70" s="7" t="s">
        <v>104</v>
      </c>
      <c r="AC70" s="7" t="s">
        <v>322</v>
      </c>
      <c r="AD70" s="7" t="s">
        <v>869</v>
      </c>
      <c r="AE70" s="7" t="s">
        <v>273</v>
      </c>
    </row>
    <row r="71" spans="1:31" x14ac:dyDescent="0.3">
      <c r="A71" s="5" t="s">
        <v>412</v>
      </c>
      <c r="B71" s="5">
        <v>6</v>
      </c>
      <c r="C71" s="5" t="s">
        <v>413</v>
      </c>
      <c r="D71" s="5" t="s">
        <v>135</v>
      </c>
      <c r="E71" s="5" t="s">
        <v>175</v>
      </c>
      <c r="F71" s="5" t="s">
        <v>60</v>
      </c>
      <c r="G71" s="5" t="s">
        <v>414</v>
      </c>
      <c r="H71" s="6" t="s">
        <v>62</v>
      </c>
      <c r="I71" s="7" t="s">
        <v>415</v>
      </c>
      <c r="J71" s="7" t="s">
        <v>64</v>
      </c>
      <c r="K71" s="7" t="s">
        <v>65</v>
      </c>
      <c r="L71" s="7" t="s">
        <v>280</v>
      </c>
      <c r="M71" s="7" t="s">
        <v>67</v>
      </c>
      <c r="N71" s="7" t="s">
        <v>210</v>
      </c>
      <c r="O71" s="7" t="s">
        <v>69</v>
      </c>
      <c r="P71" s="7" t="s">
        <v>70</v>
      </c>
      <c r="Q71" s="7" t="s">
        <v>407</v>
      </c>
      <c r="R71" s="7" t="s">
        <v>72</v>
      </c>
      <c r="S71" s="7">
        <v>1</v>
      </c>
      <c r="T71" s="7">
        <v>1</v>
      </c>
      <c r="U71" s="7">
        <v>0</v>
      </c>
      <c r="V71" s="7" t="s">
        <v>73</v>
      </c>
      <c r="W71" s="7">
        <v>0</v>
      </c>
      <c r="X71" s="7" t="s">
        <v>73</v>
      </c>
      <c r="Y71" s="7" t="s">
        <v>73</v>
      </c>
      <c r="Z71" s="7">
        <v>2024</v>
      </c>
      <c r="AA71" s="7" t="s">
        <v>74</v>
      </c>
      <c r="AB71" s="7" t="s">
        <v>104</v>
      </c>
      <c r="AC71" s="7" t="s">
        <v>348</v>
      </c>
      <c r="AD71" s="7" t="s">
        <v>871</v>
      </c>
      <c r="AE71" s="7" t="s">
        <v>273</v>
      </c>
    </row>
    <row r="72" spans="1:31" x14ac:dyDescent="0.3">
      <c r="A72" s="5" t="s">
        <v>416</v>
      </c>
      <c r="B72" s="5">
        <v>9</v>
      </c>
      <c r="C72" s="5" t="s">
        <v>417</v>
      </c>
      <c r="D72" s="5" t="s">
        <v>418</v>
      </c>
      <c r="E72" s="5" t="s">
        <v>126</v>
      </c>
      <c r="F72" s="5" t="s">
        <v>60</v>
      </c>
      <c r="G72" s="5" t="s">
        <v>419</v>
      </c>
      <c r="H72" s="6" t="s">
        <v>62</v>
      </c>
      <c r="I72" s="7" t="s">
        <v>819</v>
      </c>
      <c r="J72" s="7" t="s">
        <v>64</v>
      </c>
      <c r="K72" s="7" t="s">
        <v>73</v>
      </c>
      <c r="L72" s="7" t="s">
        <v>66</v>
      </c>
      <c r="M72" s="7" t="s">
        <v>66</v>
      </c>
      <c r="N72" s="7" t="s">
        <v>380</v>
      </c>
      <c r="O72" s="7" t="s">
        <v>73</v>
      </c>
      <c r="P72" s="7" t="s">
        <v>73</v>
      </c>
      <c r="Q72" s="7" t="s">
        <v>407</v>
      </c>
      <c r="R72" s="7" t="s">
        <v>72</v>
      </c>
      <c r="S72" s="7">
        <v>1</v>
      </c>
      <c r="T72" s="7">
        <v>1</v>
      </c>
      <c r="U72" s="7">
        <v>0</v>
      </c>
      <c r="V72" s="7">
        <v>1</v>
      </c>
      <c r="W72" s="7">
        <v>0</v>
      </c>
      <c r="X72" s="7" t="s">
        <v>273</v>
      </c>
      <c r="Y72" s="7" t="s">
        <v>273</v>
      </c>
      <c r="Z72" s="7">
        <v>2021</v>
      </c>
      <c r="AA72" s="7" t="s">
        <v>820</v>
      </c>
      <c r="AB72" s="7" t="s">
        <v>821</v>
      </c>
      <c r="AC72" s="7" t="s">
        <v>802</v>
      </c>
      <c r="AD72" s="7" t="s">
        <v>822</v>
      </c>
      <c r="AE72" s="7" t="s">
        <v>823</v>
      </c>
    </row>
    <row r="73" spans="1:31" x14ac:dyDescent="0.3">
      <c r="A73" s="5" t="s">
        <v>420</v>
      </c>
      <c r="B73" s="5">
        <v>10</v>
      </c>
      <c r="C73" s="5" t="s">
        <v>421</v>
      </c>
      <c r="D73" s="5" t="s">
        <v>58</v>
      </c>
      <c r="E73" s="5" t="s">
        <v>89</v>
      </c>
      <c r="F73" s="5" t="s">
        <v>60</v>
      </c>
      <c r="G73" s="5" t="s">
        <v>422</v>
      </c>
      <c r="H73" s="6" t="s">
        <v>62</v>
      </c>
      <c r="I73" s="7" t="s">
        <v>423</v>
      </c>
      <c r="J73" s="7" t="s">
        <v>64</v>
      </c>
      <c r="K73" s="7" t="s">
        <v>65</v>
      </c>
      <c r="L73" s="7" t="s">
        <v>213</v>
      </c>
      <c r="M73" s="7" t="s">
        <v>67</v>
      </c>
      <c r="N73" s="7" t="s">
        <v>210</v>
      </c>
      <c r="O73" s="7" t="s">
        <v>83</v>
      </c>
      <c r="P73" s="7" t="s">
        <v>70</v>
      </c>
      <c r="Q73" s="7" t="s">
        <v>407</v>
      </c>
      <c r="R73" s="7" t="s">
        <v>72</v>
      </c>
      <c r="S73" s="7">
        <v>1</v>
      </c>
      <c r="T73" s="7">
        <v>1</v>
      </c>
      <c r="U73" s="7">
        <v>0</v>
      </c>
      <c r="V73" s="7" t="s">
        <v>73</v>
      </c>
      <c r="W73" s="7">
        <v>0</v>
      </c>
      <c r="X73" s="7" t="s">
        <v>73</v>
      </c>
      <c r="Y73" s="7" t="s">
        <v>73</v>
      </c>
      <c r="Z73" s="7">
        <v>2022</v>
      </c>
      <c r="AA73" s="7" t="s">
        <v>74</v>
      </c>
      <c r="AB73" s="7" t="s">
        <v>75</v>
      </c>
      <c r="AC73" s="7" t="s">
        <v>348</v>
      </c>
      <c r="AD73" s="7" t="s">
        <v>872</v>
      </c>
      <c r="AE73" s="7" t="s">
        <v>273</v>
      </c>
    </row>
    <row r="74" spans="1:31" x14ac:dyDescent="0.3">
      <c r="A74" s="5" t="s">
        <v>424</v>
      </c>
      <c r="B74" s="5">
        <v>14</v>
      </c>
      <c r="C74" s="5" t="s">
        <v>425</v>
      </c>
      <c r="D74" s="5" t="s">
        <v>426</v>
      </c>
      <c r="E74" s="5" t="s">
        <v>59</v>
      </c>
      <c r="F74" s="5" t="s">
        <v>60</v>
      </c>
      <c r="G74" s="5" t="s">
        <v>427</v>
      </c>
      <c r="H74" s="6" t="s">
        <v>62</v>
      </c>
      <c r="I74" s="7" t="s">
        <v>428</v>
      </c>
      <c r="J74" s="7" t="s">
        <v>64</v>
      </c>
      <c r="K74" s="7" t="s">
        <v>65</v>
      </c>
      <c r="L74" s="7" t="s">
        <v>209</v>
      </c>
      <c r="M74" s="7" t="s">
        <v>67</v>
      </c>
      <c r="N74" s="7" t="s">
        <v>210</v>
      </c>
      <c r="O74" s="7" t="s">
        <v>69</v>
      </c>
      <c r="P74" s="7" t="s">
        <v>84</v>
      </c>
      <c r="Q74" s="7" t="s">
        <v>407</v>
      </c>
      <c r="R74" s="7" t="s">
        <v>72</v>
      </c>
      <c r="S74" s="7">
        <v>1</v>
      </c>
      <c r="T74" s="7">
        <v>1</v>
      </c>
      <c r="U74" s="7">
        <v>0</v>
      </c>
      <c r="V74" s="7" t="s">
        <v>73</v>
      </c>
      <c r="W74" s="7">
        <v>0</v>
      </c>
      <c r="X74" s="7" t="s">
        <v>73</v>
      </c>
      <c r="Y74" s="7" t="s">
        <v>73</v>
      </c>
      <c r="Z74" s="7">
        <v>2025</v>
      </c>
      <c r="AA74" s="7" t="s">
        <v>74</v>
      </c>
      <c r="AB74" s="7" t="s">
        <v>104</v>
      </c>
      <c r="AC74" s="7" t="s">
        <v>231</v>
      </c>
      <c r="AD74" s="7" t="s">
        <v>872</v>
      </c>
      <c r="AE74" s="7" t="s">
        <v>273</v>
      </c>
    </row>
    <row r="75" spans="1:31" x14ac:dyDescent="0.3">
      <c r="A75" s="5" t="s">
        <v>429</v>
      </c>
      <c r="B75" s="5">
        <v>15</v>
      </c>
      <c r="C75" s="5" t="s">
        <v>430</v>
      </c>
      <c r="D75" s="5" t="s">
        <v>431</v>
      </c>
      <c r="E75" s="5" t="s">
        <v>119</v>
      </c>
      <c r="F75" s="5" t="s">
        <v>60</v>
      </c>
      <c r="G75" s="5" t="s">
        <v>432</v>
      </c>
      <c r="H75" s="6" t="s">
        <v>62</v>
      </c>
      <c r="I75" s="7" t="s">
        <v>433</v>
      </c>
      <c r="J75" s="7" t="s">
        <v>64</v>
      </c>
      <c r="K75" s="7" t="s">
        <v>65</v>
      </c>
      <c r="L75" s="7" t="s">
        <v>209</v>
      </c>
      <c r="M75" s="7" t="s">
        <v>67</v>
      </c>
      <c r="N75" s="7" t="s">
        <v>210</v>
      </c>
      <c r="O75" s="7" t="s">
        <v>83</v>
      </c>
      <c r="P75" s="7" t="s">
        <v>84</v>
      </c>
      <c r="Q75" s="7" t="s">
        <v>407</v>
      </c>
      <c r="R75" s="7" t="s">
        <v>72</v>
      </c>
      <c r="S75" s="7">
        <v>1</v>
      </c>
      <c r="T75" s="7">
        <v>1</v>
      </c>
      <c r="U75" s="7">
        <v>0</v>
      </c>
      <c r="V75" s="7">
        <v>0</v>
      </c>
      <c r="W75" s="7">
        <v>0</v>
      </c>
      <c r="X75" s="7" t="s">
        <v>73</v>
      </c>
      <c r="Y75" s="7" t="s">
        <v>73</v>
      </c>
      <c r="Z75" s="7">
        <v>2026</v>
      </c>
      <c r="AA75" s="7" t="s">
        <v>74</v>
      </c>
      <c r="AB75" s="7" t="s">
        <v>75</v>
      </c>
      <c r="AC75" s="7" t="s">
        <v>211</v>
      </c>
      <c r="AD75" s="7" t="s">
        <v>873</v>
      </c>
      <c r="AE75" s="7" t="s">
        <v>874</v>
      </c>
    </row>
    <row r="76" spans="1:31" x14ac:dyDescent="0.3">
      <c r="A76" s="5" t="s">
        <v>434</v>
      </c>
      <c r="B76" s="5">
        <v>23</v>
      </c>
      <c r="C76" s="5" t="s">
        <v>435</v>
      </c>
      <c r="D76" s="5" t="s">
        <v>436</v>
      </c>
      <c r="E76" s="5" t="s">
        <v>89</v>
      </c>
      <c r="F76" s="5" t="s">
        <v>60</v>
      </c>
      <c r="G76" s="5" t="s">
        <v>437</v>
      </c>
      <c r="H76" s="6" t="s">
        <v>62</v>
      </c>
      <c r="I76" s="7" t="s">
        <v>438</v>
      </c>
      <c r="J76" s="7" t="s">
        <v>64</v>
      </c>
      <c r="K76" s="7" t="s">
        <v>65</v>
      </c>
      <c r="L76" s="7" t="s">
        <v>209</v>
      </c>
      <c r="M76" s="7" t="s">
        <v>67</v>
      </c>
      <c r="N76" s="7" t="s">
        <v>210</v>
      </c>
      <c r="O76" s="7" t="s">
        <v>69</v>
      </c>
      <c r="P76" s="7" t="s">
        <v>70</v>
      </c>
      <c r="Q76" s="7" t="s">
        <v>407</v>
      </c>
      <c r="R76" s="7" t="s">
        <v>72</v>
      </c>
      <c r="S76" s="7">
        <v>1</v>
      </c>
      <c r="T76" s="7">
        <v>1</v>
      </c>
      <c r="U76" s="7">
        <v>0</v>
      </c>
      <c r="V76" s="7">
        <v>1</v>
      </c>
      <c r="W76" s="7">
        <v>0</v>
      </c>
      <c r="X76" s="7" t="s">
        <v>273</v>
      </c>
      <c r="Y76" s="7" t="s">
        <v>273</v>
      </c>
      <c r="Z76" s="7">
        <v>2022</v>
      </c>
      <c r="AA76" s="7" t="s">
        <v>74</v>
      </c>
      <c r="AB76" s="7" t="s">
        <v>104</v>
      </c>
      <c r="AC76" s="7" t="s">
        <v>231</v>
      </c>
      <c r="AD76" s="7" t="s">
        <v>873</v>
      </c>
      <c r="AE76" s="7" t="s">
        <v>73</v>
      </c>
    </row>
    <row r="77" spans="1:31" x14ac:dyDescent="0.3">
      <c r="A77" s="5" t="s">
        <v>439</v>
      </c>
      <c r="B77" s="5">
        <v>25</v>
      </c>
      <c r="C77" s="5" t="s">
        <v>440</v>
      </c>
      <c r="D77" s="5" t="s">
        <v>404</v>
      </c>
      <c r="E77" s="5" t="s">
        <v>89</v>
      </c>
      <c r="F77" s="5" t="s">
        <v>60</v>
      </c>
      <c r="G77" s="5" t="s">
        <v>441</v>
      </c>
      <c r="H77" s="6" t="s">
        <v>62</v>
      </c>
      <c r="I77" s="7" t="s">
        <v>842</v>
      </c>
      <c r="J77" s="7" t="s">
        <v>64</v>
      </c>
      <c r="K77" s="7" t="s">
        <v>65</v>
      </c>
      <c r="L77" s="7" t="s">
        <v>209</v>
      </c>
      <c r="M77" s="7" t="s">
        <v>67</v>
      </c>
      <c r="N77" s="7" t="s">
        <v>68</v>
      </c>
      <c r="O77" s="7" t="s">
        <v>315</v>
      </c>
      <c r="P77" s="7" t="s">
        <v>70</v>
      </c>
      <c r="Q77" s="7" t="s">
        <v>407</v>
      </c>
      <c r="R77" s="7" t="s">
        <v>72</v>
      </c>
      <c r="S77" s="7">
        <v>1</v>
      </c>
      <c r="T77" s="7">
        <v>1</v>
      </c>
      <c r="U77" s="7">
        <v>0</v>
      </c>
      <c r="V77" s="7">
        <v>1</v>
      </c>
      <c r="W77" s="7">
        <v>0</v>
      </c>
      <c r="X77" s="7" t="s">
        <v>273</v>
      </c>
      <c r="Y77" s="7" t="s">
        <v>273</v>
      </c>
      <c r="Z77" s="7">
        <v>2022</v>
      </c>
      <c r="AA77" s="7" t="s">
        <v>442</v>
      </c>
      <c r="AB77" s="7" t="str">
        <f>IFERROR(IF(VLOOKUP(D77,Revistas!$A$21:$C$400,3,FALSE)=0,"",VLOOKUP(D77,Revistas!$A$21:$C$400,3,FALSE)),"")</f>
        <v>medio</v>
      </c>
      <c r="AC77" s="7" t="s">
        <v>443</v>
      </c>
      <c r="AD77" s="7" t="s">
        <v>816</v>
      </c>
      <c r="AE77" s="7" t="s">
        <v>277</v>
      </c>
    </row>
    <row r="78" spans="1:31" x14ac:dyDescent="0.3">
      <c r="A78" s="5" t="s">
        <v>444</v>
      </c>
      <c r="B78" s="5">
        <v>29</v>
      </c>
      <c r="C78" s="5" t="s">
        <v>445</v>
      </c>
      <c r="D78" s="5" t="s">
        <v>446</v>
      </c>
      <c r="E78" s="5" t="s">
        <v>59</v>
      </c>
      <c r="F78" s="5" t="s">
        <v>60</v>
      </c>
      <c r="G78" s="5" t="s">
        <v>447</v>
      </c>
      <c r="H78" s="6" t="s">
        <v>62</v>
      </c>
      <c r="I78" s="7" t="s">
        <v>448</v>
      </c>
      <c r="J78" s="7" t="s">
        <v>64</v>
      </c>
      <c r="K78" s="7" t="s">
        <v>145</v>
      </c>
      <c r="L78" s="7" t="s">
        <v>209</v>
      </c>
      <c r="M78" s="7" t="s">
        <v>67</v>
      </c>
      <c r="N78" s="7" t="s">
        <v>68</v>
      </c>
      <c r="O78" s="7" t="s">
        <v>237</v>
      </c>
      <c r="P78" s="7" t="s">
        <v>84</v>
      </c>
      <c r="Q78" s="7" t="s">
        <v>407</v>
      </c>
      <c r="R78" s="7" t="s">
        <v>72</v>
      </c>
      <c r="S78" s="7">
        <v>1</v>
      </c>
      <c r="T78" s="7">
        <v>1</v>
      </c>
      <c r="U78" s="7">
        <v>0</v>
      </c>
      <c r="V78" s="7" t="s">
        <v>73</v>
      </c>
      <c r="W78" s="7">
        <v>0</v>
      </c>
      <c r="X78" s="7" t="s">
        <v>73</v>
      </c>
      <c r="Y78" s="7" t="s">
        <v>73</v>
      </c>
      <c r="Z78" s="7">
        <v>2025</v>
      </c>
      <c r="AA78" s="7" t="s">
        <v>74</v>
      </c>
      <c r="AB78" s="7" t="s">
        <v>131</v>
      </c>
      <c r="AC78" s="7" t="s">
        <v>211</v>
      </c>
      <c r="AD78" s="7" t="s">
        <v>816</v>
      </c>
      <c r="AE78" s="7" t="s">
        <v>277</v>
      </c>
    </row>
    <row r="79" spans="1:31" x14ac:dyDescent="0.3">
      <c r="A79" s="5" t="s">
        <v>449</v>
      </c>
      <c r="B79" s="5">
        <v>36</v>
      </c>
      <c r="C79" s="5" t="s">
        <v>450</v>
      </c>
      <c r="D79" s="5" t="s">
        <v>58</v>
      </c>
      <c r="E79" s="5" t="s">
        <v>59</v>
      </c>
      <c r="F79" s="5" t="s">
        <v>60</v>
      </c>
      <c r="G79" s="5" t="s">
        <v>451</v>
      </c>
      <c r="H79" s="6" t="s">
        <v>62</v>
      </c>
      <c r="I79" s="7" t="s">
        <v>843</v>
      </c>
      <c r="J79" s="7" t="s">
        <v>64</v>
      </c>
      <c r="K79" s="7" t="s">
        <v>65</v>
      </c>
      <c r="L79" s="7" t="s">
        <v>209</v>
      </c>
      <c r="M79" s="7" t="s">
        <v>67</v>
      </c>
      <c r="N79" s="7" t="s">
        <v>380</v>
      </c>
      <c r="O79" s="7" t="s">
        <v>315</v>
      </c>
      <c r="P79" s="7" t="s">
        <v>70</v>
      </c>
      <c r="Q79" s="7" t="s">
        <v>407</v>
      </c>
      <c r="R79" s="7" t="s">
        <v>147</v>
      </c>
      <c r="S79" s="7">
        <v>1</v>
      </c>
      <c r="T79" s="7">
        <v>0</v>
      </c>
      <c r="U79" s="7">
        <v>0</v>
      </c>
      <c r="V79" s="7">
        <v>0</v>
      </c>
      <c r="W79" s="7">
        <v>0</v>
      </c>
      <c r="X79" s="7"/>
      <c r="Y79" s="7"/>
      <c r="Z79" s="7">
        <v>2023</v>
      </c>
      <c r="AA79" s="7" t="s">
        <v>74</v>
      </c>
      <c r="AB79" s="7" t="str">
        <f>IFERROR(IF(VLOOKUP(D79,Revistas!$A$21:$C$400,3,FALSE)=0,"",VLOOKUP(D79,Revistas!$A$21:$C$400,3,FALSE)),"")</f>
        <v/>
      </c>
      <c r="AC79" s="7" t="s">
        <v>322</v>
      </c>
      <c r="AD79" s="7" t="s">
        <v>816</v>
      </c>
      <c r="AE79" s="7" t="s">
        <v>720</v>
      </c>
    </row>
    <row r="80" spans="1:31" x14ac:dyDescent="0.3">
      <c r="A80" s="5" t="s">
        <v>452</v>
      </c>
      <c r="B80" s="5">
        <v>60</v>
      </c>
      <c r="C80" s="5" t="s">
        <v>453</v>
      </c>
      <c r="D80" s="5" t="s">
        <v>431</v>
      </c>
      <c r="E80" s="5" t="s">
        <v>96</v>
      </c>
      <c r="F80" s="5" t="s">
        <v>60</v>
      </c>
      <c r="G80" s="5" t="s">
        <v>454</v>
      </c>
      <c r="H80" s="6" t="s">
        <v>62</v>
      </c>
      <c r="I80" s="7" t="s">
        <v>844</v>
      </c>
      <c r="J80" s="7" t="s">
        <v>64</v>
      </c>
      <c r="K80" s="7" t="s">
        <v>65</v>
      </c>
      <c r="L80" s="7" t="s">
        <v>209</v>
      </c>
      <c r="M80" s="7" t="s">
        <v>67</v>
      </c>
      <c r="N80" s="7" t="s">
        <v>210</v>
      </c>
      <c r="O80" s="7" t="s">
        <v>69</v>
      </c>
      <c r="P80" s="7" t="s">
        <v>70</v>
      </c>
      <c r="Q80" s="7" t="s">
        <v>407</v>
      </c>
      <c r="R80" s="7" t="s">
        <v>72</v>
      </c>
      <c r="S80" s="7">
        <v>1</v>
      </c>
      <c r="T80" s="7">
        <v>1</v>
      </c>
      <c r="U80" s="7">
        <v>0</v>
      </c>
      <c r="V80" s="7">
        <v>0</v>
      </c>
      <c r="W80" s="7">
        <v>0</v>
      </c>
      <c r="X80" s="7"/>
      <c r="Y80" s="7"/>
      <c r="Z80" s="7">
        <v>2023</v>
      </c>
      <c r="AA80" s="7" t="s">
        <v>74</v>
      </c>
      <c r="AB80" s="7" t="s">
        <v>75</v>
      </c>
      <c r="AC80" s="7" t="s">
        <v>455</v>
      </c>
      <c r="AD80" s="7" t="s">
        <v>816</v>
      </c>
      <c r="AE80" s="7" t="s">
        <v>277</v>
      </c>
    </row>
    <row r="81" spans="1:31" x14ac:dyDescent="0.3">
      <c r="A81" s="5" t="s">
        <v>456</v>
      </c>
      <c r="B81" s="5">
        <v>67</v>
      </c>
      <c r="C81" s="5" t="s">
        <v>457</v>
      </c>
      <c r="D81" s="5" t="s">
        <v>458</v>
      </c>
      <c r="E81" s="5" t="s">
        <v>119</v>
      </c>
      <c r="F81" s="5" t="s">
        <v>60</v>
      </c>
      <c r="G81" s="5" t="s">
        <v>459</v>
      </c>
      <c r="H81" s="6" t="s">
        <v>62</v>
      </c>
      <c r="I81" s="7" t="s">
        <v>460</v>
      </c>
      <c r="J81" s="7" t="s">
        <v>64</v>
      </c>
      <c r="K81" s="7" t="s">
        <v>65</v>
      </c>
      <c r="L81" s="7" t="s">
        <v>280</v>
      </c>
      <c r="M81" s="7" t="s">
        <v>67</v>
      </c>
      <c r="N81" s="7" t="s">
        <v>210</v>
      </c>
      <c r="O81" s="7" t="s">
        <v>254</v>
      </c>
      <c r="P81" s="7" t="s">
        <v>70</v>
      </c>
      <c r="Q81" s="7" t="s">
        <v>407</v>
      </c>
      <c r="R81" s="7" t="s">
        <v>72</v>
      </c>
      <c r="S81" s="7">
        <v>1</v>
      </c>
      <c r="T81" s="7">
        <v>1</v>
      </c>
      <c r="U81" s="7">
        <v>0</v>
      </c>
      <c r="V81" s="7">
        <v>1</v>
      </c>
      <c r="W81" s="7">
        <v>0</v>
      </c>
      <c r="X81" s="7"/>
      <c r="Y81" s="7"/>
      <c r="Z81" s="7">
        <v>2025</v>
      </c>
      <c r="AA81" s="7" t="s">
        <v>74</v>
      </c>
      <c r="AB81" s="7" t="s">
        <v>104</v>
      </c>
      <c r="AC81" s="7" t="s">
        <v>211</v>
      </c>
      <c r="AD81" s="7" t="s">
        <v>816</v>
      </c>
      <c r="AE81" s="7" t="s">
        <v>277</v>
      </c>
    </row>
    <row r="82" spans="1:31" x14ac:dyDescent="0.3">
      <c r="A82" s="5" t="s">
        <v>461</v>
      </c>
      <c r="B82" s="5">
        <v>88</v>
      </c>
      <c r="C82" s="5" t="s">
        <v>462</v>
      </c>
      <c r="D82" s="5" t="s">
        <v>463</v>
      </c>
      <c r="E82" s="5" t="s">
        <v>119</v>
      </c>
      <c r="F82" s="5" t="s">
        <v>60</v>
      </c>
      <c r="G82" s="5" t="s">
        <v>464</v>
      </c>
      <c r="H82" s="6" t="s">
        <v>62</v>
      </c>
      <c r="I82" s="7" t="s">
        <v>465</v>
      </c>
      <c r="J82" s="7" t="s">
        <v>64</v>
      </c>
      <c r="K82" s="7" t="s">
        <v>65</v>
      </c>
      <c r="L82" s="7" t="s">
        <v>213</v>
      </c>
      <c r="M82" s="7" t="s">
        <v>67</v>
      </c>
      <c r="N82" s="7" t="s">
        <v>210</v>
      </c>
      <c r="O82" s="7" t="s">
        <v>315</v>
      </c>
      <c r="P82" s="7" t="s">
        <v>70</v>
      </c>
      <c r="Q82" s="7" t="s">
        <v>138</v>
      </c>
      <c r="R82" s="7" t="s">
        <v>72</v>
      </c>
      <c r="S82" s="7">
        <v>1</v>
      </c>
      <c r="T82" s="7">
        <v>0</v>
      </c>
      <c r="U82" s="7">
        <v>0</v>
      </c>
      <c r="V82" s="7">
        <v>0</v>
      </c>
      <c r="W82" s="7">
        <v>1</v>
      </c>
      <c r="X82" s="7" t="s">
        <v>73</v>
      </c>
      <c r="Y82" s="7">
        <v>0</v>
      </c>
      <c r="Z82" s="7">
        <v>2026</v>
      </c>
      <c r="AA82" s="7" t="s">
        <v>824</v>
      </c>
      <c r="AB82" s="7" t="s">
        <v>104</v>
      </c>
      <c r="AC82" s="7" t="s">
        <v>122</v>
      </c>
      <c r="AD82" s="7" t="s">
        <v>816</v>
      </c>
      <c r="AE82" s="7" t="s">
        <v>277</v>
      </c>
    </row>
    <row r="83" spans="1:31" x14ac:dyDescent="0.3">
      <c r="A83" s="5" t="s">
        <v>466</v>
      </c>
      <c r="B83" s="5">
        <v>99</v>
      </c>
      <c r="C83" s="5" t="s">
        <v>467</v>
      </c>
      <c r="D83" s="5" t="s">
        <v>468</v>
      </c>
      <c r="E83" s="5" t="s">
        <v>96</v>
      </c>
      <c r="F83" s="5" t="s">
        <v>60</v>
      </c>
      <c r="G83" s="5" t="s">
        <v>469</v>
      </c>
      <c r="H83" s="6" t="s">
        <v>62</v>
      </c>
      <c r="I83" s="7" t="s">
        <v>845</v>
      </c>
      <c r="J83" s="7" t="s">
        <v>64</v>
      </c>
      <c r="K83" s="7" t="s">
        <v>65</v>
      </c>
      <c r="L83" s="7" t="s">
        <v>280</v>
      </c>
      <c r="M83" s="7" t="s">
        <v>67</v>
      </c>
      <c r="N83" s="7" t="s">
        <v>210</v>
      </c>
      <c r="O83" s="7" t="s">
        <v>69</v>
      </c>
      <c r="P83" s="7" t="s">
        <v>70</v>
      </c>
      <c r="Q83" s="7" t="s">
        <v>407</v>
      </c>
      <c r="R83" s="7" t="s">
        <v>72</v>
      </c>
      <c r="S83" s="7">
        <v>1</v>
      </c>
      <c r="T83" s="7">
        <v>0</v>
      </c>
      <c r="U83" s="7">
        <v>0</v>
      </c>
      <c r="V83" s="7">
        <v>1</v>
      </c>
      <c r="W83" s="7">
        <v>1</v>
      </c>
      <c r="X83" s="7"/>
      <c r="Y83" s="7"/>
      <c r="Z83" s="7">
        <v>2023</v>
      </c>
      <c r="AA83" s="7" t="s">
        <v>74</v>
      </c>
      <c r="AB83" s="7" t="s">
        <v>104</v>
      </c>
      <c r="AC83" s="7" t="s">
        <v>348</v>
      </c>
      <c r="AD83" s="7" t="s">
        <v>816</v>
      </c>
      <c r="AE83" s="7" t="s">
        <v>277</v>
      </c>
    </row>
    <row r="84" spans="1:31" x14ac:dyDescent="0.3">
      <c r="A84" s="5" t="s">
        <v>470</v>
      </c>
      <c r="B84" s="5">
        <v>104</v>
      </c>
      <c r="C84" s="5" t="s">
        <v>471</v>
      </c>
      <c r="D84" s="5" t="s">
        <v>426</v>
      </c>
      <c r="E84" s="5" t="s">
        <v>175</v>
      </c>
      <c r="F84" s="5" t="s">
        <v>60</v>
      </c>
      <c r="G84" s="5" t="s">
        <v>472</v>
      </c>
      <c r="H84" s="6" t="s">
        <v>62</v>
      </c>
      <c r="I84" s="7" t="s">
        <v>825</v>
      </c>
      <c r="J84" s="7" t="s">
        <v>64</v>
      </c>
      <c r="K84" s="7" t="s">
        <v>65</v>
      </c>
      <c r="L84" s="7" t="s">
        <v>66</v>
      </c>
      <c r="M84" s="7" t="s">
        <v>66</v>
      </c>
      <c r="N84" s="7" t="s">
        <v>68</v>
      </c>
      <c r="O84" s="7" t="s">
        <v>73</v>
      </c>
      <c r="P84" s="7" t="s">
        <v>73</v>
      </c>
      <c r="Q84" s="7" t="s">
        <v>73</v>
      </c>
      <c r="R84" s="7" t="s">
        <v>72</v>
      </c>
      <c r="S84" s="7" t="s">
        <v>73</v>
      </c>
      <c r="T84" s="7">
        <v>0</v>
      </c>
      <c r="U84" s="7">
        <v>0</v>
      </c>
      <c r="V84" s="7">
        <v>0</v>
      </c>
      <c r="W84" s="7" t="s">
        <v>73</v>
      </c>
      <c r="X84" s="7" t="s">
        <v>73</v>
      </c>
      <c r="Y84" s="7" t="s">
        <v>73</v>
      </c>
      <c r="Z84" s="7">
        <v>2025</v>
      </c>
      <c r="AA84" s="7" t="s">
        <v>73</v>
      </c>
      <c r="AB84" s="7" t="s">
        <v>75</v>
      </c>
      <c r="AC84" s="7" t="s">
        <v>802</v>
      </c>
      <c r="AD84" s="7" t="s">
        <v>816</v>
      </c>
      <c r="AE84" s="7" t="s">
        <v>277</v>
      </c>
    </row>
    <row r="85" spans="1:31" x14ac:dyDescent="0.3">
      <c r="A85" s="5" t="s">
        <v>473</v>
      </c>
      <c r="B85" s="5">
        <v>121</v>
      </c>
      <c r="C85" s="5" t="s">
        <v>474</v>
      </c>
      <c r="D85" s="5" t="s">
        <v>475</v>
      </c>
      <c r="E85" s="5" t="s">
        <v>352</v>
      </c>
      <c r="F85" s="5" t="s">
        <v>60</v>
      </c>
      <c r="G85" s="5" t="s">
        <v>476</v>
      </c>
      <c r="H85" s="6" t="s">
        <v>62</v>
      </c>
      <c r="I85" s="7" t="s">
        <v>477</v>
      </c>
      <c r="J85" s="7" t="s">
        <v>64</v>
      </c>
      <c r="K85" s="7" t="s">
        <v>65</v>
      </c>
      <c r="L85" s="7" t="s">
        <v>66</v>
      </c>
      <c r="M85" s="7" t="s">
        <v>67</v>
      </c>
      <c r="N85" s="7" t="s">
        <v>210</v>
      </c>
      <c r="O85" s="7" t="s">
        <v>254</v>
      </c>
      <c r="P85" s="7" t="s">
        <v>84</v>
      </c>
      <c r="Q85" s="7" t="s">
        <v>407</v>
      </c>
      <c r="R85" s="7" t="s">
        <v>72</v>
      </c>
      <c r="S85" s="7">
        <v>1</v>
      </c>
      <c r="T85" s="7">
        <v>1</v>
      </c>
      <c r="U85" s="7">
        <v>0</v>
      </c>
      <c r="V85" s="7">
        <v>1</v>
      </c>
      <c r="W85" s="7">
        <v>0</v>
      </c>
      <c r="X85" s="7"/>
      <c r="Y85" s="7"/>
      <c r="Z85" s="7">
        <v>2017</v>
      </c>
      <c r="AA85" s="7" t="s">
        <v>74</v>
      </c>
      <c r="AB85" s="7" t="s">
        <v>75</v>
      </c>
      <c r="AC85" s="7" t="s">
        <v>394</v>
      </c>
      <c r="AD85" s="7" t="s">
        <v>816</v>
      </c>
      <c r="AE85" s="7" t="s">
        <v>277</v>
      </c>
    </row>
    <row r="86" spans="1:31" x14ac:dyDescent="0.3">
      <c r="A86" s="5" t="s">
        <v>478</v>
      </c>
      <c r="B86" s="5">
        <v>122</v>
      </c>
      <c r="C86" s="5" t="s">
        <v>479</v>
      </c>
      <c r="D86" s="5" t="s">
        <v>251</v>
      </c>
      <c r="E86" s="5" t="s">
        <v>80</v>
      </c>
      <c r="F86" s="5" t="s">
        <v>60</v>
      </c>
      <c r="G86" s="5" t="s">
        <v>480</v>
      </c>
      <c r="H86" s="6" t="s">
        <v>62</v>
      </c>
      <c r="I86" s="7" t="s">
        <v>481</v>
      </c>
      <c r="J86" s="7" t="s">
        <v>64</v>
      </c>
      <c r="K86" s="7" t="s">
        <v>65</v>
      </c>
      <c r="L86" s="7" t="s">
        <v>209</v>
      </c>
      <c r="M86" s="7" t="s">
        <v>67</v>
      </c>
      <c r="N86" s="7" t="s">
        <v>210</v>
      </c>
      <c r="O86" s="7" t="s">
        <v>83</v>
      </c>
      <c r="P86" s="7" t="s">
        <v>70</v>
      </c>
      <c r="Q86" s="7" t="s">
        <v>407</v>
      </c>
      <c r="R86" s="7" t="s">
        <v>72</v>
      </c>
      <c r="S86" s="7">
        <v>1</v>
      </c>
      <c r="T86" s="7">
        <v>1</v>
      </c>
      <c r="U86" s="7">
        <v>0</v>
      </c>
      <c r="V86" s="7">
        <v>1</v>
      </c>
      <c r="W86" s="7">
        <v>0</v>
      </c>
      <c r="X86" s="7"/>
      <c r="Y86" s="7"/>
      <c r="Z86" s="7">
        <v>2020</v>
      </c>
      <c r="AA86" s="7" t="s">
        <v>74</v>
      </c>
      <c r="AB86" s="7" t="s">
        <v>75</v>
      </c>
      <c r="AC86" s="7" t="s">
        <v>243</v>
      </c>
      <c r="AD86" s="7" t="s">
        <v>816</v>
      </c>
      <c r="AE86" s="7" t="s">
        <v>277</v>
      </c>
    </row>
    <row r="87" spans="1:31" x14ac:dyDescent="0.3">
      <c r="A87" s="5" t="s">
        <v>482</v>
      </c>
      <c r="B87" s="5">
        <v>125</v>
      </c>
      <c r="C87" s="5" t="s">
        <v>483</v>
      </c>
      <c r="D87" s="5" t="s">
        <v>336</v>
      </c>
      <c r="E87" s="5" t="s">
        <v>96</v>
      </c>
      <c r="F87" s="5" t="s">
        <v>60</v>
      </c>
      <c r="G87" s="5" t="s">
        <v>484</v>
      </c>
      <c r="H87" s="6" t="s">
        <v>62</v>
      </c>
      <c r="I87" s="7" t="s">
        <v>485</v>
      </c>
      <c r="J87" s="7" t="s">
        <v>64</v>
      </c>
      <c r="K87" s="7" t="s">
        <v>65</v>
      </c>
      <c r="L87" s="7" t="s">
        <v>209</v>
      </c>
      <c r="M87" s="7" t="s">
        <v>67</v>
      </c>
      <c r="N87" s="7" t="s">
        <v>68</v>
      </c>
      <c r="O87" s="7" t="s">
        <v>83</v>
      </c>
      <c r="P87" s="7" t="s">
        <v>70</v>
      </c>
      <c r="Q87" s="7" t="s">
        <v>407</v>
      </c>
      <c r="R87" s="7" t="s">
        <v>72</v>
      </c>
      <c r="S87" s="7">
        <v>1</v>
      </c>
      <c r="T87" s="7">
        <v>1</v>
      </c>
      <c r="U87" s="7">
        <v>0</v>
      </c>
      <c r="V87" s="7" t="s">
        <v>73</v>
      </c>
      <c r="W87" s="7">
        <v>0</v>
      </c>
      <c r="X87" s="7"/>
      <c r="Y87" s="7"/>
      <c r="Z87" s="7">
        <v>2023</v>
      </c>
      <c r="AA87" s="7" t="s">
        <v>74</v>
      </c>
      <c r="AB87" s="7" t="s">
        <v>75</v>
      </c>
      <c r="AC87" s="7" t="s">
        <v>486</v>
      </c>
      <c r="AD87" s="7" t="s">
        <v>816</v>
      </c>
      <c r="AE87" s="7" t="s">
        <v>277</v>
      </c>
    </row>
    <row r="88" spans="1:31" x14ac:dyDescent="0.3">
      <c r="A88" s="5" t="s">
        <v>487</v>
      </c>
      <c r="B88" s="5">
        <v>131</v>
      </c>
      <c r="C88" s="5" t="s">
        <v>488</v>
      </c>
      <c r="D88" s="5" t="s">
        <v>489</v>
      </c>
      <c r="E88" s="5" t="s">
        <v>175</v>
      </c>
      <c r="F88" s="5" t="s">
        <v>60</v>
      </c>
      <c r="G88" s="5" t="s">
        <v>490</v>
      </c>
      <c r="H88" s="6" t="s">
        <v>62</v>
      </c>
      <c r="I88" s="7" t="s">
        <v>491</v>
      </c>
      <c r="J88" s="7" t="s">
        <v>64</v>
      </c>
      <c r="K88" s="7" t="s">
        <v>145</v>
      </c>
      <c r="L88" s="7" t="s">
        <v>209</v>
      </c>
      <c r="M88" s="7" t="s">
        <v>67</v>
      </c>
      <c r="N88" s="7" t="s">
        <v>210</v>
      </c>
      <c r="O88" s="7" t="s">
        <v>83</v>
      </c>
      <c r="P88" s="7" t="s">
        <v>70</v>
      </c>
      <c r="Q88" s="7" t="s">
        <v>407</v>
      </c>
      <c r="R88" s="7" t="s">
        <v>72</v>
      </c>
      <c r="S88" s="7">
        <v>1</v>
      </c>
      <c r="T88" s="7">
        <v>1</v>
      </c>
      <c r="U88" s="7">
        <v>0</v>
      </c>
      <c r="V88" s="7" t="s">
        <v>73</v>
      </c>
      <c r="W88" s="7">
        <v>0</v>
      </c>
      <c r="X88" s="7" t="s">
        <v>73</v>
      </c>
      <c r="Y88" s="7" t="s">
        <v>73</v>
      </c>
      <c r="Z88" s="7">
        <v>2024</v>
      </c>
      <c r="AA88" s="7" t="s">
        <v>74</v>
      </c>
      <c r="AB88" s="7" t="s">
        <v>104</v>
      </c>
      <c r="AC88" s="7" t="s">
        <v>243</v>
      </c>
      <c r="AD88" s="7" t="s">
        <v>816</v>
      </c>
      <c r="AE88" s="7" t="s">
        <v>277</v>
      </c>
    </row>
    <row r="89" spans="1:31" x14ac:dyDescent="0.3">
      <c r="A89" s="5" t="s">
        <v>492</v>
      </c>
      <c r="B89" s="5">
        <v>135</v>
      </c>
      <c r="C89" s="5" t="s">
        <v>493</v>
      </c>
      <c r="D89" s="5" t="s">
        <v>240</v>
      </c>
      <c r="E89" s="5" t="s">
        <v>175</v>
      </c>
      <c r="F89" s="5" t="s">
        <v>60</v>
      </c>
      <c r="G89" s="5" t="s">
        <v>494</v>
      </c>
      <c r="H89" s="6" t="s">
        <v>62</v>
      </c>
      <c r="I89" s="7" t="s">
        <v>495</v>
      </c>
      <c r="J89" s="7" t="s">
        <v>64</v>
      </c>
      <c r="K89" s="7" t="s">
        <v>65</v>
      </c>
      <c r="L89" s="7" t="s">
        <v>66</v>
      </c>
      <c r="M89" s="7" t="s">
        <v>67</v>
      </c>
      <c r="N89" s="7" t="s">
        <v>68</v>
      </c>
      <c r="O89" s="7" t="s">
        <v>254</v>
      </c>
      <c r="P89" s="7" t="s">
        <v>70</v>
      </c>
      <c r="Q89" s="7" t="s">
        <v>407</v>
      </c>
      <c r="R89" s="7" t="s">
        <v>72</v>
      </c>
      <c r="S89" s="7">
        <v>1</v>
      </c>
      <c r="T89" s="7">
        <v>1</v>
      </c>
      <c r="U89" s="7">
        <v>0</v>
      </c>
      <c r="V89" s="7" t="s">
        <v>73</v>
      </c>
      <c r="W89" s="7">
        <v>0</v>
      </c>
      <c r="X89" s="7"/>
      <c r="Y89" s="7"/>
      <c r="Z89" s="7">
        <v>2024</v>
      </c>
      <c r="AA89" s="7" t="s">
        <v>74</v>
      </c>
      <c r="AB89" s="7" t="s">
        <v>104</v>
      </c>
      <c r="AC89" s="7" t="s">
        <v>496</v>
      </c>
      <c r="AD89" s="7" t="s">
        <v>816</v>
      </c>
      <c r="AE89" s="7" t="s">
        <v>277</v>
      </c>
    </row>
    <row r="90" spans="1:31" x14ac:dyDescent="0.3">
      <c r="A90" s="5" t="s">
        <v>497</v>
      </c>
      <c r="B90" s="5">
        <v>141</v>
      </c>
      <c r="C90" s="5" t="s">
        <v>498</v>
      </c>
      <c r="D90" s="5" t="s">
        <v>135</v>
      </c>
      <c r="E90" s="5" t="s">
        <v>59</v>
      </c>
      <c r="F90" s="5" t="s">
        <v>60</v>
      </c>
      <c r="G90" s="5" t="s">
        <v>499</v>
      </c>
      <c r="H90" s="6" t="s">
        <v>62</v>
      </c>
      <c r="I90" s="7" t="s">
        <v>500</v>
      </c>
      <c r="J90" s="7" t="s">
        <v>64</v>
      </c>
      <c r="K90" s="7" t="s">
        <v>65</v>
      </c>
      <c r="L90" s="7" t="s">
        <v>66</v>
      </c>
      <c r="M90" s="7" t="s">
        <v>67</v>
      </c>
      <c r="N90" s="7" t="s">
        <v>68</v>
      </c>
      <c r="O90" s="7" t="s">
        <v>254</v>
      </c>
      <c r="P90" s="7" t="s">
        <v>70</v>
      </c>
      <c r="Q90" s="7" t="s">
        <v>407</v>
      </c>
      <c r="R90" s="7" t="s">
        <v>72</v>
      </c>
      <c r="S90" s="7">
        <v>1</v>
      </c>
      <c r="T90" s="7">
        <v>1</v>
      </c>
      <c r="U90" s="7">
        <v>0</v>
      </c>
      <c r="V90" s="7" t="s">
        <v>73</v>
      </c>
      <c r="W90" s="7">
        <v>0</v>
      </c>
      <c r="X90" s="7"/>
      <c r="Y90" s="7"/>
      <c r="Z90" s="7">
        <v>2025</v>
      </c>
      <c r="AA90" s="7" t="s">
        <v>74</v>
      </c>
      <c r="AB90" s="7" t="s">
        <v>104</v>
      </c>
      <c r="AC90" s="7" t="s">
        <v>348</v>
      </c>
      <c r="AD90" s="7" t="s">
        <v>816</v>
      </c>
      <c r="AE90" s="7" t="s">
        <v>277</v>
      </c>
    </row>
    <row r="91" spans="1:31" x14ac:dyDescent="0.3">
      <c r="A91" s="5" t="s">
        <v>501</v>
      </c>
      <c r="B91" s="5">
        <v>142</v>
      </c>
      <c r="C91" s="5" t="s">
        <v>502</v>
      </c>
      <c r="D91" s="5" t="s">
        <v>458</v>
      </c>
      <c r="E91" s="5" t="s">
        <v>59</v>
      </c>
      <c r="F91" s="5" t="s">
        <v>60</v>
      </c>
      <c r="G91" s="5" t="s">
        <v>503</v>
      </c>
      <c r="H91" s="6" t="s">
        <v>62</v>
      </c>
      <c r="I91" s="7" t="s">
        <v>846</v>
      </c>
      <c r="J91" s="7" t="s">
        <v>64</v>
      </c>
      <c r="K91" s="7" t="s">
        <v>65</v>
      </c>
      <c r="L91" s="7" t="s">
        <v>209</v>
      </c>
      <c r="M91" s="7" t="s">
        <v>67</v>
      </c>
      <c r="N91" s="7" t="s">
        <v>68</v>
      </c>
      <c r="O91" s="7" t="s">
        <v>69</v>
      </c>
      <c r="P91" s="7" t="s">
        <v>70</v>
      </c>
      <c r="Q91" s="7" t="s">
        <v>407</v>
      </c>
      <c r="R91" s="7" t="s">
        <v>72</v>
      </c>
      <c r="S91" s="7">
        <v>1</v>
      </c>
      <c r="T91" s="7">
        <v>1</v>
      </c>
      <c r="U91" s="7">
        <v>0</v>
      </c>
      <c r="V91" s="7" t="s">
        <v>73</v>
      </c>
      <c r="W91" s="7">
        <v>0</v>
      </c>
      <c r="X91" s="7"/>
      <c r="Y91" s="7"/>
      <c r="Z91" s="7">
        <v>2025</v>
      </c>
      <c r="AA91" s="7" t="s">
        <v>74</v>
      </c>
      <c r="AB91" s="7" t="s">
        <v>75</v>
      </c>
      <c r="AC91" s="7" t="s">
        <v>322</v>
      </c>
      <c r="AD91" s="7" t="s">
        <v>816</v>
      </c>
      <c r="AE91" s="7" t="s">
        <v>277</v>
      </c>
    </row>
    <row r="92" spans="1:31" x14ac:dyDescent="0.3">
      <c r="A92" s="5" t="s">
        <v>504</v>
      </c>
      <c r="B92" s="5">
        <v>169</v>
      </c>
      <c r="C92" s="5" t="s">
        <v>505</v>
      </c>
      <c r="D92" s="5" t="s">
        <v>58</v>
      </c>
      <c r="E92" s="5" t="s">
        <v>89</v>
      </c>
      <c r="F92" s="5" t="s">
        <v>60</v>
      </c>
      <c r="G92" s="5" t="s">
        <v>506</v>
      </c>
      <c r="H92" s="6" t="s">
        <v>62</v>
      </c>
      <c r="I92" s="7" t="s">
        <v>507</v>
      </c>
      <c r="J92" s="7" t="s">
        <v>64</v>
      </c>
      <c r="K92" s="7" t="s">
        <v>65</v>
      </c>
      <c r="L92" s="7" t="s">
        <v>280</v>
      </c>
      <c r="M92" s="7" t="s">
        <v>67</v>
      </c>
      <c r="N92" s="7" t="s">
        <v>210</v>
      </c>
      <c r="O92" s="7" t="s">
        <v>254</v>
      </c>
      <c r="P92" s="7" t="s">
        <v>70</v>
      </c>
      <c r="Q92" s="7" t="s">
        <v>407</v>
      </c>
      <c r="R92" s="7" t="s">
        <v>72</v>
      </c>
      <c r="S92" s="7">
        <v>1</v>
      </c>
      <c r="T92" s="7">
        <v>1</v>
      </c>
      <c r="U92" s="7">
        <v>0</v>
      </c>
      <c r="V92" s="7">
        <v>1</v>
      </c>
      <c r="W92" s="7">
        <v>0</v>
      </c>
      <c r="X92" s="7"/>
      <c r="Y92" s="7"/>
      <c r="Z92" s="7">
        <v>2022</v>
      </c>
      <c r="AA92" s="7" t="s">
        <v>74</v>
      </c>
      <c r="AB92" s="7" t="s">
        <v>75</v>
      </c>
      <c r="AC92" s="7" t="s">
        <v>394</v>
      </c>
      <c r="AD92" s="7" t="s">
        <v>816</v>
      </c>
      <c r="AE92" s="7" t="s">
        <v>73</v>
      </c>
    </row>
    <row r="93" spans="1:31" x14ac:dyDescent="0.3">
      <c r="A93" s="5" t="s">
        <v>508</v>
      </c>
      <c r="B93" s="5">
        <v>359</v>
      </c>
      <c r="C93" s="5" t="s">
        <v>509</v>
      </c>
      <c r="D93" s="5" t="s">
        <v>510</v>
      </c>
      <c r="E93" s="5" t="s">
        <v>96</v>
      </c>
      <c r="F93" s="5" t="s">
        <v>60</v>
      </c>
      <c r="G93" s="5" t="s">
        <v>511</v>
      </c>
      <c r="H93" s="6" t="s">
        <v>62</v>
      </c>
      <c r="I93" s="7" t="s">
        <v>512</v>
      </c>
      <c r="J93" s="7" t="s">
        <v>64</v>
      </c>
      <c r="K93" s="7" t="s">
        <v>65</v>
      </c>
      <c r="L93" s="7" t="s">
        <v>209</v>
      </c>
      <c r="M93" s="7" t="s">
        <v>67</v>
      </c>
      <c r="N93" s="7" t="s">
        <v>68</v>
      </c>
      <c r="O93" s="7" t="s">
        <v>69</v>
      </c>
      <c r="P93" s="7" t="s">
        <v>84</v>
      </c>
      <c r="Q93" s="7" t="s">
        <v>407</v>
      </c>
      <c r="R93" s="7" t="s">
        <v>72</v>
      </c>
      <c r="S93" s="7">
        <v>1</v>
      </c>
      <c r="T93" s="7">
        <v>0</v>
      </c>
      <c r="U93" s="7">
        <v>0</v>
      </c>
      <c r="V93" s="7">
        <v>0</v>
      </c>
      <c r="W93" s="7">
        <v>1</v>
      </c>
      <c r="X93" s="7"/>
      <c r="Y93" s="7"/>
      <c r="Z93" s="7">
        <v>2023</v>
      </c>
      <c r="AA93" s="7" t="s">
        <v>74</v>
      </c>
      <c r="AB93" s="7" t="s">
        <v>104</v>
      </c>
      <c r="AC93" s="7" t="s">
        <v>231</v>
      </c>
      <c r="AD93" s="7" t="s">
        <v>816</v>
      </c>
      <c r="AE93" s="7" t="s">
        <v>718</v>
      </c>
    </row>
    <row r="94" spans="1:31" x14ac:dyDescent="0.3">
      <c r="A94" s="5" t="s">
        <v>513</v>
      </c>
      <c r="B94" s="5">
        <v>373</v>
      </c>
      <c r="C94" s="5" t="s">
        <v>514</v>
      </c>
      <c r="D94" s="5" t="s">
        <v>515</v>
      </c>
      <c r="E94" s="5" t="s">
        <v>175</v>
      </c>
      <c r="F94" s="5" t="s">
        <v>60</v>
      </c>
      <c r="G94" s="5" t="s">
        <v>516</v>
      </c>
      <c r="H94" s="6" t="s">
        <v>62</v>
      </c>
      <c r="I94" s="7" t="s">
        <v>517</v>
      </c>
      <c r="J94" s="7" t="s">
        <v>64</v>
      </c>
      <c r="K94" s="7" t="s">
        <v>145</v>
      </c>
      <c r="L94" s="7" t="s">
        <v>66</v>
      </c>
      <c r="M94" s="7" t="s">
        <v>67</v>
      </c>
      <c r="N94" s="7" t="s">
        <v>68</v>
      </c>
      <c r="O94" s="7" t="s">
        <v>129</v>
      </c>
      <c r="P94" s="7" t="s">
        <v>70</v>
      </c>
      <c r="Q94" s="7" t="s">
        <v>407</v>
      </c>
      <c r="R94" s="7" t="s">
        <v>72</v>
      </c>
      <c r="S94" s="7">
        <v>1</v>
      </c>
      <c r="T94" s="7">
        <v>1</v>
      </c>
      <c r="U94" s="7">
        <v>0</v>
      </c>
      <c r="V94" s="7" t="s">
        <v>73</v>
      </c>
      <c r="W94" s="7">
        <v>0</v>
      </c>
      <c r="X94" s="7" t="s">
        <v>73</v>
      </c>
      <c r="Y94" s="7" t="s">
        <v>73</v>
      </c>
      <c r="Z94" s="7">
        <v>2024</v>
      </c>
      <c r="AA94" s="7" t="s">
        <v>74</v>
      </c>
      <c r="AB94" s="7" t="s">
        <v>75</v>
      </c>
      <c r="AC94" s="7" t="s">
        <v>394</v>
      </c>
      <c r="AD94" s="7" t="s">
        <v>816</v>
      </c>
      <c r="AE94" s="7" t="s">
        <v>711</v>
      </c>
    </row>
    <row r="95" spans="1:31" x14ac:dyDescent="0.3">
      <c r="A95" s="5" t="s">
        <v>518</v>
      </c>
      <c r="B95" s="5">
        <v>414</v>
      </c>
      <c r="C95" s="5" t="s">
        <v>519</v>
      </c>
      <c r="D95" s="5" t="s">
        <v>520</v>
      </c>
      <c r="E95" s="5" t="s">
        <v>119</v>
      </c>
      <c r="F95" s="5" t="s">
        <v>60</v>
      </c>
      <c r="G95" s="5" t="s">
        <v>521</v>
      </c>
      <c r="H95" s="6" t="s">
        <v>62</v>
      </c>
      <c r="I95" s="7" t="s">
        <v>522</v>
      </c>
      <c r="J95" s="7" t="s">
        <v>64</v>
      </c>
      <c r="K95" s="7" t="s">
        <v>65</v>
      </c>
      <c r="L95" s="7" t="s">
        <v>280</v>
      </c>
      <c r="M95" s="7" t="s">
        <v>67</v>
      </c>
      <c r="N95" s="7" t="s">
        <v>210</v>
      </c>
      <c r="O95" s="7" t="s">
        <v>129</v>
      </c>
      <c r="P95" s="7" t="s">
        <v>170</v>
      </c>
      <c r="Q95" s="7" t="s">
        <v>129</v>
      </c>
      <c r="R95" s="7" t="s">
        <v>72</v>
      </c>
      <c r="S95" s="7" t="s">
        <v>73</v>
      </c>
      <c r="T95" s="7" t="s">
        <v>73</v>
      </c>
      <c r="U95" s="7" t="s">
        <v>73</v>
      </c>
      <c r="V95" s="7" t="s">
        <v>73</v>
      </c>
      <c r="W95" s="7" t="s">
        <v>73</v>
      </c>
      <c r="X95" s="7" t="s">
        <v>73</v>
      </c>
      <c r="Y95" s="7" t="s">
        <v>73</v>
      </c>
      <c r="Z95" s="7">
        <v>2026</v>
      </c>
      <c r="AA95" s="7" t="s">
        <v>826</v>
      </c>
      <c r="AB95" s="7" t="s">
        <v>104</v>
      </c>
      <c r="AC95" s="7" t="s">
        <v>802</v>
      </c>
      <c r="AD95" s="7" t="s">
        <v>816</v>
      </c>
      <c r="AE95" s="7" t="s">
        <v>720</v>
      </c>
    </row>
    <row r="96" spans="1:31" x14ac:dyDescent="0.3">
      <c r="A96" s="5" t="s">
        <v>523</v>
      </c>
      <c r="B96" s="5">
        <v>418</v>
      </c>
      <c r="C96" s="5" t="s">
        <v>524</v>
      </c>
      <c r="D96" s="5" t="s">
        <v>58</v>
      </c>
      <c r="E96" s="5" t="s">
        <v>119</v>
      </c>
      <c r="F96" s="5" t="s">
        <v>60</v>
      </c>
      <c r="G96" s="5" t="s">
        <v>525</v>
      </c>
      <c r="H96" s="6" t="s">
        <v>62</v>
      </c>
      <c r="I96" s="7" t="s">
        <v>526</v>
      </c>
      <c r="J96" s="7" t="s">
        <v>64</v>
      </c>
      <c r="K96" s="7" t="s">
        <v>65</v>
      </c>
      <c r="L96" s="7" t="s">
        <v>271</v>
      </c>
      <c r="M96" s="7" t="s">
        <v>67</v>
      </c>
      <c r="N96" s="7" t="s">
        <v>68</v>
      </c>
      <c r="O96" s="7" t="s">
        <v>254</v>
      </c>
      <c r="P96" s="7" t="s">
        <v>70</v>
      </c>
      <c r="Q96" s="7" t="s">
        <v>407</v>
      </c>
      <c r="R96" s="7" t="s">
        <v>72</v>
      </c>
      <c r="S96" s="7">
        <v>1</v>
      </c>
      <c r="T96" s="7">
        <v>1</v>
      </c>
      <c r="U96" s="7">
        <v>0</v>
      </c>
      <c r="V96" s="7" t="s">
        <v>73</v>
      </c>
      <c r="W96" s="7">
        <v>0</v>
      </c>
      <c r="X96" s="7"/>
      <c r="Y96" s="7"/>
      <c r="Z96" s="7">
        <v>2026</v>
      </c>
      <c r="AA96" s="7" t="s">
        <v>74</v>
      </c>
      <c r="AB96" s="7" t="s">
        <v>75</v>
      </c>
      <c r="AC96" s="7" t="s">
        <v>527</v>
      </c>
      <c r="AD96" s="7" t="s">
        <v>816</v>
      </c>
      <c r="AE96" s="7" t="s">
        <v>718</v>
      </c>
    </row>
    <row r="97" spans="1:31" x14ac:dyDescent="0.3">
      <c r="A97" s="5" t="s">
        <v>528</v>
      </c>
      <c r="B97" s="5">
        <v>436</v>
      </c>
      <c r="C97" s="5" t="s">
        <v>529</v>
      </c>
      <c r="D97" s="5" t="s">
        <v>530</v>
      </c>
      <c r="E97" s="5" t="s">
        <v>126</v>
      </c>
      <c r="F97" s="5" t="s">
        <v>60</v>
      </c>
      <c r="G97" s="5" t="s">
        <v>531</v>
      </c>
      <c r="H97" s="6" t="s">
        <v>62</v>
      </c>
      <c r="I97" s="7" t="s">
        <v>532</v>
      </c>
      <c r="J97" s="7" t="s">
        <v>64</v>
      </c>
      <c r="K97" s="7" t="s">
        <v>65</v>
      </c>
      <c r="L97" s="7" t="s">
        <v>209</v>
      </c>
      <c r="M97" s="7" t="s">
        <v>67</v>
      </c>
      <c r="N97" s="7" t="s">
        <v>210</v>
      </c>
      <c r="O97" s="7" t="s">
        <v>254</v>
      </c>
      <c r="P97" s="7" t="s">
        <v>70</v>
      </c>
      <c r="Q97" s="7" t="s">
        <v>407</v>
      </c>
      <c r="R97" s="7" t="s">
        <v>72</v>
      </c>
      <c r="S97" s="7">
        <v>1</v>
      </c>
      <c r="T97" s="7">
        <v>1</v>
      </c>
      <c r="U97" s="7">
        <v>0</v>
      </c>
      <c r="V97" s="7" t="s">
        <v>73</v>
      </c>
      <c r="W97" s="7">
        <v>0</v>
      </c>
      <c r="X97" s="7"/>
      <c r="Y97" s="7"/>
      <c r="Z97" s="7">
        <v>2021</v>
      </c>
      <c r="AA97" s="7" t="s">
        <v>74</v>
      </c>
      <c r="AB97" s="7" t="s">
        <v>75</v>
      </c>
      <c r="AC97" s="7" t="s">
        <v>309</v>
      </c>
      <c r="AD97" s="7" t="s">
        <v>816</v>
      </c>
      <c r="AE97" s="7" t="s">
        <v>73</v>
      </c>
    </row>
    <row r="98" spans="1:31" x14ac:dyDescent="0.3">
      <c r="A98" s="5" t="s">
        <v>533</v>
      </c>
      <c r="B98" s="5">
        <v>529</v>
      </c>
      <c r="C98" s="5" t="s">
        <v>534</v>
      </c>
      <c r="D98" s="5" t="s">
        <v>535</v>
      </c>
      <c r="E98" s="5" t="s">
        <v>294</v>
      </c>
      <c r="F98" s="5" t="s">
        <v>60</v>
      </c>
      <c r="G98" s="5" t="s">
        <v>536</v>
      </c>
      <c r="H98" s="6" t="s">
        <v>62</v>
      </c>
      <c r="I98" s="7" t="s">
        <v>537</v>
      </c>
      <c r="J98" s="7" t="s">
        <v>64</v>
      </c>
      <c r="K98" s="7" t="s">
        <v>65</v>
      </c>
      <c r="L98" s="7" t="s">
        <v>209</v>
      </c>
      <c r="M98" s="7" t="s">
        <v>67</v>
      </c>
      <c r="N98" s="7" t="s">
        <v>68</v>
      </c>
      <c r="O98" s="7" t="s">
        <v>83</v>
      </c>
      <c r="P98" s="7" t="s">
        <v>70</v>
      </c>
      <c r="Q98" s="7" t="s">
        <v>407</v>
      </c>
      <c r="R98" s="7" t="s">
        <v>72</v>
      </c>
      <c r="S98" s="7">
        <v>1</v>
      </c>
      <c r="T98" s="7">
        <v>1</v>
      </c>
      <c r="U98" s="7">
        <v>0</v>
      </c>
      <c r="V98" s="7" t="s">
        <v>73</v>
      </c>
      <c r="W98" s="7">
        <v>0</v>
      </c>
      <c r="X98" s="7"/>
      <c r="Y98" s="7"/>
      <c r="Z98" s="7">
        <v>2018</v>
      </c>
      <c r="AA98" s="7" t="s">
        <v>74</v>
      </c>
      <c r="AB98" s="7" t="s">
        <v>75</v>
      </c>
      <c r="AC98" s="7" t="s">
        <v>211</v>
      </c>
      <c r="AD98" s="7" t="s">
        <v>816</v>
      </c>
      <c r="AE98" s="7" t="s">
        <v>718</v>
      </c>
    </row>
    <row r="99" spans="1:31" x14ac:dyDescent="0.3">
      <c r="A99" s="5" t="s">
        <v>538</v>
      </c>
      <c r="B99" s="5">
        <v>743</v>
      </c>
      <c r="C99" s="5" t="s">
        <v>539</v>
      </c>
      <c r="D99" s="5" t="s">
        <v>223</v>
      </c>
      <c r="E99" s="5" t="s">
        <v>89</v>
      </c>
      <c r="F99" s="5" t="s">
        <v>60</v>
      </c>
      <c r="G99" s="5" t="s">
        <v>540</v>
      </c>
      <c r="H99" s="6" t="s">
        <v>62</v>
      </c>
      <c r="I99" s="7" t="s">
        <v>827</v>
      </c>
      <c r="J99" s="7" t="s">
        <v>64</v>
      </c>
      <c r="K99" s="7" t="s">
        <v>73</v>
      </c>
      <c r="L99" s="7" t="s">
        <v>66</v>
      </c>
      <c r="M99" s="7" t="s">
        <v>67</v>
      </c>
      <c r="N99" s="7" t="s">
        <v>68</v>
      </c>
      <c r="O99" s="7" t="s">
        <v>595</v>
      </c>
      <c r="P99" s="7" t="s">
        <v>73</v>
      </c>
      <c r="Q99" s="7" t="s">
        <v>73</v>
      </c>
      <c r="R99" s="7" t="s">
        <v>72</v>
      </c>
      <c r="S99" s="7" t="s">
        <v>73</v>
      </c>
      <c r="T99" s="7" t="s">
        <v>73</v>
      </c>
      <c r="U99" s="7" t="s">
        <v>73</v>
      </c>
      <c r="V99" s="7" t="s">
        <v>73</v>
      </c>
      <c r="W99" s="7" t="s">
        <v>73</v>
      </c>
      <c r="X99" s="7" t="s">
        <v>73</v>
      </c>
      <c r="Y99" s="7" t="s">
        <v>73</v>
      </c>
      <c r="Z99" s="7">
        <v>2022</v>
      </c>
      <c r="AA99" s="7" t="s">
        <v>828</v>
      </c>
      <c r="AB99" s="7" t="s">
        <v>104</v>
      </c>
      <c r="AC99" s="7" t="s">
        <v>265</v>
      </c>
      <c r="AD99" s="7" t="s">
        <v>816</v>
      </c>
      <c r="AE99" s="7" t="s">
        <v>720</v>
      </c>
    </row>
    <row r="100" spans="1:31" x14ac:dyDescent="0.3">
      <c r="A100" s="5" t="s">
        <v>541</v>
      </c>
      <c r="B100" s="5">
        <v>774</v>
      </c>
      <c r="C100" s="5" t="s">
        <v>542</v>
      </c>
      <c r="D100" s="5" t="s">
        <v>135</v>
      </c>
      <c r="E100" s="5" t="s">
        <v>96</v>
      </c>
      <c r="F100" s="5" t="s">
        <v>60</v>
      </c>
      <c r="G100" s="5" t="s">
        <v>543</v>
      </c>
      <c r="H100" s="6" t="s">
        <v>62</v>
      </c>
      <c r="I100" s="7" t="s">
        <v>544</v>
      </c>
      <c r="J100" s="7" t="s">
        <v>64</v>
      </c>
      <c r="K100" s="7" t="s">
        <v>65</v>
      </c>
      <c r="L100" s="7" t="s">
        <v>209</v>
      </c>
      <c r="M100" s="7" t="s">
        <v>67</v>
      </c>
      <c r="N100" s="7" t="s">
        <v>210</v>
      </c>
      <c r="O100" s="7" t="s">
        <v>254</v>
      </c>
      <c r="P100" s="7" t="s">
        <v>70</v>
      </c>
      <c r="Q100" s="7" t="s">
        <v>407</v>
      </c>
      <c r="R100" s="7" t="s">
        <v>72</v>
      </c>
      <c r="S100" s="7">
        <v>1</v>
      </c>
      <c r="T100" s="7">
        <v>1</v>
      </c>
      <c r="U100" s="7">
        <v>0</v>
      </c>
      <c r="V100" s="7" t="s">
        <v>73</v>
      </c>
      <c r="W100" s="7">
        <v>0</v>
      </c>
      <c r="X100" s="7"/>
      <c r="Y100" s="7"/>
      <c r="Z100" s="7">
        <v>2023</v>
      </c>
      <c r="AA100" s="7" t="s">
        <v>74</v>
      </c>
      <c r="AB100" s="7" t="s">
        <v>104</v>
      </c>
      <c r="AC100" s="7" t="s">
        <v>545</v>
      </c>
      <c r="AD100" s="7" t="s">
        <v>816</v>
      </c>
      <c r="AE100" s="7" t="s">
        <v>718</v>
      </c>
    </row>
    <row r="101" spans="1:31" x14ac:dyDescent="0.3">
      <c r="A101" s="5" t="s">
        <v>546</v>
      </c>
      <c r="B101" s="5">
        <v>845</v>
      </c>
      <c r="C101" s="5" t="s">
        <v>547</v>
      </c>
      <c r="D101" s="5" t="s">
        <v>223</v>
      </c>
      <c r="E101" s="5" t="s">
        <v>59</v>
      </c>
      <c r="F101" s="5" t="s">
        <v>60</v>
      </c>
      <c r="G101" s="5" t="s">
        <v>548</v>
      </c>
      <c r="H101" s="6" t="s">
        <v>62</v>
      </c>
      <c r="I101" s="7" t="s">
        <v>549</v>
      </c>
      <c r="J101" s="7" t="s">
        <v>64</v>
      </c>
      <c r="K101" s="7" t="s">
        <v>145</v>
      </c>
      <c r="L101" s="7" t="s">
        <v>66</v>
      </c>
      <c r="M101" s="7" t="s">
        <v>67</v>
      </c>
      <c r="N101" s="7" t="s">
        <v>68</v>
      </c>
      <c r="O101" s="7" t="s">
        <v>129</v>
      </c>
      <c r="P101" s="7" t="s">
        <v>70</v>
      </c>
      <c r="Q101" s="7" t="s">
        <v>138</v>
      </c>
      <c r="R101" s="7" t="s">
        <v>72</v>
      </c>
      <c r="S101" s="7">
        <v>3</v>
      </c>
      <c r="T101" s="7">
        <v>2</v>
      </c>
      <c r="U101" s="7">
        <v>2</v>
      </c>
      <c r="V101" s="7" t="s">
        <v>73</v>
      </c>
      <c r="W101" s="7">
        <v>0</v>
      </c>
      <c r="X101" s="7" t="s">
        <v>73</v>
      </c>
      <c r="Y101" s="7" t="s">
        <v>73</v>
      </c>
      <c r="Z101" s="7">
        <v>2025</v>
      </c>
      <c r="AA101" s="7" t="s">
        <v>74</v>
      </c>
      <c r="AB101" s="7" t="s">
        <v>104</v>
      </c>
      <c r="AC101" s="7" t="s">
        <v>550</v>
      </c>
      <c r="AD101" s="7" t="s">
        <v>816</v>
      </c>
      <c r="AE101" s="7" t="s">
        <v>711</v>
      </c>
    </row>
    <row r="102" spans="1:31" x14ac:dyDescent="0.3">
      <c r="A102" s="5" t="s">
        <v>551</v>
      </c>
      <c r="B102" s="5">
        <v>855</v>
      </c>
      <c r="C102" s="5" t="s">
        <v>552</v>
      </c>
      <c r="D102" s="5" t="s">
        <v>431</v>
      </c>
      <c r="E102" s="5" t="s">
        <v>59</v>
      </c>
      <c r="F102" s="5" t="s">
        <v>60</v>
      </c>
      <c r="G102" s="5" t="s">
        <v>553</v>
      </c>
      <c r="H102" s="6" t="s">
        <v>62</v>
      </c>
      <c r="I102" s="7" t="s">
        <v>554</v>
      </c>
      <c r="J102" s="7" t="s">
        <v>64</v>
      </c>
      <c r="K102" s="7" t="s">
        <v>73</v>
      </c>
      <c r="L102" s="7" t="s">
        <v>66</v>
      </c>
      <c r="M102" s="7" t="s">
        <v>67</v>
      </c>
      <c r="N102" s="7" t="s">
        <v>68</v>
      </c>
      <c r="O102" s="7" t="s">
        <v>129</v>
      </c>
      <c r="P102" s="7" t="s">
        <v>70</v>
      </c>
      <c r="Q102" s="7" t="s">
        <v>407</v>
      </c>
      <c r="R102" s="7" t="s">
        <v>72</v>
      </c>
      <c r="S102" s="7">
        <v>1</v>
      </c>
      <c r="T102" s="7">
        <v>1</v>
      </c>
      <c r="U102" s="7">
        <v>0</v>
      </c>
      <c r="V102" s="7" t="s">
        <v>73</v>
      </c>
      <c r="W102" s="7">
        <v>0</v>
      </c>
      <c r="X102" s="7" t="s">
        <v>73</v>
      </c>
      <c r="Y102" s="7" t="s">
        <v>73</v>
      </c>
      <c r="Z102" s="7">
        <v>2025</v>
      </c>
      <c r="AA102" s="7" t="s">
        <v>74</v>
      </c>
      <c r="AB102" s="7" t="s">
        <v>75</v>
      </c>
      <c r="AC102" s="7" t="s">
        <v>394</v>
      </c>
      <c r="AD102" s="7" t="s">
        <v>816</v>
      </c>
      <c r="AE102" s="7" t="s">
        <v>711</v>
      </c>
    </row>
    <row r="103" spans="1:31" x14ac:dyDescent="0.3">
      <c r="A103" s="5" t="s">
        <v>555</v>
      </c>
      <c r="B103" s="5">
        <v>913</v>
      </c>
      <c r="C103" s="5" t="s">
        <v>556</v>
      </c>
      <c r="D103" s="5" t="s">
        <v>489</v>
      </c>
      <c r="E103" s="5" t="s">
        <v>199</v>
      </c>
      <c r="F103" s="5" t="s">
        <v>60</v>
      </c>
      <c r="G103" s="5" t="s">
        <v>557</v>
      </c>
      <c r="H103" s="6" t="s">
        <v>62</v>
      </c>
      <c r="I103" s="7" t="s">
        <v>558</v>
      </c>
      <c r="J103" s="7" t="s">
        <v>64</v>
      </c>
      <c r="K103" s="7" t="s">
        <v>73</v>
      </c>
      <c r="L103" s="7" t="s">
        <v>66</v>
      </c>
      <c r="M103" s="7" t="s">
        <v>67</v>
      </c>
      <c r="N103" s="7" t="s">
        <v>68</v>
      </c>
      <c r="O103" s="7" t="s">
        <v>83</v>
      </c>
      <c r="P103" s="7" t="s">
        <v>70</v>
      </c>
      <c r="Q103" s="7" t="s">
        <v>407</v>
      </c>
      <c r="R103" s="7" t="s">
        <v>72</v>
      </c>
      <c r="S103" s="7">
        <v>1</v>
      </c>
      <c r="T103" s="7" t="s">
        <v>73</v>
      </c>
      <c r="U103" s="7">
        <v>0</v>
      </c>
      <c r="V103" s="7" t="s">
        <v>73</v>
      </c>
      <c r="W103" s="7">
        <v>0</v>
      </c>
      <c r="X103" s="7" t="s">
        <v>73</v>
      </c>
      <c r="Y103" s="7" t="s">
        <v>73</v>
      </c>
      <c r="Z103" s="7">
        <v>2020</v>
      </c>
      <c r="AA103" s="7" t="s">
        <v>74</v>
      </c>
      <c r="AB103" s="7" t="s">
        <v>75</v>
      </c>
      <c r="AC103" s="7" t="s">
        <v>348</v>
      </c>
      <c r="AD103" s="7" t="s">
        <v>816</v>
      </c>
      <c r="AE103" s="7" t="s">
        <v>711</v>
      </c>
    </row>
    <row r="104" spans="1:31" x14ac:dyDescent="0.3">
      <c r="A104" s="5" t="s">
        <v>559</v>
      </c>
      <c r="B104" s="5">
        <v>1852</v>
      </c>
      <c r="C104" s="5" t="s">
        <v>560</v>
      </c>
      <c r="D104" s="5" t="s">
        <v>223</v>
      </c>
      <c r="E104" s="5" t="s">
        <v>89</v>
      </c>
      <c r="F104" s="5" t="s">
        <v>60</v>
      </c>
      <c r="G104" s="5" t="s">
        <v>561</v>
      </c>
      <c r="H104" s="6" t="s">
        <v>62</v>
      </c>
      <c r="I104" s="7" t="s">
        <v>562</v>
      </c>
      <c r="J104" s="7" t="s">
        <v>64</v>
      </c>
      <c r="K104" s="7" t="s">
        <v>73</v>
      </c>
      <c r="L104" s="7" t="s">
        <v>66</v>
      </c>
      <c r="M104" s="7" t="s">
        <v>67</v>
      </c>
      <c r="N104" s="7" t="s">
        <v>68</v>
      </c>
      <c r="O104" s="7" t="s">
        <v>83</v>
      </c>
      <c r="P104" s="7" t="s">
        <v>70</v>
      </c>
      <c r="Q104" s="7" t="s">
        <v>407</v>
      </c>
      <c r="R104" s="7" t="s">
        <v>72</v>
      </c>
      <c r="S104" s="7">
        <v>1</v>
      </c>
      <c r="T104" s="7">
        <v>1</v>
      </c>
      <c r="U104" s="7">
        <v>0</v>
      </c>
      <c r="V104" s="7" t="s">
        <v>73</v>
      </c>
      <c r="W104" s="7">
        <v>0</v>
      </c>
      <c r="X104" s="7" t="s">
        <v>73</v>
      </c>
      <c r="Y104" s="7" t="s">
        <v>73</v>
      </c>
      <c r="Z104" s="7">
        <v>2022</v>
      </c>
      <c r="AA104" s="7" t="s">
        <v>74</v>
      </c>
      <c r="AB104" s="7" t="s">
        <v>104</v>
      </c>
      <c r="AC104" s="7" t="s">
        <v>243</v>
      </c>
      <c r="AD104" s="7" t="s">
        <v>816</v>
      </c>
      <c r="AE104" s="7" t="s">
        <v>711</v>
      </c>
    </row>
    <row r="105" spans="1:31" x14ac:dyDescent="0.3">
      <c r="A105" s="5" t="s">
        <v>563</v>
      </c>
      <c r="B105" s="5">
        <v>5729</v>
      </c>
      <c r="C105" s="5" t="s">
        <v>564</v>
      </c>
      <c r="D105" s="5" t="s">
        <v>489</v>
      </c>
      <c r="E105" s="5" t="s">
        <v>96</v>
      </c>
      <c r="F105" s="5" t="s">
        <v>60</v>
      </c>
      <c r="G105" s="5" t="s">
        <v>565</v>
      </c>
      <c r="H105" s="6" t="s">
        <v>62</v>
      </c>
      <c r="I105" s="7" t="s">
        <v>566</v>
      </c>
      <c r="J105" s="7" t="s">
        <v>64</v>
      </c>
      <c r="K105" s="7" t="s">
        <v>73</v>
      </c>
      <c r="L105" s="7" t="s">
        <v>66</v>
      </c>
      <c r="M105" s="7" t="s">
        <v>67</v>
      </c>
      <c r="N105" s="7" t="s">
        <v>68</v>
      </c>
      <c r="O105" s="7" t="s">
        <v>129</v>
      </c>
      <c r="P105" s="7" t="s">
        <v>84</v>
      </c>
      <c r="Q105" s="7" t="s">
        <v>407</v>
      </c>
      <c r="R105" s="7" t="s">
        <v>72</v>
      </c>
      <c r="S105" s="7">
        <v>1</v>
      </c>
      <c r="T105" s="7">
        <v>1</v>
      </c>
      <c r="U105" s="7">
        <v>0</v>
      </c>
      <c r="V105" s="7">
        <v>1</v>
      </c>
      <c r="W105" s="7">
        <v>0</v>
      </c>
      <c r="X105" s="7" t="s">
        <v>73</v>
      </c>
      <c r="Y105" s="7" t="s">
        <v>73</v>
      </c>
      <c r="Z105" s="7">
        <v>2023</v>
      </c>
      <c r="AA105" s="7" t="s">
        <v>74</v>
      </c>
      <c r="AB105" s="7" t="s">
        <v>104</v>
      </c>
      <c r="AC105" s="7" t="s">
        <v>567</v>
      </c>
      <c r="AD105" s="7" t="s">
        <v>816</v>
      </c>
      <c r="AE105" s="7" t="s">
        <v>711</v>
      </c>
    </row>
    <row r="106" spans="1:31" x14ac:dyDescent="0.3">
      <c r="A106" s="5" t="s">
        <v>568</v>
      </c>
      <c r="B106" s="5">
        <v>9024</v>
      </c>
      <c r="C106" s="5" t="s">
        <v>569</v>
      </c>
      <c r="D106" s="5" t="s">
        <v>223</v>
      </c>
      <c r="E106" s="5" t="s">
        <v>89</v>
      </c>
      <c r="F106" s="5" t="s">
        <v>60</v>
      </c>
      <c r="G106" s="5" t="s">
        <v>570</v>
      </c>
      <c r="H106" s="6" t="s">
        <v>62</v>
      </c>
      <c r="I106" s="7" t="s">
        <v>571</v>
      </c>
      <c r="J106" s="7" t="s">
        <v>64</v>
      </c>
      <c r="K106" s="7" t="s">
        <v>73</v>
      </c>
      <c r="L106" s="7" t="s">
        <v>66</v>
      </c>
      <c r="M106" s="7" t="s">
        <v>67</v>
      </c>
      <c r="N106" s="7" t="s">
        <v>68</v>
      </c>
      <c r="O106" s="7" t="s">
        <v>83</v>
      </c>
      <c r="P106" s="7" t="s">
        <v>70</v>
      </c>
      <c r="Q106" s="7" t="s">
        <v>407</v>
      </c>
      <c r="R106" s="7" t="s">
        <v>72</v>
      </c>
      <c r="S106" s="7">
        <v>1</v>
      </c>
      <c r="T106" s="7">
        <v>1</v>
      </c>
      <c r="U106" s="7">
        <v>0</v>
      </c>
      <c r="V106" s="7" t="s">
        <v>73</v>
      </c>
      <c r="W106" s="7">
        <v>0</v>
      </c>
      <c r="X106" s="7" t="s">
        <v>73</v>
      </c>
      <c r="Y106" s="7" t="s">
        <v>73</v>
      </c>
      <c r="Z106" s="7">
        <v>2022</v>
      </c>
      <c r="AA106" s="7" t="s">
        <v>74</v>
      </c>
      <c r="AB106" s="7" t="s">
        <v>104</v>
      </c>
      <c r="AC106" s="7" t="s">
        <v>243</v>
      </c>
      <c r="AD106" s="7" t="s">
        <v>816</v>
      </c>
      <c r="AE106" s="7" t="s">
        <v>711</v>
      </c>
    </row>
    <row r="107" spans="1:31" x14ac:dyDescent="0.3">
      <c r="A107" s="5" t="s">
        <v>572</v>
      </c>
      <c r="B107" s="5">
        <v>5</v>
      </c>
      <c r="C107" s="5" t="s">
        <v>573</v>
      </c>
      <c r="D107" s="5" t="s">
        <v>574</v>
      </c>
      <c r="E107" s="5" t="s">
        <v>80</v>
      </c>
      <c r="F107" s="5" t="s">
        <v>60</v>
      </c>
      <c r="G107" s="5" t="s">
        <v>575</v>
      </c>
      <c r="H107" s="6" t="s">
        <v>62</v>
      </c>
      <c r="I107" s="7" t="s">
        <v>847</v>
      </c>
      <c r="J107" s="7" t="s">
        <v>64</v>
      </c>
      <c r="K107" s="7" t="s">
        <v>65</v>
      </c>
      <c r="L107" s="7" t="s">
        <v>209</v>
      </c>
      <c r="M107" s="7" t="s">
        <v>67</v>
      </c>
      <c r="N107" s="7" t="s">
        <v>68</v>
      </c>
      <c r="O107" s="7" t="s">
        <v>315</v>
      </c>
      <c r="P107" s="7" t="s">
        <v>170</v>
      </c>
      <c r="Q107" s="7" t="s">
        <v>407</v>
      </c>
      <c r="R107" s="7" t="s">
        <v>72</v>
      </c>
      <c r="S107" s="7">
        <v>1</v>
      </c>
      <c r="T107" s="7">
        <v>1</v>
      </c>
      <c r="U107" s="7">
        <v>0</v>
      </c>
      <c r="V107" s="7">
        <v>0</v>
      </c>
      <c r="W107" s="7">
        <v>0</v>
      </c>
      <c r="X107" s="7" t="s">
        <v>73</v>
      </c>
      <c r="Y107" s="7" t="s">
        <v>73</v>
      </c>
      <c r="Z107" s="7">
        <v>2019</v>
      </c>
      <c r="AA107" s="7" t="s">
        <v>576</v>
      </c>
      <c r="AB107" s="7" t="str">
        <f>IFERROR(IF(VLOOKUP(D107,Revistas!$A$21:$C$400,3,FALSE)=0,"",VLOOKUP(D107,Revistas!$A$21:$C$400,3,FALSE)),"")</f>
        <v>medio</v>
      </c>
      <c r="AC107" s="7" t="s">
        <v>211</v>
      </c>
      <c r="AD107" s="7" t="s">
        <v>816</v>
      </c>
      <c r="AE107" s="7" t="s">
        <v>875</v>
      </c>
    </row>
    <row r="108" spans="1:31" x14ac:dyDescent="0.3">
      <c r="A108" s="5" t="s">
        <v>577</v>
      </c>
      <c r="B108" s="5">
        <v>7</v>
      </c>
      <c r="C108" s="5" t="s">
        <v>578</v>
      </c>
      <c r="D108" s="5" t="s">
        <v>579</v>
      </c>
      <c r="E108" s="5" t="s">
        <v>119</v>
      </c>
      <c r="F108" s="5" t="s">
        <v>60</v>
      </c>
      <c r="G108" s="5" t="s">
        <v>580</v>
      </c>
      <c r="H108" s="6" t="s">
        <v>62</v>
      </c>
      <c r="I108" s="7" t="s">
        <v>848</v>
      </c>
      <c r="J108" s="7" t="s">
        <v>64</v>
      </c>
      <c r="K108" s="7" t="s">
        <v>65</v>
      </c>
      <c r="L108" s="7" t="s">
        <v>209</v>
      </c>
      <c r="M108" s="7" t="s">
        <v>67</v>
      </c>
      <c r="N108" s="7" t="s">
        <v>68</v>
      </c>
      <c r="O108" s="7" t="s">
        <v>315</v>
      </c>
      <c r="P108" s="7" t="s">
        <v>70</v>
      </c>
      <c r="Q108" s="7" t="s">
        <v>407</v>
      </c>
      <c r="R108" s="7" t="s">
        <v>72</v>
      </c>
      <c r="S108" s="7">
        <v>1</v>
      </c>
      <c r="T108" s="7">
        <v>1</v>
      </c>
      <c r="U108" s="7">
        <v>0</v>
      </c>
      <c r="V108" s="7">
        <v>0</v>
      </c>
      <c r="W108" s="7">
        <v>0</v>
      </c>
      <c r="X108" s="7" t="s">
        <v>73</v>
      </c>
      <c r="Y108" s="7" t="s">
        <v>581</v>
      </c>
      <c r="Z108" s="7">
        <v>2026</v>
      </c>
      <c r="AA108" s="7" t="s">
        <v>582</v>
      </c>
      <c r="AB108" s="7" t="str">
        <f>IFERROR(IF(VLOOKUP(D108,Revistas!$A$21:$C$400,3,FALSE)=0,"",VLOOKUP(D108,Revistas!$A$21:$C$400,3,FALSE)),"")</f>
        <v>medio</v>
      </c>
      <c r="AC108" s="7" t="s">
        <v>443</v>
      </c>
      <c r="AD108" s="7" t="s">
        <v>876</v>
      </c>
      <c r="AE108" s="7" t="s">
        <v>875</v>
      </c>
    </row>
    <row r="109" spans="1:31" x14ac:dyDescent="0.3">
      <c r="A109" s="5" t="s">
        <v>583</v>
      </c>
      <c r="B109" s="5">
        <v>22</v>
      </c>
      <c r="C109" s="5" t="s">
        <v>584</v>
      </c>
      <c r="D109" s="5" t="s">
        <v>585</v>
      </c>
      <c r="E109" s="5" t="s">
        <v>59</v>
      </c>
      <c r="F109" s="5" t="s">
        <v>60</v>
      </c>
      <c r="G109" s="5" t="s">
        <v>586</v>
      </c>
      <c r="H109" s="6" t="s">
        <v>62</v>
      </c>
      <c r="I109" s="7" t="s">
        <v>849</v>
      </c>
      <c r="J109" s="7" t="s">
        <v>64</v>
      </c>
      <c r="K109" s="7" t="s">
        <v>65</v>
      </c>
      <c r="L109" s="7" t="s">
        <v>209</v>
      </c>
      <c r="M109" s="7" t="s">
        <v>67</v>
      </c>
      <c r="N109" s="7" t="s">
        <v>68</v>
      </c>
      <c r="O109" s="7" t="s">
        <v>169</v>
      </c>
      <c r="P109" s="7" t="s">
        <v>70</v>
      </c>
      <c r="Q109" s="7" t="s">
        <v>407</v>
      </c>
      <c r="R109" s="7" t="s">
        <v>72</v>
      </c>
      <c r="S109" s="7">
        <v>1</v>
      </c>
      <c r="T109" s="7">
        <v>1</v>
      </c>
      <c r="U109" s="7">
        <v>1</v>
      </c>
      <c r="V109" s="7">
        <v>1</v>
      </c>
      <c r="W109" s="7">
        <v>0</v>
      </c>
      <c r="X109" s="7" t="s">
        <v>73</v>
      </c>
      <c r="Y109" s="7" t="s">
        <v>587</v>
      </c>
      <c r="Z109" s="7">
        <v>2025</v>
      </c>
      <c r="AA109" s="7" t="s">
        <v>588</v>
      </c>
      <c r="AB109" s="7" t="str">
        <f>IFERROR(IF(VLOOKUP(D109,Revistas!$A$21:$C$400,3,FALSE)=0,"",VLOOKUP(D109,Revistas!$A$21:$C$400,3,FALSE)),"")</f>
        <v>medio</v>
      </c>
      <c r="AC109" s="7" t="s">
        <v>589</v>
      </c>
      <c r="AD109" s="7" t="s">
        <v>872</v>
      </c>
      <c r="AE109" s="7" t="s">
        <v>273</v>
      </c>
    </row>
    <row r="110" spans="1:31" x14ac:dyDescent="0.3">
      <c r="A110" s="5" t="s">
        <v>590</v>
      </c>
      <c r="B110" s="5">
        <v>24</v>
      </c>
      <c r="C110" s="5" t="s">
        <v>591</v>
      </c>
      <c r="D110" s="5" t="s">
        <v>520</v>
      </c>
      <c r="E110" s="5" t="s">
        <v>89</v>
      </c>
      <c r="F110" s="5" t="s">
        <v>60</v>
      </c>
      <c r="G110" s="5" t="s">
        <v>592</v>
      </c>
      <c r="H110" s="6" t="s">
        <v>62</v>
      </c>
      <c r="I110" s="7" t="s">
        <v>850</v>
      </c>
      <c r="J110" s="7" t="s">
        <v>64</v>
      </c>
      <c r="K110" s="7" t="s">
        <v>65</v>
      </c>
      <c r="L110" s="7" t="s">
        <v>213</v>
      </c>
      <c r="M110" s="7" t="s">
        <v>67</v>
      </c>
      <c r="N110" s="7" t="s">
        <v>210</v>
      </c>
      <c r="O110" s="7" t="s">
        <v>315</v>
      </c>
      <c r="P110" s="7" t="s">
        <v>70</v>
      </c>
      <c r="Q110" s="7" t="s">
        <v>407</v>
      </c>
      <c r="R110" s="7" t="s">
        <v>72</v>
      </c>
      <c r="S110" s="7">
        <v>1</v>
      </c>
      <c r="T110" s="7">
        <v>1</v>
      </c>
      <c r="U110" s="7">
        <v>0</v>
      </c>
      <c r="V110" s="7">
        <v>1</v>
      </c>
      <c r="W110" s="7">
        <v>0</v>
      </c>
      <c r="X110" s="7" t="s">
        <v>273</v>
      </c>
      <c r="Y110" s="7" t="s">
        <v>273</v>
      </c>
      <c r="Z110" s="7">
        <v>2022</v>
      </c>
      <c r="AA110" s="7" t="s">
        <v>593</v>
      </c>
      <c r="AB110" s="7" t="str">
        <f>IFERROR(IF(VLOOKUP(D110,Revistas!$A$21:$C$400,3,FALSE)=0,"",VLOOKUP(D110,Revistas!$A$21:$C$400,3,FALSE)),"")</f>
        <v/>
      </c>
      <c r="AC110" s="7" t="s">
        <v>594</v>
      </c>
      <c r="AD110" s="7" t="s">
        <v>816</v>
      </c>
      <c r="AE110" s="7" t="s">
        <v>73</v>
      </c>
    </row>
    <row r="111" spans="1:31" x14ac:dyDescent="0.3">
      <c r="A111" s="5" t="s">
        <v>596</v>
      </c>
      <c r="B111" s="5">
        <v>30</v>
      </c>
      <c r="C111" s="5" t="s">
        <v>597</v>
      </c>
      <c r="D111" s="5" t="s">
        <v>598</v>
      </c>
      <c r="E111" s="5" t="s">
        <v>119</v>
      </c>
      <c r="F111" s="5" t="s">
        <v>60</v>
      </c>
      <c r="G111" s="5" t="s">
        <v>599</v>
      </c>
      <c r="H111" s="6" t="s">
        <v>62</v>
      </c>
      <c r="I111" s="7" t="s">
        <v>851</v>
      </c>
      <c r="J111" s="7" t="s">
        <v>64</v>
      </c>
      <c r="K111" s="7" t="s">
        <v>65</v>
      </c>
      <c r="L111" s="7" t="s">
        <v>66</v>
      </c>
      <c r="M111" s="7" t="s">
        <v>66</v>
      </c>
      <c r="N111" s="7" t="s">
        <v>380</v>
      </c>
      <c r="O111" s="7" t="s">
        <v>315</v>
      </c>
      <c r="P111" s="7" t="s">
        <v>70</v>
      </c>
      <c r="Q111" s="7" t="s">
        <v>407</v>
      </c>
      <c r="R111" s="7" t="s">
        <v>147</v>
      </c>
      <c r="S111" s="7">
        <v>1</v>
      </c>
      <c r="T111" s="7">
        <v>0</v>
      </c>
      <c r="U111" s="7">
        <v>0</v>
      </c>
      <c r="V111" s="7"/>
      <c r="W111" s="7"/>
      <c r="X111" s="7"/>
      <c r="Y111" s="7"/>
      <c r="Z111" s="7">
        <v>2023</v>
      </c>
      <c r="AA111" s="7" t="s">
        <v>74</v>
      </c>
      <c r="AB111" s="7" t="str">
        <f>IFERROR(IF(VLOOKUP(D111,Revistas!$A$21:$C$400,3,FALSE)=0,"",VLOOKUP(D111,Revistas!$A$21:$C$400,3,FALSE)),"")</f>
        <v/>
      </c>
      <c r="AC111" s="7" t="s">
        <v>322</v>
      </c>
      <c r="AD111" s="7" t="s">
        <v>595</v>
      </c>
      <c r="AE111" s="7" t="s">
        <v>875</v>
      </c>
    </row>
    <row r="112" spans="1:31" x14ac:dyDescent="0.3">
      <c r="A112" s="5" t="s">
        <v>600</v>
      </c>
      <c r="B112" s="5">
        <v>72</v>
      </c>
      <c r="C112" s="5" t="s">
        <v>601</v>
      </c>
      <c r="D112" s="5" t="s">
        <v>602</v>
      </c>
      <c r="E112" s="5" t="s">
        <v>294</v>
      </c>
      <c r="F112" s="5" t="s">
        <v>60</v>
      </c>
      <c r="G112" s="5" t="s">
        <v>603</v>
      </c>
      <c r="H112" s="6" t="s">
        <v>62</v>
      </c>
      <c r="I112" s="7" t="s">
        <v>852</v>
      </c>
      <c r="J112" s="7" t="s">
        <v>64</v>
      </c>
      <c r="K112" s="7" t="s">
        <v>73</v>
      </c>
      <c r="L112" s="7" t="s">
        <v>66</v>
      </c>
      <c r="M112" s="7" t="s">
        <v>67</v>
      </c>
      <c r="N112" s="7" t="s">
        <v>73</v>
      </c>
      <c r="O112" s="7" t="s">
        <v>73</v>
      </c>
      <c r="P112" s="7" t="s">
        <v>73</v>
      </c>
      <c r="Q112" s="7" t="s">
        <v>73</v>
      </c>
      <c r="R112" s="7" t="s">
        <v>92</v>
      </c>
      <c r="S112" s="7" t="s">
        <v>73</v>
      </c>
      <c r="T112" s="7" t="s">
        <v>73</v>
      </c>
      <c r="U112" s="7" t="s">
        <v>73</v>
      </c>
      <c r="V112" s="7" t="s">
        <v>73</v>
      </c>
      <c r="W112" s="7" t="s">
        <v>73</v>
      </c>
      <c r="X112" s="7" t="s">
        <v>73</v>
      </c>
      <c r="Y112" s="7" t="s">
        <v>73</v>
      </c>
      <c r="Z112" s="7" t="s">
        <v>73</v>
      </c>
      <c r="AA112" s="7" t="s">
        <v>73</v>
      </c>
      <c r="AB112" s="7" t="s">
        <v>104</v>
      </c>
      <c r="AC112" s="7" t="s">
        <v>73</v>
      </c>
      <c r="AD112" s="7" t="s">
        <v>816</v>
      </c>
      <c r="AE112" s="7" t="s">
        <v>711</v>
      </c>
    </row>
    <row r="113" spans="1:31" x14ac:dyDescent="0.3">
      <c r="A113" s="5" t="s">
        <v>604</v>
      </c>
      <c r="B113" s="5">
        <v>74</v>
      </c>
      <c r="C113" s="5" t="s">
        <v>605</v>
      </c>
      <c r="D113" s="5" t="s">
        <v>606</v>
      </c>
      <c r="E113" s="5" t="s">
        <v>80</v>
      </c>
      <c r="F113" s="5" t="s">
        <v>60</v>
      </c>
      <c r="G113" s="5" t="s">
        <v>607</v>
      </c>
      <c r="H113" s="6" t="s">
        <v>62</v>
      </c>
      <c r="I113" s="7" t="s">
        <v>853</v>
      </c>
      <c r="J113" s="7" t="s">
        <v>64</v>
      </c>
      <c r="K113" s="7" t="s">
        <v>73</v>
      </c>
      <c r="L113" s="7" t="s">
        <v>66</v>
      </c>
      <c r="M113" s="7" t="s">
        <v>67</v>
      </c>
      <c r="N113" s="7" t="s">
        <v>73</v>
      </c>
      <c r="O113" s="7" t="s">
        <v>73</v>
      </c>
      <c r="P113" s="7" t="s">
        <v>73</v>
      </c>
      <c r="Q113" s="7" t="s">
        <v>73</v>
      </c>
      <c r="R113" s="7" t="s">
        <v>92</v>
      </c>
      <c r="S113" s="7" t="s">
        <v>73</v>
      </c>
      <c r="T113" s="7" t="s">
        <v>73</v>
      </c>
      <c r="U113" s="7" t="s">
        <v>73</v>
      </c>
      <c r="V113" s="7" t="s">
        <v>73</v>
      </c>
      <c r="W113" s="7" t="s">
        <v>73</v>
      </c>
      <c r="X113" s="7" t="s">
        <v>73</v>
      </c>
      <c r="Y113" s="7" t="s">
        <v>73</v>
      </c>
      <c r="Z113" s="7" t="s">
        <v>73</v>
      </c>
      <c r="AA113" s="7" t="s">
        <v>73</v>
      </c>
      <c r="AB113" s="7" t="s">
        <v>75</v>
      </c>
      <c r="AC113" s="7" t="s">
        <v>73</v>
      </c>
      <c r="AD113" s="7" t="s">
        <v>816</v>
      </c>
      <c r="AE113" s="7" t="s">
        <v>73</v>
      </c>
    </row>
    <row r="114" spans="1:31" x14ac:dyDescent="0.3">
      <c r="A114" s="5" t="s">
        <v>608</v>
      </c>
      <c r="B114" s="5">
        <v>111</v>
      </c>
      <c r="C114" s="5" t="s">
        <v>609</v>
      </c>
      <c r="D114" s="5" t="s">
        <v>79</v>
      </c>
      <c r="E114" s="5" t="s">
        <v>119</v>
      </c>
      <c r="F114" s="5" t="s">
        <v>60</v>
      </c>
      <c r="G114" s="5" t="s">
        <v>610</v>
      </c>
      <c r="H114" s="6" t="s">
        <v>62</v>
      </c>
      <c r="I114" s="7" t="s">
        <v>854</v>
      </c>
      <c r="J114" s="7" t="s">
        <v>64</v>
      </c>
      <c r="K114" s="7" t="s">
        <v>73</v>
      </c>
      <c r="L114" s="7" t="s">
        <v>209</v>
      </c>
      <c r="M114" s="7" t="s">
        <v>67</v>
      </c>
      <c r="N114" s="7" t="s">
        <v>210</v>
      </c>
      <c r="O114" s="7" t="s">
        <v>129</v>
      </c>
      <c r="P114" s="7" t="s">
        <v>70</v>
      </c>
      <c r="Q114" s="7" t="s">
        <v>407</v>
      </c>
      <c r="R114" s="7" t="s">
        <v>72</v>
      </c>
      <c r="S114" s="7">
        <v>1</v>
      </c>
      <c r="T114" s="7">
        <v>1</v>
      </c>
      <c r="U114" s="7">
        <v>0</v>
      </c>
      <c r="V114" s="7" t="s">
        <v>73</v>
      </c>
      <c r="W114" s="7">
        <v>0</v>
      </c>
      <c r="X114" s="7"/>
      <c r="Y114" s="7"/>
      <c r="Z114" s="7">
        <v>2026</v>
      </c>
      <c r="AA114" s="7" t="s">
        <v>74</v>
      </c>
      <c r="AB114" s="7" t="s">
        <v>75</v>
      </c>
      <c r="AC114" s="7" t="s">
        <v>211</v>
      </c>
      <c r="AD114" s="7" t="s">
        <v>816</v>
      </c>
      <c r="AE114" s="7" t="s">
        <v>720</v>
      </c>
    </row>
    <row r="115" spans="1:31" x14ac:dyDescent="0.3">
      <c r="A115" s="5" t="s">
        <v>612</v>
      </c>
      <c r="B115" s="5">
        <v>116</v>
      </c>
      <c r="C115" s="5" t="s">
        <v>613</v>
      </c>
      <c r="D115" s="5" t="s">
        <v>614</v>
      </c>
      <c r="E115" s="5" t="s">
        <v>119</v>
      </c>
      <c r="F115" s="5" t="s">
        <v>60</v>
      </c>
      <c r="G115" s="5" t="s">
        <v>615</v>
      </c>
      <c r="H115" s="6" t="s">
        <v>62</v>
      </c>
      <c r="I115" s="7" t="s">
        <v>611</v>
      </c>
      <c r="J115" s="7" t="s">
        <v>64</v>
      </c>
      <c r="K115" s="7" t="s">
        <v>65</v>
      </c>
      <c r="L115" s="7" t="s">
        <v>209</v>
      </c>
      <c r="M115" s="7" t="s">
        <v>67</v>
      </c>
      <c r="N115" s="7" t="s">
        <v>210</v>
      </c>
      <c r="O115" s="7" t="s">
        <v>254</v>
      </c>
      <c r="P115" s="7" t="s">
        <v>70</v>
      </c>
      <c r="Q115" s="7" t="s">
        <v>407</v>
      </c>
      <c r="R115" s="7" t="s">
        <v>72</v>
      </c>
      <c r="S115" s="7">
        <v>1</v>
      </c>
      <c r="T115" s="7">
        <v>1</v>
      </c>
      <c r="U115" s="7">
        <v>0</v>
      </c>
      <c r="V115" s="7" t="s">
        <v>73</v>
      </c>
      <c r="W115" s="7">
        <v>0</v>
      </c>
      <c r="X115" s="7"/>
      <c r="Y115" s="7"/>
      <c r="Z115" s="7">
        <v>2026</v>
      </c>
      <c r="AA115" s="7" t="s">
        <v>74</v>
      </c>
      <c r="AB115" s="7" t="s">
        <v>75</v>
      </c>
      <c r="AC115" s="7" t="s">
        <v>211</v>
      </c>
      <c r="AD115" s="7" t="s">
        <v>816</v>
      </c>
      <c r="AE115" s="7" t="s">
        <v>277</v>
      </c>
    </row>
    <row r="116" spans="1:31" x14ac:dyDescent="0.3">
      <c r="A116" s="5" t="s">
        <v>617</v>
      </c>
      <c r="B116" s="5">
        <v>128</v>
      </c>
      <c r="C116" s="5" t="s">
        <v>618</v>
      </c>
      <c r="D116" s="5" t="s">
        <v>619</v>
      </c>
      <c r="E116" s="5" t="s">
        <v>96</v>
      </c>
      <c r="F116" s="5" t="s">
        <v>60</v>
      </c>
      <c r="G116" s="5" t="s">
        <v>620</v>
      </c>
      <c r="H116" s="6" t="s">
        <v>62</v>
      </c>
      <c r="I116" s="7" t="s">
        <v>616</v>
      </c>
      <c r="J116" s="7" t="s">
        <v>64</v>
      </c>
      <c r="K116" s="7" t="s">
        <v>65</v>
      </c>
      <c r="L116" s="7" t="s">
        <v>209</v>
      </c>
      <c r="M116" s="7" t="s">
        <v>67</v>
      </c>
      <c r="N116" s="7" t="s">
        <v>210</v>
      </c>
      <c r="O116" s="7" t="s">
        <v>129</v>
      </c>
      <c r="P116" s="7" t="s">
        <v>70</v>
      </c>
      <c r="Q116" s="7" t="s">
        <v>407</v>
      </c>
      <c r="R116" s="7" t="s">
        <v>72</v>
      </c>
      <c r="S116" s="7">
        <v>1</v>
      </c>
      <c r="T116" s="7">
        <v>1</v>
      </c>
      <c r="U116" s="7">
        <v>0</v>
      </c>
      <c r="V116" s="7" t="s">
        <v>73</v>
      </c>
      <c r="W116" s="7">
        <v>0</v>
      </c>
      <c r="X116" s="7"/>
      <c r="Y116" s="7"/>
      <c r="Z116" s="7">
        <v>2023</v>
      </c>
      <c r="AA116" s="7" t="s">
        <v>74</v>
      </c>
      <c r="AB116" s="7" t="s">
        <v>75</v>
      </c>
      <c r="AC116" s="7" t="s">
        <v>211</v>
      </c>
      <c r="AD116" s="7" t="s">
        <v>816</v>
      </c>
      <c r="AE116" s="7" t="s">
        <v>277</v>
      </c>
    </row>
    <row r="117" spans="1:31" x14ac:dyDescent="0.3">
      <c r="A117" s="5" t="s">
        <v>622</v>
      </c>
      <c r="B117" s="5">
        <v>154</v>
      </c>
      <c r="C117" s="5" t="s">
        <v>623</v>
      </c>
      <c r="D117" s="5" t="s">
        <v>135</v>
      </c>
      <c r="E117" s="5" t="s">
        <v>294</v>
      </c>
      <c r="F117" s="5" t="s">
        <v>60</v>
      </c>
      <c r="G117" s="5" t="s">
        <v>624</v>
      </c>
      <c r="H117" s="6" t="s">
        <v>62</v>
      </c>
      <c r="I117" s="7" t="s">
        <v>621</v>
      </c>
      <c r="J117" s="7" t="s">
        <v>64</v>
      </c>
      <c r="K117" s="7" t="s">
        <v>65</v>
      </c>
      <c r="L117" s="7" t="s">
        <v>209</v>
      </c>
      <c r="M117" s="7" t="s">
        <v>67</v>
      </c>
      <c r="N117" s="7" t="s">
        <v>380</v>
      </c>
      <c r="O117" s="7" t="s">
        <v>315</v>
      </c>
      <c r="P117" s="7" t="s">
        <v>70</v>
      </c>
      <c r="Q117" s="7" t="s">
        <v>138</v>
      </c>
      <c r="R117" s="7" t="s">
        <v>147</v>
      </c>
      <c r="S117" s="7">
        <v>10</v>
      </c>
      <c r="T117" s="7">
        <v>7</v>
      </c>
      <c r="U117" s="7">
        <v>0</v>
      </c>
      <c r="V117" s="7"/>
      <c r="W117" s="7"/>
      <c r="X117" s="7"/>
      <c r="Y117" s="7"/>
      <c r="Z117" s="7">
        <v>2020</v>
      </c>
      <c r="AA117" s="7" t="s">
        <v>74</v>
      </c>
      <c r="AB117" s="7" t="str">
        <f>IFERROR(IF(VLOOKUP(D117,Revistas!$A$21:$C$400,3,FALSE)=0,"",VLOOKUP(D117,Revistas!$A$21:$C$400,3,FALSE)),"")</f>
        <v>medio</v>
      </c>
      <c r="AC117" s="7" t="s">
        <v>211</v>
      </c>
      <c r="AD117" s="7" t="s">
        <v>816</v>
      </c>
      <c r="AE117" s="7" t="s">
        <v>73</v>
      </c>
    </row>
    <row r="118" spans="1:31" x14ac:dyDescent="0.3">
      <c r="A118" s="5" t="s">
        <v>625</v>
      </c>
      <c r="B118" s="5">
        <v>336</v>
      </c>
      <c r="C118" s="5" t="s">
        <v>626</v>
      </c>
      <c r="D118" s="5" t="s">
        <v>135</v>
      </c>
      <c r="E118" s="5" t="s">
        <v>126</v>
      </c>
      <c r="F118" s="5" t="s">
        <v>60</v>
      </c>
      <c r="G118" s="5" t="s">
        <v>627</v>
      </c>
      <c r="H118" s="6" t="s">
        <v>62</v>
      </c>
      <c r="I118" s="7" t="s">
        <v>829</v>
      </c>
      <c r="J118" s="7" t="s">
        <v>64</v>
      </c>
      <c r="K118" s="7" t="s">
        <v>145</v>
      </c>
      <c r="L118" s="7" t="s">
        <v>66</v>
      </c>
      <c r="M118" s="7" t="s">
        <v>67</v>
      </c>
      <c r="N118" s="7" t="s">
        <v>812</v>
      </c>
      <c r="O118" s="7" t="s">
        <v>129</v>
      </c>
      <c r="P118" s="7" t="s">
        <v>70</v>
      </c>
      <c r="Q118" s="7" t="s">
        <v>129</v>
      </c>
      <c r="R118" s="7" t="s">
        <v>72</v>
      </c>
      <c r="S118" s="7" t="s">
        <v>73</v>
      </c>
      <c r="T118" s="7" t="s">
        <v>73</v>
      </c>
      <c r="U118" s="7" t="s">
        <v>73</v>
      </c>
      <c r="V118" s="7" t="s">
        <v>73</v>
      </c>
      <c r="W118" s="7" t="s">
        <v>73</v>
      </c>
      <c r="X118" s="7" t="s">
        <v>73</v>
      </c>
      <c r="Y118" s="7" t="s">
        <v>73</v>
      </c>
      <c r="Z118" s="7">
        <v>2019</v>
      </c>
      <c r="AA118" s="7" t="s">
        <v>830</v>
      </c>
      <c r="AB118" s="7" t="s">
        <v>104</v>
      </c>
      <c r="AC118" s="7" t="s">
        <v>275</v>
      </c>
      <c r="AD118" s="7" t="s">
        <v>816</v>
      </c>
      <c r="AE118" s="7" t="s">
        <v>277</v>
      </c>
    </row>
    <row r="119" spans="1:31" x14ac:dyDescent="0.3">
      <c r="A119" s="5" t="s">
        <v>628</v>
      </c>
      <c r="B119" s="5">
        <v>525</v>
      </c>
      <c r="C119" s="5" t="s">
        <v>629</v>
      </c>
      <c r="D119" s="5" t="s">
        <v>630</v>
      </c>
      <c r="E119" s="5" t="s">
        <v>294</v>
      </c>
      <c r="F119" s="5" t="s">
        <v>60</v>
      </c>
      <c r="G119" s="5" t="s">
        <v>631</v>
      </c>
      <c r="H119" s="6" t="s">
        <v>62</v>
      </c>
      <c r="I119" s="7" t="s">
        <v>855</v>
      </c>
      <c r="J119" s="7" t="s">
        <v>64</v>
      </c>
      <c r="K119" s="7" t="s">
        <v>145</v>
      </c>
      <c r="L119" s="7" t="s">
        <v>66</v>
      </c>
      <c r="M119" s="7" t="s">
        <v>67</v>
      </c>
      <c r="N119" s="7" t="s">
        <v>210</v>
      </c>
      <c r="O119" s="7" t="s">
        <v>83</v>
      </c>
      <c r="P119" s="7" t="s">
        <v>70</v>
      </c>
      <c r="Q119" s="7" t="s">
        <v>407</v>
      </c>
      <c r="R119" s="7" t="s">
        <v>72</v>
      </c>
      <c r="S119" s="7">
        <v>1</v>
      </c>
      <c r="T119" s="7">
        <v>1</v>
      </c>
      <c r="U119" s="7">
        <v>0</v>
      </c>
      <c r="V119" s="7" t="s">
        <v>73</v>
      </c>
      <c r="W119" s="7">
        <v>0</v>
      </c>
      <c r="X119" s="7"/>
      <c r="Y119" s="7"/>
      <c r="Z119" s="7">
        <v>2018</v>
      </c>
      <c r="AA119" s="7" t="s">
        <v>74</v>
      </c>
      <c r="AB119" s="7" t="s">
        <v>75</v>
      </c>
      <c r="AC119" s="7" t="s">
        <v>348</v>
      </c>
      <c r="AD119" s="7" t="s">
        <v>816</v>
      </c>
      <c r="AE119" s="7" t="s">
        <v>720</v>
      </c>
    </row>
    <row r="120" spans="1:31" x14ac:dyDescent="0.3">
      <c r="A120" s="5" t="s">
        <v>633</v>
      </c>
      <c r="B120" s="5">
        <v>858</v>
      </c>
      <c r="C120" s="5" t="s">
        <v>634</v>
      </c>
      <c r="D120" s="5" t="s">
        <v>345</v>
      </c>
      <c r="E120" s="5" t="s">
        <v>59</v>
      </c>
      <c r="F120" s="5" t="s">
        <v>60</v>
      </c>
      <c r="G120" s="5" t="s">
        <v>635</v>
      </c>
      <c r="H120" s="6" t="s">
        <v>62</v>
      </c>
      <c r="I120" s="7" t="s">
        <v>632</v>
      </c>
      <c r="J120" s="7" t="s">
        <v>64</v>
      </c>
      <c r="K120" s="7" t="s">
        <v>65</v>
      </c>
      <c r="L120" s="7" t="s">
        <v>280</v>
      </c>
      <c r="M120" s="7" t="s">
        <v>67</v>
      </c>
      <c r="N120" s="7" t="s">
        <v>68</v>
      </c>
      <c r="O120" s="7" t="s">
        <v>129</v>
      </c>
      <c r="P120" s="7" t="s">
        <v>84</v>
      </c>
      <c r="Q120" s="7" t="s">
        <v>407</v>
      </c>
      <c r="R120" s="7" t="s">
        <v>72</v>
      </c>
      <c r="S120" s="7">
        <v>1</v>
      </c>
      <c r="T120" s="7">
        <v>0</v>
      </c>
      <c r="U120" s="7">
        <v>0</v>
      </c>
      <c r="V120" s="7" t="s">
        <v>73</v>
      </c>
      <c r="W120" s="7">
        <v>0</v>
      </c>
      <c r="X120" s="7" t="s">
        <v>73</v>
      </c>
      <c r="Y120" s="7" t="s">
        <v>73</v>
      </c>
      <c r="Z120" s="7">
        <v>2025</v>
      </c>
      <c r="AA120" s="7" t="s">
        <v>74</v>
      </c>
      <c r="AB120" s="7" t="s">
        <v>104</v>
      </c>
      <c r="AC120" s="7" t="s">
        <v>637</v>
      </c>
      <c r="AD120" s="7" t="s">
        <v>816</v>
      </c>
      <c r="AE120" s="7" t="s">
        <v>711</v>
      </c>
    </row>
    <row r="121" spans="1:31" x14ac:dyDescent="0.3">
      <c r="A121" s="5" t="s">
        <v>638</v>
      </c>
      <c r="B121" s="5">
        <v>2324</v>
      </c>
      <c r="C121" s="5" t="s">
        <v>639</v>
      </c>
      <c r="D121" s="5" t="s">
        <v>640</v>
      </c>
      <c r="E121" s="5" t="s">
        <v>175</v>
      </c>
      <c r="F121" s="5" t="s">
        <v>60</v>
      </c>
      <c r="G121" s="5" t="s">
        <v>641</v>
      </c>
      <c r="H121" s="6" t="s">
        <v>62</v>
      </c>
      <c r="I121" s="7" t="s">
        <v>636</v>
      </c>
      <c r="J121" s="7" t="s">
        <v>64</v>
      </c>
      <c r="K121" s="7" t="s">
        <v>73</v>
      </c>
      <c r="L121" s="7" t="s">
        <v>66</v>
      </c>
      <c r="M121" s="7" t="s">
        <v>67</v>
      </c>
      <c r="N121" s="7" t="s">
        <v>210</v>
      </c>
      <c r="O121" s="7" t="s">
        <v>129</v>
      </c>
      <c r="P121" s="7" t="s">
        <v>70</v>
      </c>
      <c r="Q121" s="7" t="s">
        <v>407</v>
      </c>
      <c r="R121" s="7" t="s">
        <v>72</v>
      </c>
      <c r="S121" s="7">
        <v>1</v>
      </c>
      <c r="T121" s="7">
        <v>1</v>
      </c>
      <c r="U121" s="7">
        <v>0</v>
      </c>
      <c r="V121" s="7" t="s">
        <v>73</v>
      </c>
      <c r="W121" s="7">
        <v>0</v>
      </c>
      <c r="X121" s="7" t="s">
        <v>73</v>
      </c>
      <c r="Y121" s="7" t="s">
        <v>73</v>
      </c>
      <c r="Z121" s="7">
        <v>2024</v>
      </c>
      <c r="AA121" s="7" t="s">
        <v>74</v>
      </c>
      <c r="AB121" s="7" t="s">
        <v>104</v>
      </c>
      <c r="AC121" s="7" t="s">
        <v>211</v>
      </c>
      <c r="AD121" s="7" t="s">
        <v>816</v>
      </c>
      <c r="AE121" s="7" t="s">
        <v>711</v>
      </c>
    </row>
    <row r="122" spans="1:31" x14ac:dyDescent="0.3">
      <c r="A122" s="5" t="s">
        <v>643</v>
      </c>
      <c r="B122" s="5">
        <v>3892</v>
      </c>
      <c r="C122" s="5" t="s">
        <v>644</v>
      </c>
      <c r="D122" s="5" t="s">
        <v>645</v>
      </c>
      <c r="E122" s="5" t="s">
        <v>119</v>
      </c>
      <c r="F122" s="5" t="s">
        <v>60</v>
      </c>
      <c r="G122" s="5" t="s">
        <v>646</v>
      </c>
      <c r="H122" s="6" t="s">
        <v>62</v>
      </c>
      <c r="I122" s="7" t="s">
        <v>642</v>
      </c>
      <c r="J122" s="7" t="s">
        <v>64</v>
      </c>
      <c r="K122" s="7" t="s">
        <v>73</v>
      </c>
      <c r="L122" s="7" t="s">
        <v>66</v>
      </c>
      <c r="M122" s="7" t="s">
        <v>67</v>
      </c>
      <c r="N122" s="7" t="s">
        <v>812</v>
      </c>
      <c r="O122" s="7" t="s">
        <v>315</v>
      </c>
      <c r="P122" s="7" t="s">
        <v>70</v>
      </c>
      <c r="Q122" s="7" t="s">
        <v>407</v>
      </c>
      <c r="R122" s="7" t="s">
        <v>72</v>
      </c>
      <c r="S122" s="7">
        <v>1</v>
      </c>
      <c r="T122" s="7">
        <v>1</v>
      </c>
      <c r="U122" s="7">
        <v>0</v>
      </c>
      <c r="V122" s="7">
        <v>1</v>
      </c>
      <c r="W122" s="7">
        <v>0</v>
      </c>
      <c r="X122" s="7" t="s">
        <v>73</v>
      </c>
      <c r="Y122" s="7">
        <v>0</v>
      </c>
      <c r="Z122" s="7">
        <v>2024</v>
      </c>
      <c r="AA122" s="7" t="s">
        <v>831</v>
      </c>
      <c r="AB122" s="7" t="s">
        <v>75</v>
      </c>
      <c r="AC122" s="7" t="s">
        <v>832</v>
      </c>
      <c r="AD122" s="7" t="s">
        <v>816</v>
      </c>
      <c r="AE122" s="7" t="s">
        <v>711</v>
      </c>
    </row>
    <row r="123" spans="1:31" x14ac:dyDescent="0.3">
      <c r="A123" s="5" t="s">
        <v>647</v>
      </c>
      <c r="B123" s="5">
        <v>4902</v>
      </c>
      <c r="C123" s="5" t="s">
        <v>648</v>
      </c>
      <c r="D123" s="5" t="s">
        <v>649</v>
      </c>
      <c r="E123" s="5" t="s">
        <v>352</v>
      </c>
      <c r="F123" s="5" t="s">
        <v>60</v>
      </c>
      <c r="G123" s="5" t="s">
        <v>650</v>
      </c>
      <c r="H123" s="6" t="s">
        <v>62</v>
      </c>
      <c r="I123" s="7" t="s">
        <v>73</v>
      </c>
      <c r="J123" s="7" t="s">
        <v>64</v>
      </c>
      <c r="K123" s="7" t="s">
        <v>73</v>
      </c>
      <c r="L123" s="7" t="s">
        <v>66</v>
      </c>
      <c r="M123" s="7" t="s">
        <v>66</v>
      </c>
      <c r="N123" s="7" t="s">
        <v>73</v>
      </c>
      <c r="O123" s="7" t="s">
        <v>73</v>
      </c>
      <c r="P123" s="7" t="s">
        <v>73</v>
      </c>
      <c r="Q123" s="7" t="s">
        <v>73</v>
      </c>
      <c r="R123" s="7" t="s">
        <v>92</v>
      </c>
      <c r="S123" s="7" t="s">
        <v>73</v>
      </c>
      <c r="T123" s="7" t="s">
        <v>73</v>
      </c>
      <c r="U123" s="7" t="s">
        <v>73</v>
      </c>
      <c r="V123" s="7" t="s">
        <v>73</v>
      </c>
      <c r="W123" s="7" t="s">
        <v>73</v>
      </c>
      <c r="X123" s="7" t="s">
        <v>73</v>
      </c>
      <c r="Y123" s="7" t="s">
        <v>73</v>
      </c>
      <c r="Z123" s="7" t="s">
        <v>73</v>
      </c>
      <c r="AA123" s="7" t="s">
        <v>73</v>
      </c>
      <c r="AB123" s="7" t="s">
        <v>104</v>
      </c>
      <c r="AC123" s="7" t="s">
        <v>73</v>
      </c>
      <c r="AD123" s="7" t="s">
        <v>595</v>
      </c>
      <c r="AE123" s="7" t="s">
        <v>709</v>
      </c>
    </row>
    <row r="124" spans="1:31" x14ac:dyDescent="0.3">
      <c r="A124" s="5" t="s">
        <v>600</v>
      </c>
      <c r="B124" s="5">
        <v>72</v>
      </c>
      <c r="C124" s="5" t="s">
        <v>601</v>
      </c>
      <c r="D124" s="5" t="s">
        <v>602</v>
      </c>
      <c r="E124" s="5" t="s">
        <v>294</v>
      </c>
      <c r="F124" s="5" t="s">
        <v>60</v>
      </c>
      <c r="G124" s="5" t="s">
        <v>603</v>
      </c>
      <c r="H124" s="6" t="s">
        <v>62</v>
      </c>
      <c r="I124" s="7" t="s">
        <v>73</v>
      </c>
      <c r="J124" s="7" t="s">
        <v>64</v>
      </c>
      <c r="K124" s="7" t="s">
        <v>73</v>
      </c>
      <c r="L124" s="7" t="s">
        <v>66</v>
      </c>
      <c r="M124" s="7" t="s">
        <v>66</v>
      </c>
      <c r="N124" s="7" t="s">
        <v>73</v>
      </c>
      <c r="O124" s="7" t="s">
        <v>73</v>
      </c>
      <c r="P124" s="7" t="s">
        <v>73</v>
      </c>
      <c r="Q124" s="7" t="s">
        <v>73</v>
      </c>
      <c r="R124" s="7" t="s">
        <v>92</v>
      </c>
      <c r="S124" s="7" t="s">
        <v>73</v>
      </c>
      <c r="T124" s="7" t="s">
        <v>73</v>
      </c>
      <c r="U124" s="7" t="s">
        <v>73</v>
      </c>
      <c r="V124" s="7" t="s">
        <v>73</v>
      </c>
      <c r="W124" s="7" t="s">
        <v>73</v>
      </c>
      <c r="X124" s="7" t="s">
        <v>73</v>
      </c>
      <c r="Y124" s="7" t="s">
        <v>73</v>
      </c>
      <c r="Z124" s="7" t="s">
        <v>73</v>
      </c>
      <c r="AA124" s="7" t="s">
        <v>73</v>
      </c>
      <c r="AB124" s="7" t="str">
        <f>IFERROR(IF(VLOOKUP(D124,[1]Revistas!$A$21:$C$400,3,FALSE)=0,"",VLOOKUP(D124,[1]Revistas!$A$21:$C$400,3,FALSE)),"")</f>
        <v>medio</v>
      </c>
      <c r="AC124" s="7" t="s">
        <v>73</v>
      </c>
      <c r="AD124" s="7" t="s">
        <v>73</v>
      </c>
      <c r="AE124" s="7" t="s">
        <v>709</v>
      </c>
    </row>
    <row r="125" spans="1:31" x14ac:dyDescent="0.3">
      <c r="A125" s="5" t="s">
        <v>604</v>
      </c>
      <c r="B125" s="5">
        <v>74</v>
      </c>
      <c r="C125" s="5" t="s">
        <v>605</v>
      </c>
      <c r="D125" s="5" t="s">
        <v>606</v>
      </c>
      <c r="E125" s="5" t="s">
        <v>80</v>
      </c>
      <c r="F125" s="5" t="s">
        <v>60</v>
      </c>
      <c r="G125" s="5" t="s">
        <v>607</v>
      </c>
      <c r="H125" s="6" t="s">
        <v>62</v>
      </c>
      <c r="I125" s="7" t="s">
        <v>73</v>
      </c>
      <c r="J125" s="7" t="s">
        <v>64</v>
      </c>
      <c r="K125" s="7" t="s">
        <v>73</v>
      </c>
      <c r="L125" s="7" t="s">
        <v>66</v>
      </c>
      <c r="M125" s="7" t="s">
        <v>66</v>
      </c>
      <c r="N125" s="7" t="s">
        <v>73</v>
      </c>
      <c r="O125" s="7" t="s">
        <v>73</v>
      </c>
      <c r="P125" s="7" t="s">
        <v>73</v>
      </c>
      <c r="Q125" s="7" t="s">
        <v>73</v>
      </c>
      <c r="R125" s="7" t="s">
        <v>92</v>
      </c>
      <c r="S125" s="7" t="s">
        <v>73</v>
      </c>
      <c r="T125" s="7" t="s">
        <v>73</v>
      </c>
      <c r="U125" s="7" t="s">
        <v>73</v>
      </c>
      <c r="V125" s="7" t="s">
        <v>73</v>
      </c>
      <c r="W125" s="7" t="s">
        <v>73</v>
      </c>
      <c r="X125" s="7" t="s">
        <v>73</v>
      </c>
      <c r="Y125" s="7" t="s">
        <v>73</v>
      </c>
      <c r="Z125" s="7" t="s">
        <v>73</v>
      </c>
      <c r="AA125" s="7" t="s">
        <v>73</v>
      </c>
      <c r="AB125" s="7" t="str">
        <f>IFERROR(IF(VLOOKUP(D125,[1]Revistas!$A$21:$C$400,3,FALSE)=0,"",VLOOKUP(D125,[1]Revistas!$A$21:$C$400,3,FALSE)),"")</f>
        <v>alto</v>
      </c>
      <c r="AC125" s="7" t="s">
        <v>73</v>
      </c>
      <c r="AD125" s="7" t="s">
        <v>73</v>
      </c>
      <c r="AE125" s="7" t="s">
        <v>709</v>
      </c>
    </row>
    <row r="126" spans="1:31" x14ac:dyDescent="0.3">
      <c r="A126" s="5" t="s">
        <v>651</v>
      </c>
      <c r="B126" s="5">
        <v>120</v>
      </c>
      <c r="C126" s="5" t="s">
        <v>652</v>
      </c>
      <c r="D126" s="5" t="s">
        <v>351</v>
      </c>
      <c r="E126" s="5" t="s">
        <v>352</v>
      </c>
      <c r="F126" s="5" t="s">
        <v>60</v>
      </c>
      <c r="G126" s="5" t="s">
        <v>653</v>
      </c>
      <c r="H126" s="6" t="s">
        <v>62</v>
      </c>
      <c r="I126" s="7" t="s">
        <v>73</v>
      </c>
      <c r="J126" s="7" t="s">
        <v>64</v>
      </c>
      <c r="K126" s="7" t="s">
        <v>73</v>
      </c>
      <c r="L126" s="7" t="s">
        <v>66</v>
      </c>
      <c r="M126" s="7" t="s">
        <v>66</v>
      </c>
      <c r="N126" s="7" t="s">
        <v>73</v>
      </c>
      <c r="O126" s="7" t="s">
        <v>73</v>
      </c>
      <c r="P126" s="7" t="s">
        <v>73</v>
      </c>
      <c r="Q126" s="7" t="s">
        <v>73</v>
      </c>
      <c r="R126" s="7" t="s">
        <v>92</v>
      </c>
      <c r="S126" s="7" t="s">
        <v>73</v>
      </c>
      <c r="T126" s="7" t="s">
        <v>73</v>
      </c>
      <c r="U126" s="7" t="s">
        <v>73</v>
      </c>
      <c r="V126" s="7" t="s">
        <v>73</v>
      </c>
      <c r="W126" s="7" t="s">
        <v>73</v>
      </c>
      <c r="X126" s="7" t="s">
        <v>73</v>
      </c>
      <c r="Y126" s="7" t="s">
        <v>73</v>
      </c>
      <c r="Z126" s="7" t="s">
        <v>73</v>
      </c>
      <c r="AA126" s="7" t="s">
        <v>73</v>
      </c>
      <c r="AB126" s="7" t="s">
        <v>104</v>
      </c>
      <c r="AC126" s="7" t="s">
        <v>73</v>
      </c>
      <c r="AD126" s="7" t="s">
        <v>73</v>
      </c>
      <c r="AE126" s="7" t="s">
        <v>709</v>
      </c>
    </row>
    <row r="127" spans="1:31" x14ac:dyDescent="0.3">
      <c r="A127" s="5" t="s">
        <v>654</v>
      </c>
      <c r="B127" s="5">
        <v>137</v>
      </c>
      <c r="C127" s="5" t="s">
        <v>655</v>
      </c>
      <c r="D127" s="5" t="s">
        <v>656</v>
      </c>
      <c r="E127" s="5" t="s">
        <v>59</v>
      </c>
      <c r="F127" s="5" t="s">
        <v>60</v>
      </c>
      <c r="G127" s="5" t="s">
        <v>657</v>
      </c>
      <c r="H127" s="6" t="s">
        <v>62</v>
      </c>
      <c r="I127" s="7" t="s">
        <v>73</v>
      </c>
      <c r="J127" s="7" t="s">
        <v>64</v>
      </c>
      <c r="K127" s="7" t="s">
        <v>73</v>
      </c>
      <c r="L127" s="7" t="s">
        <v>66</v>
      </c>
      <c r="M127" s="7" t="s">
        <v>66</v>
      </c>
      <c r="N127" s="7" t="s">
        <v>73</v>
      </c>
      <c r="O127" s="7" t="s">
        <v>73</v>
      </c>
      <c r="P127" s="7" t="s">
        <v>73</v>
      </c>
      <c r="Q127" s="7" t="s">
        <v>73</v>
      </c>
      <c r="R127" s="7" t="s">
        <v>92</v>
      </c>
      <c r="S127" s="7" t="s">
        <v>73</v>
      </c>
      <c r="T127" s="7" t="s">
        <v>73</v>
      </c>
      <c r="U127" s="7" t="s">
        <v>73</v>
      </c>
      <c r="V127" s="7" t="s">
        <v>73</v>
      </c>
      <c r="W127" s="7" t="s">
        <v>73</v>
      </c>
      <c r="X127" s="7" t="s">
        <v>73</v>
      </c>
      <c r="Y127" s="7" t="s">
        <v>73</v>
      </c>
      <c r="Z127" s="7" t="s">
        <v>73</v>
      </c>
      <c r="AA127" s="7" t="s">
        <v>73</v>
      </c>
      <c r="AB127" s="7" t="str">
        <f>IFERROR(IF(VLOOKUP(D127,[1]Revistas!$A$21:$C$400,3,FALSE)=0,"",VLOOKUP(D127,[1]Revistas!$A$21:$C$400,3,FALSE)),"")</f>
        <v>medio</v>
      </c>
      <c r="AC127" s="7" t="s">
        <v>73</v>
      </c>
      <c r="AD127" s="7" t="s">
        <v>73</v>
      </c>
      <c r="AE127" s="7" t="s">
        <v>709</v>
      </c>
    </row>
    <row r="128" spans="1:31" x14ac:dyDescent="0.3">
      <c r="A128" s="5" t="s">
        <v>658</v>
      </c>
      <c r="B128" s="5">
        <v>185</v>
      </c>
      <c r="C128" s="5" t="s">
        <v>659</v>
      </c>
      <c r="D128" s="5" t="s">
        <v>345</v>
      </c>
      <c r="E128" s="5" t="s">
        <v>59</v>
      </c>
      <c r="F128" s="5" t="s">
        <v>60</v>
      </c>
      <c r="G128" s="5" t="s">
        <v>660</v>
      </c>
      <c r="H128" s="6" t="s">
        <v>62</v>
      </c>
      <c r="I128" s="7" t="s">
        <v>73</v>
      </c>
      <c r="J128" s="7" t="s">
        <v>64</v>
      </c>
      <c r="K128" s="7" t="s">
        <v>73</v>
      </c>
      <c r="L128" s="7" t="s">
        <v>66</v>
      </c>
      <c r="M128" s="7" t="s">
        <v>66</v>
      </c>
      <c r="N128" s="7" t="s">
        <v>73</v>
      </c>
      <c r="O128" s="7" t="s">
        <v>73</v>
      </c>
      <c r="P128" s="7" t="s">
        <v>73</v>
      </c>
      <c r="Q128" s="7" t="s">
        <v>73</v>
      </c>
      <c r="R128" s="7" t="s">
        <v>92</v>
      </c>
      <c r="S128" s="7" t="s">
        <v>73</v>
      </c>
      <c r="T128" s="7" t="s">
        <v>73</v>
      </c>
      <c r="U128" s="7" t="s">
        <v>73</v>
      </c>
      <c r="V128" s="7" t="s">
        <v>73</v>
      </c>
      <c r="W128" s="7" t="s">
        <v>73</v>
      </c>
      <c r="X128" s="7" t="s">
        <v>73</v>
      </c>
      <c r="Y128" s="7" t="s">
        <v>73</v>
      </c>
      <c r="Z128" s="7" t="s">
        <v>73</v>
      </c>
      <c r="AA128" s="7" t="s">
        <v>73</v>
      </c>
      <c r="AB128" s="7" t="s">
        <v>104</v>
      </c>
      <c r="AC128" s="7" t="s">
        <v>73</v>
      </c>
      <c r="AD128" s="7" t="s">
        <v>73</v>
      </c>
      <c r="AE128" s="7" t="s">
        <v>709</v>
      </c>
    </row>
    <row r="129" spans="1:31" x14ac:dyDescent="0.3">
      <c r="A129" s="5" t="s">
        <v>661</v>
      </c>
      <c r="B129" s="5">
        <v>193</v>
      </c>
      <c r="C129" s="5" t="s">
        <v>662</v>
      </c>
      <c r="D129" s="5" t="s">
        <v>663</v>
      </c>
      <c r="E129" s="5" t="s">
        <v>59</v>
      </c>
      <c r="F129" s="5" t="s">
        <v>60</v>
      </c>
      <c r="G129" s="5" t="s">
        <v>664</v>
      </c>
      <c r="H129" s="6" t="s">
        <v>62</v>
      </c>
      <c r="I129" s="7" t="s">
        <v>73</v>
      </c>
      <c r="J129" s="7" t="s">
        <v>64</v>
      </c>
      <c r="K129" s="7" t="s">
        <v>73</v>
      </c>
      <c r="L129" s="7" t="s">
        <v>66</v>
      </c>
      <c r="M129" s="7" t="s">
        <v>66</v>
      </c>
      <c r="N129" s="7" t="s">
        <v>73</v>
      </c>
      <c r="O129" s="7" t="s">
        <v>73</v>
      </c>
      <c r="P129" s="7" t="s">
        <v>73</v>
      </c>
      <c r="Q129" s="7" t="s">
        <v>73</v>
      </c>
      <c r="R129" s="7" t="s">
        <v>92</v>
      </c>
      <c r="S129" s="7" t="s">
        <v>73</v>
      </c>
      <c r="T129" s="7" t="s">
        <v>73</v>
      </c>
      <c r="U129" s="7" t="s">
        <v>73</v>
      </c>
      <c r="V129" s="7" t="s">
        <v>73</v>
      </c>
      <c r="W129" s="7" t="s">
        <v>73</v>
      </c>
      <c r="X129" s="7" t="s">
        <v>73</v>
      </c>
      <c r="Y129" s="7" t="s">
        <v>73</v>
      </c>
      <c r="Z129" s="7" t="s">
        <v>73</v>
      </c>
      <c r="AA129" s="7" t="s">
        <v>73</v>
      </c>
      <c r="AB129" s="7" t="s">
        <v>104</v>
      </c>
      <c r="AC129" s="7" t="s">
        <v>73</v>
      </c>
      <c r="AD129" s="7" t="s">
        <v>73</v>
      </c>
      <c r="AE129" s="7" t="s">
        <v>709</v>
      </c>
    </row>
    <row r="130" spans="1:31" x14ac:dyDescent="0.3">
      <c r="A130" s="5" t="s">
        <v>665</v>
      </c>
      <c r="B130" s="5">
        <v>324</v>
      </c>
      <c r="C130" s="5" t="s">
        <v>666</v>
      </c>
      <c r="D130" s="5" t="s">
        <v>667</v>
      </c>
      <c r="E130" s="5" t="s">
        <v>199</v>
      </c>
      <c r="F130" s="5" t="s">
        <v>60</v>
      </c>
      <c r="G130" s="5" t="s">
        <v>668</v>
      </c>
      <c r="H130" s="6" t="s">
        <v>62</v>
      </c>
      <c r="I130" s="7" t="s">
        <v>73</v>
      </c>
      <c r="J130" s="7" t="s">
        <v>64</v>
      </c>
      <c r="K130" s="7" t="s">
        <v>73</v>
      </c>
      <c r="L130" s="7" t="s">
        <v>66</v>
      </c>
      <c r="M130" s="7" t="s">
        <v>66</v>
      </c>
      <c r="N130" s="7" t="s">
        <v>73</v>
      </c>
      <c r="O130" s="7" t="s">
        <v>73</v>
      </c>
      <c r="P130" s="7" t="s">
        <v>73</v>
      </c>
      <c r="Q130" s="7" t="s">
        <v>73</v>
      </c>
      <c r="R130" s="7" t="s">
        <v>92</v>
      </c>
      <c r="S130" s="7" t="s">
        <v>73</v>
      </c>
      <c r="T130" s="7" t="s">
        <v>73</v>
      </c>
      <c r="U130" s="7" t="s">
        <v>73</v>
      </c>
      <c r="V130" s="7" t="s">
        <v>73</v>
      </c>
      <c r="W130" s="7" t="s">
        <v>73</v>
      </c>
      <c r="X130" s="7" t="s">
        <v>73</v>
      </c>
      <c r="Y130" s="7" t="s">
        <v>73</v>
      </c>
      <c r="Z130" s="7" t="s">
        <v>73</v>
      </c>
      <c r="AA130" s="7" t="s">
        <v>73</v>
      </c>
      <c r="AB130" s="7" t="s">
        <v>104</v>
      </c>
      <c r="AC130" s="7" t="s">
        <v>73</v>
      </c>
      <c r="AD130" s="7" t="s">
        <v>73</v>
      </c>
      <c r="AE130" s="7" t="s">
        <v>709</v>
      </c>
    </row>
    <row r="131" spans="1:31" x14ac:dyDescent="0.3">
      <c r="A131" s="5" t="s">
        <v>669</v>
      </c>
      <c r="B131" s="5">
        <v>613</v>
      </c>
      <c r="C131" s="5" t="s">
        <v>670</v>
      </c>
      <c r="D131" s="5" t="s">
        <v>671</v>
      </c>
      <c r="E131" s="5" t="s">
        <v>175</v>
      </c>
      <c r="F131" s="5" t="s">
        <v>60</v>
      </c>
      <c r="G131" s="5" t="s">
        <v>672</v>
      </c>
      <c r="H131" s="6" t="s">
        <v>62</v>
      </c>
      <c r="I131" s="7" t="s">
        <v>73</v>
      </c>
      <c r="J131" s="7" t="s">
        <v>64</v>
      </c>
      <c r="K131" s="7" t="s">
        <v>73</v>
      </c>
      <c r="L131" s="7" t="s">
        <v>66</v>
      </c>
      <c r="M131" s="7" t="s">
        <v>66</v>
      </c>
      <c r="N131" s="7" t="s">
        <v>73</v>
      </c>
      <c r="O131" s="7" t="s">
        <v>73</v>
      </c>
      <c r="P131" s="7" t="s">
        <v>73</v>
      </c>
      <c r="Q131" s="7" t="s">
        <v>73</v>
      </c>
      <c r="R131" s="7" t="s">
        <v>92</v>
      </c>
      <c r="S131" s="7" t="s">
        <v>73</v>
      </c>
      <c r="T131" s="7" t="s">
        <v>73</v>
      </c>
      <c r="U131" s="7" t="s">
        <v>73</v>
      </c>
      <c r="V131" s="7" t="s">
        <v>73</v>
      </c>
      <c r="W131" s="7" t="s">
        <v>73</v>
      </c>
      <c r="X131" s="7" t="s">
        <v>73</v>
      </c>
      <c r="Y131" s="7" t="s">
        <v>73</v>
      </c>
      <c r="Z131" s="7" t="s">
        <v>73</v>
      </c>
      <c r="AA131" s="7" t="s">
        <v>73</v>
      </c>
      <c r="AB131" s="7" t="s">
        <v>104</v>
      </c>
      <c r="AC131" s="7" t="s">
        <v>73</v>
      </c>
      <c r="AD131" s="7" t="s">
        <v>73</v>
      </c>
      <c r="AE131" s="7" t="s">
        <v>709</v>
      </c>
    </row>
    <row r="132" spans="1:31" x14ac:dyDescent="0.3">
      <c r="A132" s="5" t="s">
        <v>673</v>
      </c>
      <c r="B132" s="5">
        <v>1085</v>
      </c>
      <c r="C132" s="5" t="s">
        <v>674</v>
      </c>
      <c r="D132" s="5" t="s">
        <v>377</v>
      </c>
      <c r="E132" s="5" t="s">
        <v>80</v>
      </c>
      <c r="F132" s="5" t="s">
        <v>60</v>
      </c>
      <c r="G132" s="5" t="s">
        <v>675</v>
      </c>
      <c r="H132" s="6" t="s">
        <v>62</v>
      </c>
      <c r="I132" s="7" t="s">
        <v>73</v>
      </c>
      <c r="J132" s="7" t="s">
        <v>64</v>
      </c>
      <c r="K132" s="7" t="s">
        <v>73</v>
      </c>
      <c r="L132" s="7" t="s">
        <v>66</v>
      </c>
      <c r="M132" s="7" t="s">
        <v>66</v>
      </c>
      <c r="N132" s="7" t="s">
        <v>73</v>
      </c>
      <c r="O132" s="7" t="s">
        <v>73</v>
      </c>
      <c r="P132" s="7" t="s">
        <v>73</v>
      </c>
      <c r="Q132" s="7" t="s">
        <v>73</v>
      </c>
      <c r="R132" s="7" t="s">
        <v>92</v>
      </c>
      <c r="S132" s="7" t="s">
        <v>73</v>
      </c>
      <c r="T132" s="7" t="s">
        <v>73</v>
      </c>
      <c r="U132" s="7" t="s">
        <v>73</v>
      </c>
      <c r="V132" s="7" t="s">
        <v>73</v>
      </c>
      <c r="W132" s="7" t="s">
        <v>73</v>
      </c>
      <c r="X132" s="7" t="s">
        <v>73</v>
      </c>
      <c r="Y132" s="7" t="s">
        <v>73</v>
      </c>
      <c r="Z132" s="7" t="s">
        <v>73</v>
      </c>
      <c r="AA132" s="7" t="s">
        <v>73</v>
      </c>
      <c r="AB132" s="7" t="s">
        <v>104</v>
      </c>
      <c r="AC132" s="7" t="s">
        <v>73</v>
      </c>
      <c r="AD132" s="7" t="s">
        <v>73</v>
      </c>
      <c r="AE132" s="7" t="s">
        <v>709</v>
      </c>
    </row>
    <row r="133" spans="1:31" x14ac:dyDescent="0.3">
      <c r="A133" s="5" t="s">
        <v>676</v>
      </c>
      <c r="B133" s="5">
        <v>1251</v>
      </c>
      <c r="C133" s="5" t="s">
        <v>677</v>
      </c>
      <c r="D133" s="5" t="s">
        <v>160</v>
      </c>
      <c r="E133" s="5" t="s">
        <v>96</v>
      </c>
      <c r="F133" s="5" t="s">
        <v>60</v>
      </c>
      <c r="G133" s="5" t="s">
        <v>678</v>
      </c>
      <c r="H133" s="6" t="s">
        <v>62</v>
      </c>
      <c r="I133" s="7" t="s">
        <v>73</v>
      </c>
      <c r="J133" s="7" t="s">
        <v>64</v>
      </c>
      <c r="K133" s="7" t="s">
        <v>73</v>
      </c>
      <c r="L133" s="7" t="s">
        <v>66</v>
      </c>
      <c r="M133" s="7" t="s">
        <v>66</v>
      </c>
      <c r="N133" s="7" t="s">
        <v>73</v>
      </c>
      <c r="O133" s="7" t="s">
        <v>73</v>
      </c>
      <c r="P133" s="7" t="s">
        <v>73</v>
      </c>
      <c r="Q133" s="7" t="s">
        <v>73</v>
      </c>
      <c r="R133" s="7" t="s">
        <v>92</v>
      </c>
      <c r="S133" s="7" t="s">
        <v>73</v>
      </c>
      <c r="T133" s="7" t="s">
        <v>73</v>
      </c>
      <c r="U133" s="7" t="s">
        <v>73</v>
      </c>
      <c r="V133" s="7" t="s">
        <v>73</v>
      </c>
      <c r="W133" s="7" t="s">
        <v>73</v>
      </c>
      <c r="X133" s="7" t="s">
        <v>73</v>
      </c>
      <c r="Y133" s="7" t="s">
        <v>73</v>
      </c>
      <c r="Z133" s="7" t="s">
        <v>73</v>
      </c>
      <c r="AA133" s="7" t="s">
        <v>73</v>
      </c>
      <c r="AB133" s="7" t="s">
        <v>104</v>
      </c>
      <c r="AC133" s="7"/>
      <c r="AD133" s="7" t="s">
        <v>73</v>
      </c>
      <c r="AE133" s="7" t="s">
        <v>709</v>
      </c>
    </row>
  </sheetData>
  <autoFilter ref="A1:AE1" xr:uid="{00000000-0001-0000-0100-000000000000}"/>
  <dataValidations count="12">
    <dataValidation type="custom" allowBlank="1" showErrorMessage="1" errorTitle="Revise la cifra" error="Debe ser un entero entre 0 y el nº de pacientes del brazo, o NA si el artículo no lo reporta." sqref="Y29 Y33 Y45:Y52 Y57 Y60 Y63:Y65 Y89:Y93 Y2:Y5 Y8 Y12:Y17 Y19:Y27 Y36:Y40 Y67:Y77 Y79:Y87 Y95:Y100 Y157:Y195 T157:W195 Y107:Y119 T2:W135 Y122:Y135" xr:uid="{00000000-0002-0000-0100-000008000000}">
      <formula1>OR(T2="NA",AND(ISNUMBER(T2),T2&gt;=0,T2&lt;=$S2))</formula1>
    </dataValidation>
    <dataValidation type="custom" allowBlank="1" showErrorMessage="1" errorTitle="Revise la cifra" error="Un número (mínimo 0) o NA si el artículo no lo reporta." sqref="Y6:Y7 Y9:Y11 Y18 Y28 Y30:Y32 Y34:Y35 Y41:Y44 Y53:Y56 Y58:Y59 Y61:Y62 Y66 Y78 Y88 Y94 Y101:Y106 Y120:Y121 X157:X195 X2:X135" xr:uid="{00000000-0002-0000-0100-00000A000000}">
      <formula1>OR(X2="NA",AND(ISNUMBER(X2),X2&gt;=0))</formula1>
    </dataValidation>
    <dataValidation type="list" allowBlank="1" sqref="K157:K195 K2:K135" xr:uid="{00000000-0002-0000-0100-000000000000}">
      <formula1>"solo Pseudomonas,mixto con subgrupo de Pseudomonas"</formula1>
    </dataValidation>
    <dataValidation type="list" allowBlank="1" sqref="L157:L195 L2:L135" xr:uid="{00000000-0002-0000-0100-000001000000}">
      <formula1>"MDR,XDR,PDR,por debajo del umbral MDR,no clasificable"</formula1>
    </dataValidation>
    <dataValidation type="list" allowBlank="1" sqref="M157:M195 M2:M135" xr:uid="{00000000-0002-0000-0100-000002000000}">
      <formula1>"declarado por el autor,verificado de forma independiente,no clasificable"</formula1>
    </dataValidation>
    <dataValidation type="list" allowBlank="1" sqref="N157:N195 N2:N135" xr:uid="{00000000-0002-0000-0100-000003000000}">
      <formula1>"si,no,no derivable"</formula1>
    </dataValidation>
    <dataValidation type="list" allowBlank="1" sqref="O157:O195 O2:O135" xr:uid="{00000000-0002-0000-0100-000004000000}">
      <formula1>"IV,inhalada/nebulizada,topica/local,oral,intravesical,intraarticular,otra,NA"</formula1>
    </dataValidation>
    <dataValidation type="list" allowBlank="1" sqref="P157:P195 P2:P135" xr:uid="{00000000-0002-0000-0100-000005000000}">
      <formula1>"fago en monoterapia,fago + antibiotico,fago + otro,NA"</formula1>
    </dataValidation>
    <dataValidation type="list" allowBlank="1" sqref="Q157:Q195 Q2:Q135" xr:uid="{00000000-0002-0000-0100-000006000000}">
      <formula1>"ECA,caso clinico,serie de casos,cohorte retrospectiva,cohorte prospectiva,ensayo no aleatorizado,otra"</formula1>
    </dataValidation>
    <dataValidation type="list" allowBlank="1" sqref="R157:R195 R2:R135" xr:uid="{00000000-0002-0000-0100-000007000000}">
      <formula1>"COMPLETA,PARCIAL,INCOMPLETA"</formula1>
    </dataValidation>
    <dataValidation type="custom" allowBlank="1" showErrorMessage="1" errorTitle="Revise la cifra" error="Un número (mínimo 1) o NA si el artículo no lo reporta." sqref="S157:S195 S2:S135" xr:uid="{00000000-0002-0000-0100-000009000000}">
      <formula1>OR(S2="NA",AND(ISNUMBER(S2),S2&gt;=1))</formula1>
    </dataValidation>
    <dataValidation type="list" allowBlank="1" sqref="Z157:Z195 Z2:Z135" xr:uid="{00000000-0002-0000-0100-00000B000000}">
      <formula1>"2006,2007,2008,2009,2010,2011,2012,2013,2014,2015,2016,2017,2018,2019,2020,2021,2022,2023,2024,2025,2026"</formula1>
    </dataValidation>
  </dataValidations>
  <hyperlinks>
    <hyperlink ref="H2" r:id="rId1" xr:uid="{00000000-0004-0000-0100-000000000000}"/>
    <hyperlink ref="H3" r:id="rId2" xr:uid="{00000000-0004-0000-0100-000001000000}"/>
    <hyperlink ref="H24" r:id="rId3" xr:uid="{00000000-0004-0000-0100-000016000000}"/>
    <hyperlink ref="H25" r:id="rId4" xr:uid="{00000000-0004-0000-0100-000017000000}"/>
    <hyperlink ref="H26" r:id="rId5" xr:uid="{00000000-0004-0000-0100-000018000000}"/>
    <hyperlink ref="H27" r:id="rId6" xr:uid="{00000000-0004-0000-0100-000019000000}"/>
    <hyperlink ref="H28" r:id="rId7" xr:uid="{00000000-0004-0000-0100-00001A000000}"/>
    <hyperlink ref="H29" r:id="rId8" xr:uid="{00000000-0004-0000-0100-00001B000000}"/>
    <hyperlink ref="H30" r:id="rId9" xr:uid="{00000000-0004-0000-0100-00001C000000}"/>
    <hyperlink ref="H31" r:id="rId10" xr:uid="{00000000-0004-0000-0100-00001D000000}"/>
    <hyperlink ref="H32" r:id="rId11" xr:uid="{00000000-0004-0000-0100-00001E000000}"/>
    <hyperlink ref="H33" r:id="rId12" xr:uid="{00000000-0004-0000-0100-00001F000000}"/>
    <hyperlink ref="H34" r:id="rId13" xr:uid="{00000000-0004-0000-0100-000020000000}"/>
    <hyperlink ref="H35" r:id="rId14" xr:uid="{00000000-0004-0000-0100-000021000000}"/>
    <hyperlink ref="H36" r:id="rId15" xr:uid="{00000000-0004-0000-0100-000022000000}"/>
    <hyperlink ref="H37" r:id="rId16" xr:uid="{00000000-0004-0000-0100-000023000000}"/>
    <hyperlink ref="H38" r:id="rId17" xr:uid="{00000000-0004-0000-0100-000024000000}"/>
    <hyperlink ref="H39" r:id="rId18" xr:uid="{00000000-0004-0000-0100-000025000000}"/>
    <hyperlink ref="H41" r:id="rId19" xr:uid="{00000000-0004-0000-0100-000027000000}"/>
    <hyperlink ref="H42" r:id="rId20" xr:uid="{00000000-0004-0000-0100-000028000000}"/>
    <hyperlink ref="H43" r:id="rId21" xr:uid="{00000000-0004-0000-0100-000029000000}"/>
    <hyperlink ref="H44" r:id="rId22" xr:uid="{00000000-0004-0000-0100-00002A000000}"/>
    <hyperlink ref="H45" r:id="rId23" xr:uid="{00000000-0004-0000-0100-00002B000000}"/>
    <hyperlink ref="H46" r:id="rId24" xr:uid="{00000000-0004-0000-0100-00002C000000}"/>
    <hyperlink ref="H47" r:id="rId25" xr:uid="{00000000-0004-0000-0100-00002D000000}"/>
    <hyperlink ref="H48" r:id="rId26" xr:uid="{00000000-0004-0000-0100-00002E000000}"/>
    <hyperlink ref="H49" r:id="rId27" xr:uid="{00000000-0004-0000-0100-00002F000000}"/>
    <hyperlink ref="H50" r:id="rId28" xr:uid="{00000000-0004-0000-0100-000030000000}"/>
    <hyperlink ref="H51" r:id="rId29" xr:uid="{00000000-0004-0000-0100-000031000000}"/>
    <hyperlink ref="H52" r:id="rId30" xr:uid="{00000000-0004-0000-0100-000032000000}"/>
    <hyperlink ref="H53" r:id="rId31" xr:uid="{00000000-0004-0000-0100-000033000000}"/>
    <hyperlink ref="H54" r:id="rId32" xr:uid="{00000000-0004-0000-0100-000034000000}"/>
    <hyperlink ref="H55" r:id="rId33" xr:uid="{00000000-0004-0000-0100-000035000000}"/>
    <hyperlink ref="H56" r:id="rId34" xr:uid="{00000000-0004-0000-0100-000036000000}"/>
    <hyperlink ref="H57" r:id="rId35" xr:uid="{00000000-0004-0000-0100-000037000000}"/>
    <hyperlink ref="H58" r:id="rId36" xr:uid="{00000000-0004-0000-0100-000038000000}"/>
    <hyperlink ref="H59" r:id="rId37" xr:uid="{00000000-0004-0000-0100-000039000000}"/>
    <hyperlink ref="H60" r:id="rId38" xr:uid="{00000000-0004-0000-0100-00003A000000}"/>
    <hyperlink ref="H61" r:id="rId39" xr:uid="{00000000-0004-0000-0100-00003B000000}"/>
    <hyperlink ref="H62" r:id="rId40" xr:uid="{00000000-0004-0000-0100-00003C000000}"/>
    <hyperlink ref="H63" r:id="rId41" xr:uid="{00000000-0004-0000-0100-00003D000000}"/>
    <hyperlink ref="H64" r:id="rId42" xr:uid="{00000000-0004-0000-0100-00003E000000}"/>
    <hyperlink ref="H65" r:id="rId43" xr:uid="{00000000-0004-0000-0100-00003F000000}"/>
    <hyperlink ref="H66" r:id="rId44" xr:uid="{00000000-0004-0000-0100-000040000000}"/>
    <hyperlink ref="H67" r:id="rId45" xr:uid="{00000000-0004-0000-0100-000041000000}"/>
    <hyperlink ref="H69" r:id="rId46" xr:uid="{00000000-0004-0000-0100-000043000000}"/>
    <hyperlink ref="H70" r:id="rId47" xr:uid="{00000000-0004-0000-0100-000044000000}"/>
    <hyperlink ref="H71" r:id="rId48" xr:uid="{00000000-0004-0000-0100-000045000000}"/>
    <hyperlink ref="H73" r:id="rId49" xr:uid="{00000000-0004-0000-0100-000047000000}"/>
    <hyperlink ref="H74" r:id="rId50" xr:uid="{00000000-0004-0000-0100-000048000000}"/>
    <hyperlink ref="H75" r:id="rId51" xr:uid="{00000000-0004-0000-0100-000049000000}"/>
    <hyperlink ref="H76" r:id="rId52" xr:uid="{00000000-0004-0000-0100-00004A000000}"/>
    <hyperlink ref="H77" r:id="rId53" xr:uid="{00000000-0004-0000-0100-00004B000000}"/>
    <hyperlink ref="H78" r:id="rId54" xr:uid="{00000000-0004-0000-0100-00004C000000}"/>
    <hyperlink ref="H79" r:id="rId55" xr:uid="{00000000-0004-0000-0100-00004D000000}"/>
    <hyperlink ref="H80" r:id="rId56" xr:uid="{00000000-0004-0000-0100-00004E000000}"/>
    <hyperlink ref="H81" r:id="rId57" xr:uid="{00000000-0004-0000-0100-00004F000000}"/>
    <hyperlink ref="H83" r:id="rId58" xr:uid="{00000000-0004-0000-0100-000051000000}"/>
    <hyperlink ref="H85" r:id="rId59" xr:uid="{00000000-0004-0000-0100-000053000000}"/>
    <hyperlink ref="H86" r:id="rId60" xr:uid="{00000000-0004-0000-0100-000054000000}"/>
    <hyperlink ref="H87" r:id="rId61" xr:uid="{00000000-0004-0000-0100-000055000000}"/>
    <hyperlink ref="H88" r:id="rId62" xr:uid="{00000000-0004-0000-0100-000056000000}"/>
    <hyperlink ref="H89" r:id="rId63" xr:uid="{00000000-0004-0000-0100-000057000000}"/>
    <hyperlink ref="H90" r:id="rId64" xr:uid="{00000000-0004-0000-0100-000058000000}"/>
    <hyperlink ref="H91" r:id="rId65" xr:uid="{00000000-0004-0000-0100-000059000000}"/>
    <hyperlink ref="H92" r:id="rId66" xr:uid="{00000000-0004-0000-0100-00005A000000}"/>
    <hyperlink ref="H93" r:id="rId67" xr:uid="{00000000-0004-0000-0100-00005B000000}"/>
    <hyperlink ref="H94" r:id="rId68" xr:uid="{00000000-0004-0000-0100-00005C000000}"/>
    <hyperlink ref="H96" r:id="rId69" xr:uid="{00000000-0004-0000-0100-00005E000000}"/>
    <hyperlink ref="H97" r:id="rId70" xr:uid="{00000000-0004-0000-0100-00005F000000}"/>
    <hyperlink ref="H98" r:id="rId71" xr:uid="{00000000-0004-0000-0100-000060000000}"/>
    <hyperlink ref="H100" r:id="rId72" xr:uid="{00000000-0004-0000-0100-000062000000}"/>
    <hyperlink ref="H101" r:id="rId73" xr:uid="{00000000-0004-0000-0100-000063000000}"/>
    <hyperlink ref="H102" r:id="rId74" xr:uid="{00000000-0004-0000-0100-000064000000}"/>
    <hyperlink ref="H103" r:id="rId75" xr:uid="{00000000-0004-0000-0100-000065000000}"/>
    <hyperlink ref="H104" r:id="rId76" xr:uid="{00000000-0004-0000-0100-000066000000}"/>
    <hyperlink ref="H105" r:id="rId77" xr:uid="{00000000-0004-0000-0100-000067000000}"/>
    <hyperlink ref="H106" r:id="rId78" xr:uid="{00000000-0004-0000-0100-000068000000}"/>
    <hyperlink ref="H107" r:id="rId79" xr:uid="{00000000-0004-0000-0100-000069000000}"/>
    <hyperlink ref="H108" r:id="rId80" xr:uid="{00000000-0004-0000-0100-00006A000000}"/>
    <hyperlink ref="H109" r:id="rId81" xr:uid="{00000000-0004-0000-0100-00006B000000}"/>
    <hyperlink ref="H110" r:id="rId82" xr:uid="{00000000-0004-0000-0100-00006C000000}"/>
    <hyperlink ref="H111" r:id="rId83" xr:uid="{00000000-0004-0000-0100-00006D000000}"/>
    <hyperlink ref="H114" r:id="rId84" xr:uid="{00000000-0004-0000-0100-000070000000}"/>
    <hyperlink ref="H115" r:id="rId85" xr:uid="{00000000-0004-0000-0100-000071000000}"/>
    <hyperlink ref="H116" r:id="rId86" xr:uid="{00000000-0004-0000-0100-000072000000}"/>
    <hyperlink ref="H117" r:id="rId87" xr:uid="{00000000-0004-0000-0100-000073000000}"/>
    <hyperlink ref="H119" r:id="rId88" xr:uid="{00000000-0004-0000-0100-000075000000}"/>
    <hyperlink ref="H120" r:id="rId89" xr:uid="{00000000-0004-0000-0100-000076000000}"/>
    <hyperlink ref="H121" r:id="rId90" xr:uid="{00000000-0004-0000-0100-000077000000}"/>
    <hyperlink ref="H123" r:id="rId91" xr:uid="{00000000-0004-0000-0100-000079000000}"/>
    <hyperlink ref="H124" r:id="rId92" xr:uid="{00000000-0004-0000-0100-00007A000000}"/>
    <hyperlink ref="H125" r:id="rId93" xr:uid="{00000000-0004-0000-0100-00007B000000}"/>
    <hyperlink ref="H126" r:id="rId94" xr:uid="{00000000-0004-0000-0100-00007C000000}"/>
    <hyperlink ref="H127" r:id="rId95" xr:uid="{00000000-0004-0000-0100-00007D000000}"/>
    <hyperlink ref="H128" r:id="rId96" xr:uid="{00000000-0004-0000-0100-00007E000000}"/>
    <hyperlink ref="H129" r:id="rId97" xr:uid="{00000000-0004-0000-0100-00007F000000}"/>
    <hyperlink ref="H130" r:id="rId98" xr:uid="{00000000-0004-0000-0100-000080000000}"/>
    <hyperlink ref="H131" r:id="rId99" xr:uid="{00000000-0004-0000-0100-000081000000}"/>
    <hyperlink ref="H132" r:id="rId100" xr:uid="{00000000-0004-0000-0100-000082000000}"/>
    <hyperlink ref="H133" r:id="rId101" xr:uid="{00000000-0004-0000-0100-000083000000}"/>
    <hyperlink ref="H4" r:id="rId102" xr:uid="{FC44D888-A327-4773-B4CA-3DFEBE676E99}"/>
    <hyperlink ref="H5" r:id="rId103" xr:uid="{48512912-0A0C-415E-B334-278E755360C2}"/>
    <hyperlink ref="H8" r:id="rId104" xr:uid="{967F3692-EC7E-4B80-A2F4-C5D75BF0E2FD}"/>
    <hyperlink ref="H13" r:id="rId105" xr:uid="{8B322282-C8C6-4B38-9DD1-BA53144C08C6}"/>
    <hyperlink ref="H14" r:id="rId106" xr:uid="{26FF79B9-F9F1-4292-989F-0D61C133C772}"/>
    <hyperlink ref="H15" r:id="rId107" xr:uid="{B3F24F33-27B5-480C-BE99-899E5037FCD5}"/>
    <hyperlink ref="H16" r:id="rId108" xr:uid="{17A0F422-FC00-44DE-A419-DE5D2F41BA9B}"/>
    <hyperlink ref="H21" r:id="rId109" xr:uid="{907CE471-8D1A-4006-A83D-57205A2D0579}"/>
    <hyperlink ref="H22" r:id="rId110" xr:uid="{75A68383-8625-4A58-A7E2-4826A632F085}"/>
    <hyperlink ref="H23" r:id="rId111" xr:uid="{903DF4F6-09F3-4BCC-A06C-4A3CEFFD4E82}"/>
    <hyperlink ref="H40" r:id="rId112" xr:uid="{C80A7525-C24E-4B2A-A6EB-AA42D5A3F7A9}"/>
    <hyperlink ref="H68" r:id="rId113" xr:uid="{1FE20BD8-348F-485C-8D9F-8FB972AF75CC}"/>
    <hyperlink ref="H72" r:id="rId114" xr:uid="{BA3ADEA6-21E7-49F4-B018-59191AE97262}"/>
    <hyperlink ref="H82" r:id="rId115" xr:uid="{2E8E3924-EDEE-4610-82C6-4B82A97AA73A}"/>
    <hyperlink ref="H84" r:id="rId116" xr:uid="{6944B9A6-8EDB-4B72-996B-C0D655EDFA8E}"/>
    <hyperlink ref="H95" r:id="rId117" xr:uid="{1558B109-CB17-4C49-B114-BB744C03A8E9}"/>
    <hyperlink ref="H99" r:id="rId118" xr:uid="{AFC01DA7-B56D-4193-A695-F8FC87747327}"/>
    <hyperlink ref="H118" r:id="rId119" xr:uid="{260CA24B-94C6-44FA-939F-11CB5A84C1DA}"/>
    <hyperlink ref="H122" r:id="rId120" xr:uid="{0A5B3951-D127-4323-B60F-34550DD73185}"/>
    <hyperlink ref="H112" r:id="rId121" xr:uid="{6B8026A7-FA9D-4C7E-9584-BDE82A391707}"/>
    <hyperlink ref="H113" r:id="rId122" xr:uid="{3A05FA9C-DB10-4649-8BFA-84525CF8398D}"/>
    <hyperlink ref="H20" r:id="rId123" xr:uid="{00000000-0004-0000-0100-000012000000}"/>
    <hyperlink ref="H19" r:id="rId124" xr:uid="{00000000-0004-0000-0100-000011000000}"/>
    <hyperlink ref="H18" r:id="rId125" xr:uid="{00000000-0004-0000-0100-000010000000}"/>
    <hyperlink ref="H17" r:id="rId126" xr:uid="{00000000-0004-0000-0100-00000F000000}"/>
    <hyperlink ref="H12" r:id="rId127" xr:uid="{00000000-0004-0000-0100-00000A000000}"/>
    <hyperlink ref="H11" r:id="rId128" xr:uid="{00000000-0004-0000-0100-000009000000}"/>
    <hyperlink ref="H10" r:id="rId129" xr:uid="{00000000-0004-0000-0100-000008000000}"/>
    <hyperlink ref="H9" r:id="rId130" xr:uid="{00000000-0004-0000-0100-000007000000}"/>
    <hyperlink ref="H7" r:id="rId131" xr:uid="{00000000-0004-0000-0100-000005000000}"/>
    <hyperlink ref="H6" r:id="rId132" xr:uid="{00000000-0004-0000-0100-000004000000}"/>
  </hyperlinks>
  <pageMargins left="0.75" right="0.75" top="1" bottom="1" header="0.5" footer="0.5"/>
  <legacyDrawing r:id="rId13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94"/>
  <sheetViews>
    <sheetView workbookViewId="0">
      <pane ySplit="20" topLeftCell="A21" activePane="bottomLeft" state="frozen"/>
      <selection pane="bottomLeft"/>
    </sheetView>
  </sheetViews>
  <sheetFormatPr baseColWidth="10" defaultColWidth="8.88671875" defaultRowHeight="14.4" x14ac:dyDescent="0.3"/>
  <cols>
    <col min="1" max="1" width="56" customWidth="1"/>
    <col min="2" max="2" width="10" customWidth="1"/>
    <col min="3" max="3" width="16" customWidth="1"/>
    <col min="4" max="4" width="22" customWidth="1"/>
    <col min="5" max="5" width="26" customWidth="1"/>
  </cols>
  <sheetData>
    <row r="1" spans="1:1" x14ac:dyDescent="0.3">
      <c r="A1" s="1" t="s">
        <v>679</v>
      </c>
    </row>
    <row r="3" spans="1:1" x14ac:dyDescent="0.3">
      <c r="A3" t="s">
        <v>680</v>
      </c>
    </row>
    <row r="4" spans="1:1" x14ac:dyDescent="0.3">
      <c r="A4" t="s">
        <v>681</v>
      </c>
    </row>
    <row r="5" spans="1:1" x14ac:dyDescent="0.3">
      <c r="A5" t="s">
        <v>682</v>
      </c>
    </row>
    <row r="7" spans="1:1" x14ac:dyDescent="0.3">
      <c r="A7" t="s">
        <v>683</v>
      </c>
    </row>
    <row r="8" spans="1:1" x14ac:dyDescent="0.3">
      <c r="A8" t="s">
        <v>684</v>
      </c>
    </row>
    <row r="9" spans="1:1" x14ac:dyDescent="0.3">
      <c r="A9" t="s">
        <v>685</v>
      </c>
    </row>
    <row r="10" spans="1:1" x14ac:dyDescent="0.3">
      <c r="A10" t="s">
        <v>686</v>
      </c>
    </row>
    <row r="11" spans="1:1" x14ac:dyDescent="0.3">
      <c r="A11" t="s">
        <v>687</v>
      </c>
    </row>
    <row r="12" spans="1:1" x14ac:dyDescent="0.3">
      <c r="A12" t="s">
        <v>688</v>
      </c>
    </row>
    <row r="14" spans="1:1" x14ac:dyDescent="0.3">
      <c r="A14" t="s">
        <v>689</v>
      </c>
    </row>
    <row r="15" spans="1:1" x14ac:dyDescent="0.3">
      <c r="A15" t="s">
        <v>690</v>
      </c>
    </row>
    <row r="17" spans="1:5" x14ac:dyDescent="0.3">
      <c r="A17" t="s">
        <v>691</v>
      </c>
    </row>
    <row r="18" spans="1:5" x14ac:dyDescent="0.3">
      <c r="A18" t="s">
        <v>692</v>
      </c>
    </row>
    <row r="20" spans="1:5" x14ac:dyDescent="0.3">
      <c r="A20" s="3" t="s">
        <v>28</v>
      </c>
      <c r="B20" s="3" t="s">
        <v>693</v>
      </c>
      <c r="C20" s="3" t="s">
        <v>694</v>
      </c>
      <c r="D20" s="3" t="s">
        <v>695</v>
      </c>
      <c r="E20" s="3" t="s">
        <v>696</v>
      </c>
    </row>
    <row r="21" spans="1:5" x14ac:dyDescent="0.3">
      <c r="A21" t="s">
        <v>223</v>
      </c>
      <c r="B21">
        <v>9</v>
      </c>
      <c r="C21" t="s">
        <v>104</v>
      </c>
      <c r="E21" t="s">
        <v>697</v>
      </c>
    </row>
    <row r="22" spans="1:5" x14ac:dyDescent="0.3">
      <c r="A22" t="s">
        <v>135</v>
      </c>
      <c r="B22">
        <v>9</v>
      </c>
      <c r="C22" t="s">
        <v>104</v>
      </c>
      <c r="E22" t="s">
        <v>697</v>
      </c>
    </row>
    <row r="23" spans="1:5" x14ac:dyDescent="0.3">
      <c r="A23" t="s">
        <v>698</v>
      </c>
      <c r="B23">
        <v>8</v>
      </c>
      <c r="C23" t="s">
        <v>75</v>
      </c>
      <c r="E23" t="s">
        <v>697</v>
      </c>
    </row>
    <row r="24" spans="1:5" x14ac:dyDescent="0.3">
      <c r="A24" t="s">
        <v>404</v>
      </c>
      <c r="B24">
        <v>6</v>
      </c>
      <c r="C24" t="s">
        <v>104</v>
      </c>
      <c r="E24" t="s">
        <v>697</v>
      </c>
    </row>
    <row r="25" spans="1:5" x14ac:dyDescent="0.3">
      <c r="A25" t="s">
        <v>160</v>
      </c>
      <c r="B25">
        <v>4</v>
      </c>
      <c r="C25" s="2"/>
      <c r="E25" t="s">
        <v>699</v>
      </c>
    </row>
    <row r="26" spans="1:5" x14ac:dyDescent="0.3">
      <c r="A26" t="s">
        <v>181</v>
      </c>
      <c r="B26">
        <v>4</v>
      </c>
      <c r="C26" s="2"/>
      <c r="D26" t="s">
        <v>104</v>
      </c>
      <c r="E26" t="s">
        <v>700</v>
      </c>
    </row>
    <row r="27" spans="1:5" x14ac:dyDescent="0.3">
      <c r="A27" t="s">
        <v>345</v>
      </c>
      <c r="B27">
        <v>3</v>
      </c>
      <c r="C27" s="2"/>
      <c r="D27" t="s">
        <v>104</v>
      </c>
      <c r="E27" t="s">
        <v>700</v>
      </c>
    </row>
    <row r="28" spans="1:5" x14ac:dyDescent="0.3">
      <c r="A28" t="s">
        <v>142</v>
      </c>
      <c r="B28">
        <v>3</v>
      </c>
      <c r="C28" t="s">
        <v>75</v>
      </c>
      <c r="E28" t="s">
        <v>697</v>
      </c>
    </row>
    <row r="29" spans="1:5" x14ac:dyDescent="0.3">
      <c r="A29" t="s">
        <v>336</v>
      </c>
      <c r="B29">
        <v>3</v>
      </c>
      <c r="C29" t="s">
        <v>104</v>
      </c>
      <c r="E29" t="s">
        <v>697</v>
      </c>
    </row>
    <row r="30" spans="1:5" x14ac:dyDescent="0.3">
      <c r="A30" t="s">
        <v>79</v>
      </c>
      <c r="B30">
        <v>3</v>
      </c>
      <c r="C30" t="s">
        <v>75</v>
      </c>
      <c r="E30" t="s">
        <v>697</v>
      </c>
    </row>
    <row r="31" spans="1:5" x14ac:dyDescent="0.3">
      <c r="A31" t="s">
        <v>251</v>
      </c>
      <c r="B31">
        <v>2</v>
      </c>
      <c r="C31" t="s">
        <v>104</v>
      </c>
      <c r="E31" t="s">
        <v>697</v>
      </c>
    </row>
    <row r="32" spans="1:5" x14ac:dyDescent="0.3">
      <c r="A32" t="s">
        <v>458</v>
      </c>
      <c r="B32">
        <v>2</v>
      </c>
      <c r="C32" t="s">
        <v>104</v>
      </c>
      <c r="E32" t="s">
        <v>697</v>
      </c>
    </row>
    <row r="33" spans="1:5" x14ac:dyDescent="0.3">
      <c r="A33" t="s">
        <v>299</v>
      </c>
      <c r="B33">
        <v>2</v>
      </c>
      <c r="C33" t="s">
        <v>75</v>
      </c>
      <c r="E33" t="s">
        <v>697</v>
      </c>
    </row>
    <row r="34" spans="1:5" x14ac:dyDescent="0.3">
      <c r="A34" t="s">
        <v>351</v>
      </c>
      <c r="B34">
        <v>2</v>
      </c>
      <c r="C34" s="2"/>
      <c r="E34" t="s">
        <v>699</v>
      </c>
    </row>
    <row r="35" spans="1:5" x14ac:dyDescent="0.3">
      <c r="A35" t="s">
        <v>579</v>
      </c>
      <c r="B35">
        <v>2</v>
      </c>
      <c r="C35" t="s">
        <v>104</v>
      </c>
      <c r="E35" t="s">
        <v>697</v>
      </c>
    </row>
    <row r="36" spans="1:5" x14ac:dyDescent="0.3">
      <c r="A36" t="s">
        <v>520</v>
      </c>
      <c r="B36">
        <v>2</v>
      </c>
      <c r="C36" s="2"/>
      <c r="D36" t="s">
        <v>104</v>
      </c>
      <c r="E36" t="s">
        <v>700</v>
      </c>
    </row>
    <row r="37" spans="1:5" x14ac:dyDescent="0.3">
      <c r="A37" t="s">
        <v>426</v>
      </c>
      <c r="B37">
        <v>2</v>
      </c>
      <c r="C37" t="s">
        <v>75</v>
      </c>
      <c r="E37" t="s">
        <v>697</v>
      </c>
    </row>
    <row r="38" spans="1:5" x14ac:dyDescent="0.3">
      <c r="A38" t="s">
        <v>377</v>
      </c>
      <c r="B38">
        <v>2</v>
      </c>
      <c r="C38" s="2"/>
      <c r="D38" t="s">
        <v>75</v>
      </c>
      <c r="E38" t="s">
        <v>700</v>
      </c>
    </row>
    <row r="39" spans="1:5" x14ac:dyDescent="0.3">
      <c r="A39" t="s">
        <v>606</v>
      </c>
      <c r="B39">
        <v>1</v>
      </c>
      <c r="C39" t="s">
        <v>75</v>
      </c>
      <c r="E39" t="s">
        <v>697</v>
      </c>
    </row>
    <row r="40" spans="1:5" x14ac:dyDescent="0.3">
      <c r="A40" t="s">
        <v>357</v>
      </c>
      <c r="B40">
        <v>1</v>
      </c>
      <c r="C40" t="s">
        <v>75</v>
      </c>
      <c r="E40" t="s">
        <v>697</v>
      </c>
    </row>
    <row r="41" spans="1:5" x14ac:dyDescent="0.3">
      <c r="A41" t="s">
        <v>640</v>
      </c>
      <c r="B41">
        <v>1</v>
      </c>
      <c r="C41" s="2"/>
      <c r="D41" t="s">
        <v>104</v>
      </c>
      <c r="E41" t="s">
        <v>700</v>
      </c>
    </row>
    <row r="42" spans="1:5" x14ac:dyDescent="0.3">
      <c r="A42" t="s">
        <v>108</v>
      </c>
      <c r="B42">
        <v>1</v>
      </c>
      <c r="C42" s="2"/>
      <c r="D42" t="s">
        <v>104</v>
      </c>
      <c r="E42" t="s">
        <v>700</v>
      </c>
    </row>
    <row r="43" spans="1:5" x14ac:dyDescent="0.3">
      <c r="A43" t="s">
        <v>436</v>
      </c>
      <c r="B43">
        <v>1</v>
      </c>
      <c r="C43" t="s">
        <v>104</v>
      </c>
      <c r="E43" t="s">
        <v>697</v>
      </c>
    </row>
    <row r="44" spans="1:5" x14ac:dyDescent="0.3">
      <c r="A44" t="s">
        <v>113</v>
      </c>
      <c r="B44">
        <v>1</v>
      </c>
      <c r="C44" s="2"/>
      <c r="D44" t="s">
        <v>104</v>
      </c>
      <c r="E44" t="s">
        <v>700</v>
      </c>
    </row>
    <row r="45" spans="1:5" x14ac:dyDescent="0.3">
      <c r="A45" t="s">
        <v>95</v>
      </c>
      <c r="B45">
        <v>1</v>
      </c>
      <c r="C45" s="2"/>
      <c r="D45" t="s">
        <v>104</v>
      </c>
      <c r="E45" t="s">
        <v>700</v>
      </c>
    </row>
    <row r="46" spans="1:5" x14ac:dyDescent="0.3">
      <c r="A46" t="s">
        <v>701</v>
      </c>
      <c r="B46">
        <v>1</v>
      </c>
      <c r="C46" s="2"/>
      <c r="D46" t="s">
        <v>131</v>
      </c>
      <c r="E46" t="s">
        <v>700</v>
      </c>
    </row>
    <row r="47" spans="1:5" x14ac:dyDescent="0.3">
      <c r="A47" t="s">
        <v>475</v>
      </c>
      <c r="B47">
        <v>1</v>
      </c>
      <c r="C47" t="s">
        <v>75</v>
      </c>
      <c r="E47" t="s">
        <v>697</v>
      </c>
    </row>
    <row r="48" spans="1:5" x14ac:dyDescent="0.3">
      <c r="A48" t="s">
        <v>446</v>
      </c>
      <c r="B48">
        <v>1</v>
      </c>
      <c r="C48" s="2"/>
      <c r="D48" t="s">
        <v>131</v>
      </c>
      <c r="E48" t="s">
        <v>700</v>
      </c>
    </row>
    <row r="49" spans="1:5" x14ac:dyDescent="0.3">
      <c r="A49" t="s">
        <v>667</v>
      </c>
      <c r="B49">
        <v>1</v>
      </c>
      <c r="C49" s="2"/>
      <c r="E49" t="s">
        <v>699</v>
      </c>
    </row>
    <row r="50" spans="1:5" x14ac:dyDescent="0.3">
      <c r="A50" t="s">
        <v>234</v>
      </c>
      <c r="B50">
        <v>1</v>
      </c>
      <c r="C50" s="2"/>
      <c r="D50" t="s">
        <v>104</v>
      </c>
      <c r="E50" t="s">
        <v>700</v>
      </c>
    </row>
    <row r="51" spans="1:5" x14ac:dyDescent="0.3">
      <c r="A51" t="s">
        <v>530</v>
      </c>
      <c r="B51">
        <v>1</v>
      </c>
      <c r="C51" t="s">
        <v>104</v>
      </c>
      <c r="E51" t="s">
        <v>697</v>
      </c>
    </row>
    <row r="52" spans="1:5" x14ac:dyDescent="0.3">
      <c r="A52" t="s">
        <v>663</v>
      </c>
      <c r="B52">
        <v>1</v>
      </c>
      <c r="C52" s="2"/>
      <c r="D52" t="s">
        <v>104</v>
      </c>
      <c r="E52" t="s">
        <v>700</v>
      </c>
    </row>
    <row r="53" spans="1:5" x14ac:dyDescent="0.3">
      <c r="A53" t="s">
        <v>702</v>
      </c>
      <c r="B53">
        <v>1</v>
      </c>
      <c r="C53" s="2"/>
      <c r="D53" t="s">
        <v>75</v>
      </c>
      <c r="E53" t="s">
        <v>700</v>
      </c>
    </row>
    <row r="54" spans="1:5" x14ac:dyDescent="0.3">
      <c r="A54" t="s">
        <v>703</v>
      </c>
      <c r="B54">
        <v>1</v>
      </c>
      <c r="C54" s="2"/>
      <c r="D54" t="s">
        <v>75</v>
      </c>
      <c r="E54" t="s">
        <v>700</v>
      </c>
    </row>
    <row r="55" spans="1:5" x14ac:dyDescent="0.3">
      <c r="A55" t="s">
        <v>387</v>
      </c>
      <c r="B55">
        <v>1</v>
      </c>
      <c r="C55" s="2"/>
      <c r="D55" t="s">
        <v>104</v>
      </c>
      <c r="E55" t="s">
        <v>700</v>
      </c>
    </row>
    <row r="56" spans="1:5" x14ac:dyDescent="0.3">
      <c r="A56" t="s">
        <v>535</v>
      </c>
      <c r="B56">
        <v>1</v>
      </c>
      <c r="C56" t="s">
        <v>104</v>
      </c>
      <c r="E56" t="s">
        <v>697</v>
      </c>
    </row>
    <row r="57" spans="1:5" x14ac:dyDescent="0.3">
      <c r="A57" t="s">
        <v>289</v>
      </c>
      <c r="B57">
        <v>1</v>
      </c>
      <c r="C57" s="2"/>
      <c r="D57" t="s">
        <v>104</v>
      </c>
      <c r="E57" t="s">
        <v>700</v>
      </c>
    </row>
    <row r="58" spans="1:5" x14ac:dyDescent="0.3">
      <c r="A58" t="s">
        <v>515</v>
      </c>
      <c r="B58">
        <v>1</v>
      </c>
      <c r="C58" s="2"/>
      <c r="D58" t="s">
        <v>104</v>
      </c>
      <c r="E58" t="s">
        <v>700</v>
      </c>
    </row>
    <row r="59" spans="1:5" x14ac:dyDescent="0.3">
      <c r="A59" t="s">
        <v>293</v>
      </c>
      <c r="B59">
        <v>1</v>
      </c>
      <c r="C59" s="2"/>
      <c r="D59" t="s">
        <v>104</v>
      </c>
      <c r="E59" t="s">
        <v>700</v>
      </c>
    </row>
    <row r="60" spans="1:5" x14ac:dyDescent="0.3">
      <c r="A60" t="s">
        <v>418</v>
      </c>
      <c r="B60">
        <v>1</v>
      </c>
      <c r="C60" s="2"/>
      <c r="D60" t="s">
        <v>104</v>
      </c>
      <c r="E60" t="s">
        <v>700</v>
      </c>
    </row>
    <row r="61" spans="1:5" x14ac:dyDescent="0.3">
      <c r="A61" t="s">
        <v>383</v>
      </c>
      <c r="B61">
        <v>1</v>
      </c>
      <c r="C61" s="2"/>
      <c r="D61" t="s">
        <v>104</v>
      </c>
      <c r="E61" t="s">
        <v>700</v>
      </c>
    </row>
    <row r="62" spans="1:5" x14ac:dyDescent="0.3">
      <c r="A62" t="s">
        <v>585</v>
      </c>
      <c r="B62">
        <v>1</v>
      </c>
      <c r="C62" t="s">
        <v>104</v>
      </c>
      <c r="E62" t="s">
        <v>697</v>
      </c>
    </row>
    <row r="63" spans="1:5" x14ac:dyDescent="0.3">
      <c r="A63" t="s">
        <v>118</v>
      </c>
      <c r="B63">
        <v>1</v>
      </c>
      <c r="C63" s="2"/>
      <c r="E63" t="s">
        <v>699</v>
      </c>
    </row>
    <row r="64" spans="1:5" x14ac:dyDescent="0.3">
      <c r="A64" t="s">
        <v>574</v>
      </c>
      <c r="B64">
        <v>1</v>
      </c>
      <c r="C64" t="s">
        <v>104</v>
      </c>
      <c r="E64" t="s">
        <v>697</v>
      </c>
    </row>
    <row r="65" spans="1:5" x14ac:dyDescent="0.3">
      <c r="A65" t="s">
        <v>468</v>
      </c>
      <c r="B65">
        <v>1</v>
      </c>
      <c r="C65" t="s">
        <v>104</v>
      </c>
      <c r="E65" t="s">
        <v>697</v>
      </c>
    </row>
    <row r="66" spans="1:5" x14ac:dyDescent="0.3">
      <c r="A66" t="s">
        <v>154</v>
      </c>
      <c r="B66">
        <v>1</v>
      </c>
      <c r="C66" s="2"/>
      <c r="D66" t="s">
        <v>131</v>
      </c>
      <c r="E66" t="s">
        <v>700</v>
      </c>
    </row>
    <row r="67" spans="1:5" x14ac:dyDescent="0.3">
      <c r="A67" t="s">
        <v>262</v>
      </c>
      <c r="B67">
        <v>1</v>
      </c>
      <c r="C67" s="2"/>
      <c r="D67" t="s">
        <v>104</v>
      </c>
      <c r="E67" t="s">
        <v>700</v>
      </c>
    </row>
    <row r="68" spans="1:5" x14ac:dyDescent="0.3">
      <c r="A68" t="s">
        <v>704</v>
      </c>
      <c r="B68">
        <v>1</v>
      </c>
      <c r="C68" s="2"/>
      <c r="D68" t="s">
        <v>131</v>
      </c>
      <c r="E68" t="s">
        <v>700</v>
      </c>
    </row>
    <row r="69" spans="1:5" x14ac:dyDescent="0.3">
      <c r="A69" t="s">
        <v>645</v>
      </c>
      <c r="B69">
        <v>1</v>
      </c>
      <c r="C69" s="2"/>
      <c r="D69" t="s">
        <v>104</v>
      </c>
      <c r="E69" t="s">
        <v>700</v>
      </c>
    </row>
    <row r="70" spans="1:5" x14ac:dyDescent="0.3">
      <c r="A70" t="s">
        <v>598</v>
      </c>
      <c r="B70">
        <v>1</v>
      </c>
      <c r="C70" s="2"/>
      <c r="D70" t="s">
        <v>104</v>
      </c>
      <c r="E70" t="s">
        <v>700</v>
      </c>
    </row>
    <row r="71" spans="1:5" x14ac:dyDescent="0.3">
      <c r="A71" t="s">
        <v>150</v>
      </c>
      <c r="B71">
        <v>1</v>
      </c>
      <c r="C71" s="2"/>
      <c r="D71" t="s">
        <v>75</v>
      </c>
      <c r="E71" t="s">
        <v>700</v>
      </c>
    </row>
    <row r="72" spans="1:5" x14ac:dyDescent="0.3">
      <c r="A72" t="s">
        <v>101</v>
      </c>
      <c r="B72">
        <v>1</v>
      </c>
      <c r="C72" s="2"/>
      <c r="D72" t="s">
        <v>104</v>
      </c>
      <c r="E72" t="s">
        <v>700</v>
      </c>
    </row>
    <row r="73" spans="1:5" x14ac:dyDescent="0.3">
      <c r="A73" t="s">
        <v>325</v>
      </c>
      <c r="B73">
        <v>1</v>
      </c>
      <c r="C73" s="2"/>
      <c r="D73" t="s">
        <v>104</v>
      </c>
      <c r="E73" t="s">
        <v>700</v>
      </c>
    </row>
    <row r="74" spans="1:5" x14ac:dyDescent="0.3">
      <c r="A74" t="s">
        <v>218</v>
      </c>
      <c r="B74">
        <v>1</v>
      </c>
      <c r="C74" t="s">
        <v>104</v>
      </c>
      <c r="E74" t="s">
        <v>697</v>
      </c>
    </row>
    <row r="75" spans="1:5" x14ac:dyDescent="0.3">
      <c r="A75" t="s">
        <v>400</v>
      </c>
      <c r="B75">
        <v>1</v>
      </c>
      <c r="C75" s="2"/>
      <c r="D75" t="s">
        <v>104</v>
      </c>
      <c r="E75" t="s">
        <v>700</v>
      </c>
    </row>
    <row r="76" spans="1:5" x14ac:dyDescent="0.3">
      <c r="A76" t="s">
        <v>602</v>
      </c>
      <c r="B76">
        <v>1</v>
      </c>
      <c r="C76" t="s">
        <v>104</v>
      </c>
      <c r="E76" t="s">
        <v>697</v>
      </c>
    </row>
    <row r="77" spans="1:5" x14ac:dyDescent="0.3">
      <c r="A77" t="s">
        <v>246</v>
      </c>
      <c r="B77">
        <v>1</v>
      </c>
      <c r="C77" s="2"/>
      <c r="E77" t="s">
        <v>699</v>
      </c>
    </row>
    <row r="78" spans="1:5" x14ac:dyDescent="0.3">
      <c r="A78" t="s">
        <v>331</v>
      </c>
      <c r="B78">
        <v>1</v>
      </c>
      <c r="C78" s="2"/>
      <c r="D78" t="s">
        <v>131</v>
      </c>
      <c r="E78" t="s">
        <v>700</v>
      </c>
    </row>
    <row r="79" spans="1:5" x14ac:dyDescent="0.3">
      <c r="A79" t="s">
        <v>671</v>
      </c>
      <c r="B79">
        <v>1</v>
      </c>
      <c r="C79" s="2"/>
      <c r="D79" t="s">
        <v>705</v>
      </c>
      <c r="E79" t="s">
        <v>700</v>
      </c>
    </row>
    <row r="80" spans="1:5" x14ac:dyDescent="0.3">
      <c r="A80" t="s">
        <v>510</v>
      </c>
      <c r="B80">
        <v>1</v>
      </c>
      <c r="C80" t="s">
        <v>104</v>
      </c>
      <c r="E80" t="s">
        <v>697</v>
      </c>
    </row>
    <row r="81" spans="1:5" x14ac:dyDescent="0.3">
      <c r="A81" t="s">
        <v>228</v>
      </c>
      <c r="B81">
        <v>1</v>
      </c>
      <c r="C81" t="s">
        <v>104</v>
      </c>
      <c r="E81" t="s">
        <v>697</v>
      </c>
    </row>
    <row r="82" spans="1:5" x14ac:dyDescent="0.3">
      <c r="A82" t="s">
        <v>206</v>
      </c>
      <c r="B82">
        <v>1</v>
      </c>
      <c r="C82" t="s">
        <v>75</v>
      </c>
      <c r="E82" t="s">
        <v>697</v>
      </c>
    </row>
    <row r="83" spans="1:5" x14ac:dyDescent="0.3">
      <c r="A83" t="s">
        <v>268</v>
      </c>
      <c r="B83">
        <v>1</v>
      </c>
      <c r="C83" t="s">
        <v>75</v>
      </c>
      <c r="E83" t="s">
        <v>697</v>
      </c>
    </row>
    <row r="84" spans="1:5" x14ac:dyDescent="0.3">
      <c r="A84" t="s">
        <v>198</v>
      </c>
      <c r="B84">
        <v>1</v>
      </c>
      <c r="C84" s="2"/>
      <c r="D84" t="s">
        <v>75</v>
      </c>
      <c r="E84" t="s">
        <v>700</v>
      </c>
    </row>
    <row r="85" spans="1:5" x14ac:dyDescent="0.3">
      <c r="A85" t="s">
        <v>194</v>
      </c>
      <c r="B85">
        <v>1</v>
      </c>
      <c r="C85" s="2"/>
      <c r="E85" t="s">
        <v>699</v>
      </c>
    </row>
    <row r="86" spans="1:5" x14ac:dyDescent="0.3">
      <c r="A86" t="s">
        <v>656</v>
      </c>
      <c r="B86">
        <v>1</v>
      </c>
      <c r="C86" t="s">
        <v>104</v>
      </c>
      <c r="E86" t="s">
        <v>697</v>
      </c>
    </row>
    <row r="87" spans="1:5" x14ac:dyDescent="0.3">
      <c r="A87" t="s">
        <v>258</v>
      </c>
      <c r="B87">
        <v>1</v>
      </c>
      <c r="C87" s="2"/>
      <c r="D87" t="s">
        <v>104</v>
      </c>
      <c r="E87" t="s">
        <v>700</v>
      </c>
    </row>
    <row r="88" spans="1:5" x14ac:dyDescent="0.3">
      <c r="A88" t="s">
        <v>649</v>
      </c>
      <c r="B88">
        <v>1</v>
      </c>
      <c r="C88" s="2"/>
      <c r="E88" t="s">
        <v>699</v>
      </c>
    </row>
    <row r="89" spans="1:5" x14ac:dyDescent="0.3">
      <c r="A89" t="s">
        <v>189</v>
      </c>
      <c r="B89">
        <v>1</v>
      </c>
      <c r="C89" s="2"/>
      <c r="E89" t="s">
        <v>699</v>
      </c>
    </row>
    <row r="90" spans="1:5" x14ac:dyDescent="0.3">
      <c r="A90" t="s">
        <v>630</v>
      </c>
      <c r="B90">
        <v>1</v>
      </c>
      <c r="C90" t="s">
        <v>104</v>
      </c>
      <c r="E90" t="s">
        <v>697</v>
      </c>
    </row>
    <row r="91" spans="1:5" x14ac:dyDescent="0.3">
      <c r="A91" t="s">
        <v>614</v>
      </c>
      <c r="B91">
        <v>1</v>
      </c>
      <c r="C91" t="s">
        <v>75</v>
      </c>
      <c r="E91" t="s">
        <v>697</v>
      </c>
    </row>
    <row r="92" spans="1:5" x14ac:dyDescent="0.3">
      <c r="A92" t="s">
        <v>88</v>
      </c>
      <c r="B92">
        <v>1</v>
      </c>
      <c r="C92" s="2"/>
      <c r="D92" t="s">
        <v>104</v>
      </c>
      <c r="E92" t="s">
        <v>700</v>
      </c>
    </row>
    <row r="93" spans="1:5" x14ac:dyDescent="0.3">
      <c r="A93" t="s">
        <v>307</v>
      </c>
      <c r="B93">
        <v>1</v>
      </c>
      <c r="C93" s="2"/>
      <c r="D93" t="s">
        <v>104</v>
      </c>
      <c r="E93" t="s">
        <v>700</v>
      </c>
    </row>
    <row r="94" spans="1:5" x14ac:dyDescent="0.3">
      <c r="A94" t="s">
        <v>125</v>
      </c>
      <c r="B94">
        <v>1</v>
      </c>
      <c r="C94" s="2"/>
      <c r="E94" t="s">
        <v>699</v>
      </c>
    </row>
  </sheetData>
  <dataValidations count="1">
    <dataValidation type="list" allowBlank="1" sqref="C21:C94" xr:uid="{00000000-0002-0000-0200-000000000000}">
      <formula1>"alto,medio,bajo,solo registro"</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9"/>
  <sheetViews>
    <sheetView workbookViewId="0"/>
  </sheetViews>
  <sheetFormatPr baseColWidth="10" defaultColWidth="8.88671875" defaultRowHeight="14.4" x14ac:dyDescent="0.3"/>
  <cols>
    <col min="1" max="1" width="30" customWidth="1"/>
    <col min="2" max="2" width="20" customWidth="1"/>
    <col min="3" max="3" width="48" customWidth="1"/>
  </cols>
  <sheetData>
    <row r="1" spans="1:3" x14ac:dyDescent="0.3">
      <c r="A1" s="3" t="s">
        <v>706</v>
      </c>
      <c r="B1" s="3" t="s">
        <v>707</v>
      </c>
      <c r="C1" s="3" t="s">
        <v>708</v>
      </c>
    </row>
    <row r="2" spans="1:3" x14ac:dyDescent="0.3">
      <c r="A2" t="s">
        <v>243</v>
      </c>
      <c r="B2" t="s">
        <v>75</v>
      </c>
      <c r="C2" t="s">
        <v>73</v>
      </c>
    </row>
    <row r="3" spans="1:3" x14ac:dyDescent="0.3">
      <c r="A3" t="s">
        <v>309</v>
      </c>
      <c r="B3" t="s">
        <v>104</v>
      </c>
      <c r="C3" t="s">
        <v>709</v>
      </c>
    </row>
    <row r="4" spans="1:3" x14ac:dyDescent="0.3">
      <c r="A4" t="s">
        <v>710</v>
      </c>
      <c r="B4" t="s">
        <v>131</v>
      </c>
      <c r="C4" t="s">
        <v>711</v>
      </c>
    </row>
    <row r="5" spans="1:3" x14ac:dyDescent="0.3">
      <c r="A5" t="s">
        <v>712</v>
      </c>
      <c r="B5" t="s">
        <v>713</v>
      </c>
      <c r="C5" t="s">
        <v>277</v>
      </c>
    </row>
    <row r="6" spans="1:3" x14ac:dyDescent="0.3">
      <c r="A6" t="s">
        <v>231</v>
      </c>
      <c r="C6" t="s">
        <v>714</v>
      </c>
    </row>
    <row r="7" spans="1:3" x14ac:dyDescent="0.3">
      <c r="A7" t="s">
        <v>715</v>
      </c>
      <c r="C7" t="s">
        <v>716</v>
      </c>
    </row>
    <row r="8" spans="1:3" x14ac:dyDescent="0.3">
      <c r="A8" t="s">
        <v>717</v>
      </c>
      <c r="C8" t="s">
        <v>718</v>
      </c>
    </row>
    <row r="9" spans="1:3" x14ac:dyDescent="0.3">
      <c r="A9" t="s">
        <v>719</v>
      </c>
      <c r="C9" t="s">
        <v>720</v>
      </c>
    </row>
    <row r="10" spans="1:3" x14ac:dyDescent="0.3">
      <c r="A10" t="s">
        <v>322</v>
      </c>
    </row>
    <row r="11" spans="1:3" x14ac:dyDescent="0.3">
      <c r="A11" t="s">
        <v>721</v>
      </c>
    </row>
    <row r="12" spans="1:3" x14ac:dyDescent="0.3">
      <c r="A12" t="s">
        <v>348</v>
      </c>
    </row>
    <row r="13" spans="1:3" x14ac:dyDescent="0.3">
      <c r="A13" t="s">
        <v>171</v>
      </c>
    </row>
    <row r="14" spans="1:3" x14ac:dyDescent="0.3">
      <c r="A14" t="s">
        <v>122</v>
      </c>
    </row>
    <row r="15" spans="1:3" x14ac:dyDescent="0.3">
      <c r="A15" t="s">
        <v>722</v>
      </c>
    </row>
    <row r="16" spans="1:3" x14ac:dyDescent="0.3">
      <c r="A16" t="s">
        <v>76</v>
      </c>
    </row>
    <row r="17" spans="1:1" x14ac:dyDescent="0.3">
      <c r="A17" t="s">
        <v>486</v>
      </c>
    </row>
    <row r="18" spans="1:1" x14ac:dyDescent="0.3">
      <c r="A18" t="s">
        <v>723</v>
      </c>
    </row>
    <row r="19" spans="1:1" x14ac:dyDescent="0.3">
      <c r="A19" t="s">
        <v>545</v>
      </c>
    </row>
    <row r="20" spans="1:1" x14ac:dyDescent="0.3">
      <c r="A20" t="s">
        <v>724</v>
      </c>
    </row>
    <row r="21" spans="1:1" x14ac:dyDescent="0.3">
      <c r="A21" t="s">
        <v>265</v>
      </c>
    </row>
    <row r="22" spans="1:1" x14ac:dyDescent="0.3">
      <c r="A22" t="s">
        <v>725</v>
      </c>
    </row>
    <row r="23" spans="1:1" x14ac:dyDescent="0.3">
      <c r="A23" t="s">
        <v>139</v>
      </c>
    </row>
    <row r="24" spans="1:1" x14ac:dyDescent="0.3">
      <c r="A24" t="s">
        <v>527</v>
      </c>
    </row>
    <row r="25" spans="1:1" x14ac:dyDescent="0.3">
      <c r="A25" t="s">
        <v>455</v>
      </c>
    </row>
    <row r="26" spans="1:1" x14ac:dyDescent="0.3">
      <c r="A26" t="s">
        <v>726</v>
      </c>
    </row>
    <row r="27" spans="1:1" x14ac:dyDescent="0.3">
      <c r="A27" t="s">
        <v>275</v>
      </c>
    </row>
    <row r="28" spans="1:1" x14ac:dyDescent="0.3">
      <c r="A28" t="s">
        <v>727</v>
      </c>
    </row>
    <row r="29" spans="1:1" x14ac:dyDescent="0.3">
      <c r="A29" t="s">
        <v>728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4"/>
  <sheetViews>
    <sheetView workbookViewId="0"/>
  </sheetViews>
  <sheetFormatPr baseColWidth="10" defaultColWidth="8.88671875" defaultRowHeight="14.4" x14ac:dyDescent="0.3"/>
  <cols>
    <col min="1" max="1" width="38" customWidth="1"/>
    <col min="2" max="2" width="86" customWidth="1"/>
    <col min="3" max="3" width="52" customWidth="1"/>
  </cols>
  <sheetData>
    <row r="1" spans="1:3" x14ac:dyDescent="0.3">
      <c r="A1" s="3" t="s">
        <v>729</v>
      </c>
      <c r="B1" s="3" t="s">
        <v>730</v>
      </c>
      <c r="C1" s="3" t="s">
        <v>731</v>
      </c>
    </row>
    <row r="2" spans="1:3" x14ac:dyDescent="0.3">
      <c r="A2" s="4" t="s">
        <v>33</v>
      </c>
      <c r="B2" s="4" t="s">
        <v>732</v>
      </c>
      <c r="C2" s="4"/>
    </row>
    <row r="3" spans="1:3" x14ac:dyDescent="0.3">
      <c r="A3" s="4" t="s">
        <v>34</v>
      </c>
      <c r="B3" s="4" t="s">
        <v>733</v>
      </c>
      <c r="C3" s="4"/>
    </row>
    <row r="4" spans="1:3" ht="28.8" customHeight="1" x14ac:dyDescent="0.3">
      <c r="A4" s="4" t="s">
        <v>35</v>
      </c>
      <c r="B4" s="4" t="s">
        <v>734</v>
      </c>
      <c r="C4" s="4" t="s">
        <v>735</v>
      </c>
    </row>
    <row r="5" spans="1:3" ht="28.8" customHeight="1" x14ac:dyDescent="0.3">
      <c r="A5" s="4" t="s">
        <v>36</v>
      </c>
      <c r="B5" s="4" t="s">
        <v>736</v>
      </c>
      <c r="C5" s="4" t="s">
        <v>737</v>
      </c>
    </row>
    <row r="6" spans="1:3" ht="28.8" customHeight="1" x14ac:dyDescent="0.3">
      <c r="A6" s="4" t="s">
        <v>37</v>
      </c>
      <c r="B6" s="4" t="s">
        <v>738</v>
      </c>
      <c r="C6" s="4" t="s">
        <v>739</v>
      </c>
    </row>
    <row r="7" spans="1:3" ht="144" customHeight="1" x14ac:dyDescent="0.3">
      <c r="A7" s="4" t="s">
        <v>38</v>
      </c>
      <c r="B7" s="4" t="s">
        <v>740</v>
      </c>
      <c r="C7" s="4" t="s">
        <v>741</v>
      </c>
    </row>
    <row r="8" spans="1:3" ht="28.8" customHeight="1" x14ac:dyDescent="0.3">
      <c r="A8" s="4" t="s">
        <v>39</v>
      </c>
      <c r="B8" s="4" t="s">
        <v>742</v>
      </c>
      <c r="C8" s="4" t="s">
        <v>743</v>
      </c>
    </row>
    <row r="9" spans="1:3" x14ac:dyDescent="0.3">
      <c r="A9" s="4" t="s">
        <v>40</v>
      </c>
      <c r="B9" s="4" t="s">
        <v>744</v>
      </c>
      <c r="C9" s="4" t="s">
        <v>745</v>
      </c>
    </row>
    <row r="10" spans="1:3" ht="28.8" customHeight="1" x14ac:dyDescent="0.3">
      <c r="A10" s="4" t="s">
        <v>41</v>
      </c>
      <c r="B10" s="4" t="s">
        <v>746</v>
      </c>
      <c r="C10" s="4" t="s">
        <v>747</v>
      </c>
    </row>
    <row r="11" spans="1:3" ht="28.8" customHeight="1" x14ac:dyDescent="0.3">
      <c r="A11" s="4" t="s">
        <v>42</v>
      </c>
      <c r="B11" s="4" t="s">
        <v>748</v>
      </c>
      <c r="C11" s="4" t="s">
        <v>749</v>
      </c>
    </row>
    <row r="12" spans="1:3" x14ac:dyDescent="0.3">
      <c r="A12" s="4" t="s">
        <v>43</v>
      </c>
      <c r="B12" s="4" t="s">
        <v>750</v>
      </c>
      <c r="C12" s="4"/>
    </row>
    <row r="13" spans="1:3" ht="129.6" customHeight="1" x14ac:dyDescent="0.3">
      <c r="A13" s="4" t="s">
        <v>44</v>
      </c>
      <c r="B13" s="4" t="s">
        <v>751</v>
      </c>
      <c r="C13" s="4"/>
    </row>
    <row r="14" spans="1:3" x14ac:dyDescent="0.3">
      <c r="A14" s="4" t="s">
        <v>45</v>
      </c>
      <c r="B14" s="4" t="s">
        <v>752</v>
      </c>
      <c r="C14" s="4"/>
    </row>
    <row r="15" spans="1:3" ht="230.4" customHeight="1" x14ac:dyDescent="0.3">
      <c r="A15" s="4" t="s">
        <v>46</v>
      </c>
      <c r="B15" s="4" t="s">
        <v>753</v>
      </c>
      <c r="C15" s="4"/>
    </row>
    <row r="16" spans="1:3" x14ac:dyDescent="0.3">
      <c r="A16" s="4" t="s">
        <v>47</v>
      </c>
      <c r="B16" s="4" t="s">
        <v>754</v>
      </c>
      <c r="C16" s="4"/>
    </row>
    <row r="17" spans="1:3" x14ac:dyDescent="0.3">
      <c r="A17" s="4" t="s">
        <v>48</v>
      </c>
      <c r="B17" s="4" t="s">
        <v>755</v>
      </c>
      <c r="C17" s="4"/>
    </row>
    <row r="18" spans="1:3" x14ac:dyDescent="0.3">
      <c r="A18" s="4" t="s">
        <v>49</v>
      </c>
      <c r="B18" s="4" t="s">
        <v>756</v>
      </c>
      <c r="C18" s="4"/>
    </row>
    <row r="19" spans="1:3" x14ac:dyDescent="0.3">
      <c r="A19" s="4" t="s">
        <v>50</v>
      </c>
      <c r="B19" s="4" t="s">
        <v>757</v>
      </c>
      <c r="C19" s="4"/>
    </row>
    <row r="20" spans="1:3" ht="187.2" customHeight="1" x14ac:dyDescent="0.3">
      <c r="A20" s="4" t="s">
        <v>51</v>
      </c>
      <c r="B20" s="4" t="s">
        <v>758</v>
      </c>
      <c r="C20" s="4"/>
    </row>
    <row r="21" spans="1:3" x14ac:dyDescent="0.3">
      <c r="A21" s="4" t="s">
        <v>52</v>
      </c>
      <c r="B21" s="4" t="s">
        <v>759</v>
      </c>
      <c r="C21" s="4"/>
    </row>
    <row r="22" spans="1:3" x14ac:dyDescent="0.3">
      <c r="A22" s="4" t="s">
        <v>53</v>
      </c>
      <c r="B22" s="4" t="s">
        <v>760</v>
      </c>
      <c r="C22" s="4"/>
    </row>
    <row r="23" spans="1:3" ht="28.8" customHeight="1" x14ac:dyDescent="0.3">
      <c r="A23" s="4" t="s">
        <v>54</v>
      </c>
      <c r="B23" s="4" t="s">
        <v>761</v>
      </c>
      <c r="C23" s="4"/>
    </row>
    <row r="24" spans="1:3" x14ac:dyDescent="0.3">
      <c r="A24" s="4" t="s">
        <v>55</v>
      </c>
      <c r="B24" s="4" t="s">
        <v>762</v>
      </c>
      <c r="C24" s="4"/>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47"/>
  <sheetViews>
    <sheetView workbookViewId="0"/>
  </sheetViews>
  <sheetFormatPr baseColWidth="10" defaultColWidth="8.88671875" defaultRowHeight="14.4" x14ac:dyDescent="0.3"/>
  <cols>
    <col min="1" max="1" width="34" customWidth="1"/>
    <col min="2" max="2" width="52" customWidth="1"/>
    <col min="3" max="3" width="58" customWidth="1"/>
  </cols>
  <sheetData>
    <row r="1" spans="1:3" x14ac:dyDescent="0.3">
      <c r="A1" s="1" t="s">
        <v>763</v>
      </c>
    </row>
    <row r="2" spans="1:3" x14ac:dyDescent="0.3">
      <c r="A2" t="s">
        <v>764</v>
      </c>
    </row>
    <row r="4" spans="1:3" x14ac:dyDescent="0.3">
      <c r="A4" s="1" t="s">
        <v>765</v>
      </c>
    </row>
    <row r="5" spans="1:3" x14ac:dyDescent="0.3">
      <c r="A5" t="s">
        <v>766</v>
      </c>
    </row>
    <row r="6" spans="1:3" x14ac:dyDescent="0.3">
      <c r="A6" t="s">
        <v>767</v>
      </c>
    </row>
    <row r="8" spans="1:3" x14ac:dyDescent="0.3">
      <c r="A8" s="3" t="s">
        <v>729</v>
      </c>
      <c r="B8" s="3" t="s">
        <v>768</v>
      </c>
      <c r="C8" s="3" t="s">
        <v>769</v>
      </c>
    </row>
    <row r="9" spans="1:3" x14ac:dyDescent="0.3">
      <c r="A9" t="s">
        <v>33</v>
      </c>
      <c r="B9" s="2" t="s">
        <v>481</v>
      </c>
      <c r="C9" t="s">
        <v>770</v>
      </c>
    </row>
    <row r="10" spans="1:3" x14ac:dyDescent="0.3">
      <c r="A10" t="s">
        <v>34</v>
      </c>
      <c r="B10" s="2" t="s">
        <v>64</v>
      </c>
      <c r="C10" t="s">
        <v>771</v>
      </c>
    </row>
    <row r="11" spans="1:3" x14ac:dyDescent="0.3">
      <c r="A11" t="s">
        <v>43</v>
      </c>
      <c r="B11" s="2" t="s">
        <v>772</v>
      </c>
      <c r="C11" t="s">
        <v>773</v>
      </c>
    </row>
    <row r="12" spans="1:3" x14ac:dyDescent="0.3">
      <c r="A12" t="s">
        <v>35</v>
      </c>
      <c r="B12" s="2" t="s">
        <v>65</v>
      </c>
    </row>
    <row r="13" spans="1:3" x14ac:dyDescent="0.3">
      <c r="A13" t="s">
        <v>36</v>
      </c>
      <c r="B13" s="2" t="s">
        <v>280</v>
      </c>
      <c r="C13" t="s">
        <v>774</v>
      </c>
    </row>
    <row r="14" spans="1:3" x14ac:dyDescent="0.3">
      <c r="A14" t="s">
        <v>37</v>
      </c>
      <c r="B14" s="2" t="s">
        <v>775</v>
      </c>
      <c r="C14" t="s">
        <v>776</v>
      </c>
    </row>
    <row r="15" spans="1:3" x14ac:dyDescent="0.3">
      <c r="A15" t="s">
        <v>38</v>
      </c>
      <c r="B15" s="2" t="s">
        <v>380</v>
      </c>
      <c r="C15" t="s">
        <v>777</v>
      </c>
    </row>
    <row r="16" spans="1:3" x14ac:dyDescent="0.3">
      <c r="A16" t="s">
        <v>39</v>
      </c>
      <c r="B16" s="2" t="s">
        <v>146</v>
      </c>
    </row>
    <row r="17" spans="1:3" x14ac:dyDescent="0.3">
      <c r="A17" t="s">
        <v>40</v>
      </c>
      <c r="B17" s="2" t="s">
        <v>70</v>
      </c>
    </row>
    <row r="18" spans="1:3" x14ac:dyDescent="0.3">
      <c r="A18" t="s">
        <v>44</v>
      </c>
      <c r="B18" s="2" t="s">
        <v>772</v>
      </c>
      <c r="C18" t="s">
        <v>778</v>
      </c>
    </row>
    <row r="19" spans="1:3" x14ac:dyDescent="0.3">
      <c r="A19" t="s">
        <v>51</v>
      </c>
      <c r="B19" s="2" t="s">
        <v>779</v>
      </c>
      <c r="C19" t="s">
        <v>780</v>
      </c>
    </row>
    <row r="20" spans="1:3" x14ac:dyDescent="0.3">
      <c r="A20" t="s">
        <v>45</v>
      </c>
      <c r="B20" s="2" t="s">
        <v>781</v>
      </c>
      <c r="C20" t="s">
        <v>782</v>
      </c>
    </row>
    <row r="21" spans="1:3" x14ac:dyDescent="0.3">
      <c r="A21" t="s">
        <v>46</v>
      </c>
      <c r="B21" s="2" t="s">
        <v>772</v>
      </c>
    </row>
    <row r="22" spans="1:3" x14ac:dyDescent="0.3">
      <c r="A22" t="s">
        <v>47</v>
      </c>
      <c r="B22" s="2" t="s">
        <v>781</v>
      </c>
    </row>
    <row r="23" spans="1:3" x14ac:dyDescent="0.3">
      <c r="A23" t="s">
        <v>48</v>
      </c>
      <c r="B23" s="2" t="s">
        <v>73</v>
      </c>
      <c r="C23" t="s">
        <v>783</v>
      </c>
    </row>
    <row r="24" spans="1:3" x14ac:dyDescent="0.3">
      <c r="A24" t="s">
        <v>49</v>
      </c>
      <c r="B24" s="2" t="s">
        <v>73</v>
      </c>
      <c r="C24" t="s">
        <v>783</v>
      </c>
    </row>
    <row r="25" spans="1:3" x14ac:dyDescent="0.3">
      <c r="A25" t="s">
        <v>41</v>
      </c>
      <c r="B25" s="2" t="s">
        <v>407</v>
      </c>
    </row>
    <row r="26" spans="1:3" x14ac:dyDescent="0.3">
      <c r="A26" t="s">
        <v>50</v>
      </c>
      <c r="B26" s="2" t="s">
        <v>199</v>
      </c>
    </row>
    <row r="27" spans="1:3" x14ac:dyDescent="0.3">
      <c r="A27" t="s">
        <v>52</v>
      </c>
      <c r="B27" s="2" t="s">
        <v>784</v>
      </c>
    </row>
    <row r="28" spans="1:3" x14ac:dyDescent="0.3">
      <c r="A28" t="s">
        <v>53</v>
      </c>
      <c r="B28" s="2" t="s">
        <v>785</v>
      </c>
    </row>
    <row r="29" spans="1:3" x14ac:dyDescent="0.3">
      <c r="A29" t="s">
        <v>54</v>
      </c>
      <c r="B29" s="2" t="s">
        <v>786</v>
      </c>
      <c r="C29" t="s">
        <v>787</v>
      </c>
    </row>
    <row r="30" spans="1:3" x14ac:dyDescent="0.3">
      <c r="A30" t="s">
        <v>42</v>
      </c>
      <c r="B30" s="2" t="s">
        <v>72</v>
      </c>
    </row>
    <row r="31" spans="1:3" x14ac:dyDescent="0.3">
      <c r="A31" t="s">
        <v>55</v>
      </c>
      <c r="B31" s="2" t="s">
        <v>73</v>
      </c>
    </row>
    <row r="33" spans="1:6" x14ac:dyDescent="0.3">
      <c r="A33" s="1" t="s">
        <v>788</v>
      </c>
    </row>
    <row r="34" spans="1:6" x14ac:dyDescent="0.3">
      <c r="A34" t="s">
        <v>789</v>
      </c>
    </row>
    <row r="35" spans="1:6" x14ac:dyDescent="0.3">
      <c r="A35" s="1" t="s">
        <v>790</v>
      </c>
    </row>
    <row r="36" spans="1:6" x14ac:dyDescent="0.3">
      <c r="A36" t="s">
        <v>791</v>
      </c>
    </row>
    <row r="37" spans="1:6" x14ac:dyDescent="0.3">
      <c r="A37" t="s">
        <v>792</v>
      </c>
    </row>
    <row r="38" spans="1:6" x14ac:dyDescent="0.3">
      <c r="A38" t="s">
        <v>793</v>
      </c>
    </row>
    <row r="40" spans="1:6" x14ac:dyDescent="0.3">
      <c r="A40" s="3" t="s">
        <v>34</v>
      </c>
      <c r="B40" s="3" t="s">
        <v>36</v>
      </c>
      <c r="C40" s="3" t="s">
        <v>794</v>
      </c>
      <c r="D40" s="3" t="s">
        <v>795</v>
      </c>
      <c r="E40" s="3" t="s">
        <v>796</v>
      </c>
      <c r="F40" s="3" t="s">
        <v>797</v>
      </c>
    </row>
    <row r="41" spans="1:6" x14ac:dyDescent="0.3">
      <c r="A41" s="2" t="s">
        <v>64</v>
      </c>
      <c r="B41" s="2" t="s">
        <v>280</v>
      </c>
      <c r="C41" s="2">
        <v>7</v>
      </c>
      <c r="D41" s="2">
        <v>6</v>
      </c>
      <c r="E41" s="2">
        <v>2</v>
      </c>
      <c r="F41" s="2">
        <v>2</v>
      </c>
    </row>
    <row r="42" spans="1:6" x14ac:dyDescent="0.3">
      <c r="A42" s="2" t="s">
        <v>212</v>
      </c>
      <c r="B42" s="2" t="s">
        <v>209</v>
      </c>
      <c r="C42" s="2">
        <v>23</v>
      </c>
      <c r="D42" s="2">
        <v>16</v>
      </c>
      <c r="E42" s="2">
        <v>4</v>
      </c>
      <c r="F42" s="2">
        <v>2</v>
      </c>
    </row>
    <row r="43" spans="1:6" x14ac:dyDescent="0.3">
      <c r="A43" s="2" t="s">
        <v>279</v>
      </c>
      <c r="B43" s="2" t="s">
        <v>213</v>
      </c>
      <c r="C43" s="2">
        <v>2</v>
      </c>
      <c r="D43" s="2">
        <v>1</v>
      </c>
      <c r="E43" s="2">
        <v>0</v>
      </c>
      <c r="F43" s="2">
        <v>0</v>
      </c>
    </row>
    <row r="45" spans="1:6" x14ac:dyDescent="0.3">
      <c r="A45" t="s">
        <v>798</v>
      </c>
    </row>
    <row r="46" spans="1:6" x14ac:dyDescent="0.3">
      <c r="A46" t="s">
        <v>799</v>
      </c>
    </row>
    <row r="47" spans="1:6" x14ac:dyDescent="0.3">
      <c r="A47" t="s">
        <v>800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Instrucciones</vt:lpstr>
      <vt:lpstr>Extraccion</vt:lpstr>
      <vt:lpstr>Revistas</vt:lpstr>
      <vt:lpstr>Listas</vt:lpstr>
      <vt:lpstr>Diccionario</vt:lpstr>
      <vt:lpstr>Ejemplo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Equipo</cp:lastModifiedBy>
  <dcterms:created xsi:type="dcterms:W3CDTF">2026-08-12T00:49:43Z</dcterms:created>
  <dcterms:modified xsi:type="dcterms:W3CDTF">2026-08-26T14:32:37Z</dcterms:modified>
</cp:coreProperties>
</file>