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
    </mc:Choice>
  </mc:AlternateContent>
  <xr:revisionPtr revIDLastSave="0" documentId="13_ncr:1_{6C0CFBAF-A103-495C-9648-ED0B154A1BF2}" xr6:coauthVersionLast="47" xr6:coauthVersionMax="47" xr10:uidLastSave="{00000000-0000-0000-0000-000000000000}"/>
  <bookViews>
    <workbookView xWindow="-108" yWindow="-108" windowWidth="23256" windowHeight="12456" activeTab="2" xr2:uid="{00000000-000D-0000-FFFF-FFFF00000000}"/>
  </bookViews>
  <sheets>
    <sheet name="Empieza aqui" sheetId="1" r:id="rId1"/>
    <sheet name="1 Sin P. aeruginosa" sheetId="2" r:id="rId2"/>
    <sheet name="2 Bajo el umbral" sheetId="3" r:id="rId3"/>
    <sheet name="3 Clase y DTR abiertos" sheetId="4" r:id="rId4"/>
    <sheet name="4 Cómo se hizo" sheetId="5" r:id="rId5"/>
    <sheet name="Firma" sheetId="6" r:id="rId6"/>
  </sheets>
  <calcPr calcId="0"/>
</workbook>
</file>

<file path=xl/sharedStrings.xml><?xml version="1.0" encoding="utf-8"?>
<sst xmlns="http://schemas.openxmlformats.org/spreadsheetml/2006/main" count="218" uniqueCount="179">
  <si>
    <t>Lo que vuestra lectura del 30 de septiembre deja para decidir</t>
  </si>
  <si>
    <t>La lectura ya está ingerida en todo lo que dejaba inequívoco: 35 correcciones de</t>
  </si>
  <si>
    <t>clase, procedencia y DTR, los 32 pares de solapamiento y los 14 comparativos.</t>
  </si>
  <si>
    <t>Lo que queda aquí no lo decide un script:</t>
  </si>
  <si>
    <t xml:space="preserve">  1. 9 estudios sin ningún paciente con P. aeruginosa tratado con fagos, y 2 dudosos.</t>
  </si>
  <si>
    <t xml:space="preserve">  2. 3 estudios de un solo brazo que pasaron por debajo del umbral de multirresistencia.</t>
  </si>
  <si>
    <t xml:space="preserve">  3. 9 casos de clase o de DTR que dejan el brazo con más de un valor posible.</t>
  </si>
  <si>
    <t xml:space="preserve">  4. Cómo se hizo la lectura, que el manuscrito tiene que declarar.</t>
  </si>
  <si>
    <t>Cada fila lleva lo que firmasteis, tal cual, y lo que pesa hoy ese estudio en el</t>
  </si>
  <si>
    <t>manuscrito. Escoged en el desplegable de la casilla naranja y, si hace falta,</t>
  </si>
  <si>
    <t>explicad en «por qué». Sin las dos firmas de la última hoja no se ingiere nada.</t>
  </si>
  <si>
    <t>Mientras tanto, el manuscrito declara estos puntos como pendientes de vuestra</t>
  </si>
  <si>
    <t>decisión, con los estudios nombrados. No se puede enviar así.</t>
  </si>
  <si>
    <t>¿Salen del corpus los estudios sin ningún paciente con P. aeruginosa tratado con fagos?</t>
  </si>
  <si>
    <t>Estudio</t>
  </si>
  <si>
    <t>Título</t>
  </si>
  <si>
    <t>Lo que firmasteis el 30-sep</t>
  </si>
  <si>
    <t>Frase en que os apoyasteis</t>
  </si>
  <si>
    <t>Qué pesa hoy en el manuscrito</t>
  </si>
  <si>
    <t>Vuestra decisión</t>
  </si>
  <si>
    <t>Por qué</t>
  </si>
  <si>
    <t>Frase del artículo</t>
  </si>
  <si>
    <t>EST-009</t>
  </si>
  <si>
    <t>Case Report: Chronic Bacterial Prostatitis Treated With Phage Therapy After Multiple Failed Antibiotic Treatments.</t>
  </si>
  <si>
    <t>declarada no verificable / no aplica: en el paciente no se aisló P. aeruginosa (Staphylococcus, Enterococcus, Streptococcus); P. aeruginosa solo aparece en la composición de los productos Eliava. No hay antibiograma.</t>
  </si>
  <si>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 (p. 1) | «Phage lysates of Streptococcus spp., Staphylococcus spp., Escherichia coli, Pseudomonas eruginosa, and Proteus spp.» (p. 8)</t>
  </si>
  <si>
    <t>1 brazo(s), 1 paciente(s); diseño case report</t>
  </si>
  <si>
    <t>EST-055</t>
  </si>
  <si>
    <t>Bacteriophage therapy in women with chronic recurrent cystitis caused by multidrug-resistant bacteria: A prospective, observational, comparative study</t>
  </si>
  <si>
    <t>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</si>
  <si>
    <t>«Resistance rate (%). Antibiotics E. coli (n = 114) K. pneumoniae (n = 31) Proteus mirabilis (n = 20) S. epidermidis (n = 8) S. aureus (n = 5)» (p. 4) | «This bacteriophage cocktail includes filtrate of phagolysates of 6 bacterial pathogens: Staphylococcus, Streptococcus, Proteus (P. vulgaris, P. mirabilis), Pseudomonas aeruginosa, enteropathogenic E. coli, and Klebsiella pneumoniae» (p. 3)</t>
  </si>
  <si>
    <t>1 brazo(s), 178 paciente(s); diseño retrospective cohort; evaluado con ROBINS-I en riesgo de sesgo (sale de la Tabla 7); es uno de los 5 con grupo de comparación</t>
  </si>
  <si>
    <t>EST-129</t>
  </si>
  <si>
    <t>Phage Therapy for Orthopaedic Infections: The First Three Cases from the United Kingdom</t>
  </si>
  <si>
    <t>declarada no verificable / no aplica: P. aeruginosa solo aparece como hallazgo intraoperatorio en el caso 1 y no fue diana de los fagos (ISP es antiestafilocócico); no se declara clase ni se imprime antibiograma (solo «cambios en el patrón de sensibilidad»).</t>
  </si>
  <si>
    <t>«Intraoperative cultures were positive for MSSA and Pseudomonas aeruginosa» (p. 2) | «The antibiotic regimen was changed to intravenous ciprofloxacin and meropenem, followed by administration of meropenem alone due to changes in the sensitivity pattern for P. aeruginosa» (p. 3)</t>
  </si>
  <si>
    <t>1 brazo(s), 3 paciente(s); diseño case series</t>
  </si>
  <si>
    <t>EST-132</t>
  </si>
  <si>
    <t>Evaluation of the Potential Efficacy of Bacteriophage Therapy for the Management of Pressure Ulcers and Its Comparison to Conventional Therapy: A Randomized Controlled Trial</t>
  </si>
  <si>
    <t>declarada no verificable / no aplica: el ensayo incluye úlceras por presión sin seleccionar por organismo ni por resistencia; P. aeruginosa solo figura en el cóctel empírico y no se informa cuántos pacientes la tenían ni su antibiograma (Supplementary no incluido).</t>
  </si>
  <si>
    <t>«a mixture of bacteriophages against isolates most commonly found in the ICU, such as Escherichia coli, Pseudomonas aeruginosa, Acinetobacter baumannii, Klebsiella pneumoniae, and Enterococcus faecalis, was applied on the PU topically» (p. 2)</t>
  </si>
  <si>
    <t>1 brazo(s), 38 paciente(s); diseño RCT; evaluado con RoB 2 en riesgo de sesgo (sale de la Tabla 7); es uno de los 5 con grupo de comparación</t>
  </si>
  <si>
    <t>EST-135</t>
  </si>
  <si>
    <t>The Potential Innovative Use of Bacteriophages Within the DAC® Hydrogel to Treat Patients With Knee Megaprosthesis Infection Requiring “Debridement Antibiotics and Implant Retention” and Soft Tissue Coverage as Salvage Therapy</t>
  </si>
  <si>
    <t>no aplica / declarada no verificable: el fago se dirigió a S. aureus (sensible salvo penicilina); P. aeruginosa solo aparece como sobreinfección posterior, no tratada con fagos y sin antibiograma.</t>
  </si>
  <si>
    <t>«As methicillin-susceptible S. aureus (only resistant to penicillin) grew in culture from the discharge sample» (p. 2) | «A bacterial culture of the hematoma revealed superinfection with Pseudomonas aeruginosa, Achromobacter spp., and Proteus mirabilis in culture» (p. 4)</t>
  </si>
  <si>
    <t>EST-152</t>
  </si>
  <si>
    <t>The Appearance of Antiphage Antibodies in Sera of Patients Treated with Phages</t>
  </si>
  <si>
    <t>no aplica: los 27 pacientes recibieron solo fagos de S. aureus (Staph_1N o Staph_A5L); en el texto no hay ningún paciente con P. aeruginosa ni clase de resistencia. P. aeruginosa solo aparece al citar otro estudio (Dan et al., EST-049).</t>
  </si>
  <si>
    <t>«The patients were administered monovalent phage lysate Staphylococcus aureus Staph_1N or Staph_A5L (Tables 1 and 2)» (p. 7) | «A multidrugresistant Pseudomonas aeruginosa in a lung transplant recipient was treated with adjunctive intravenous and inhaled PT» (p. 6)</t>
  </si>
  <si>
    <t>1 brazo(s), 27 paciente(s); diseño retrospective cohort; evaluado con ROBINS-I en riesgo de sesgo (sale de la Tabla 7)</t>
  </si>
  <si>
    <t>EST-170</t>
  </si>
  <si>
    <t>Thoracic endovascular aneurysm repair of a ruptured zone 0 mycotic thoracic aortic aneurysm</t>
  </si>
  <si>
    <t>no aplica: la infección tratada con fagos era por K. pneumoniae multirresistente; P. aeruginosa solo aparece al citar otro caso (Chan et al., EST-106).</t>
  </si>
  <si>
    <t>«We present a TEVAR for a ruptured zone 0 MTAA complicated by multidrug-resistant Klebsiella pneumoniae infection requiring phage therapy» (p. 1) | «Phage therapy was described in one patient with Dacron aortic graft infection complicated by an aorto-cutaneous fistula due to Pseudomonas aeruginosa» (p. 4)</t>
  </si>
  <si>
    <t>EST-181</t>
  </si>
  <si>
    <t>Short-Term Outcomes of Phage-Antibiotic Combination Treatment in Adult Patients with Periprosthetic Hip Joint Infection.</t>
  </si>
  <si>
    <t>no aplica: el estudio solo incluye infecciones protésicas de cadera por Staphylococcus spp. (la etiología no estafilocócica es criterio de exclusión); no hay pacientes con P. aeruginosa ni clase de resistencia de esa especie.</t>
  </si>
  <si>
    <t>«PJI of non-staphylococcal etiology» (p. 4) | «Identified PJI bacteria were Staphylococcus spp.» (p. 9)</t>
  </si>
  <si>
    <t>1 brazo(s), 23 paciente(s); diseño case report</t>
  </si>
  <si>
    <t>EST-208</t>
  </si>
  <si>
    <t>Treatment of chronic left ventricular assist device infection with local application of bacteriophages.</t>
  </si>
  <si>
    <t>no aplica: infección de LVAD por Staphylococcus aureus sensible a meticilina; P. aeruginosa solo aparece en la discusión como referencia a otros estudios, no en este paciente.</t>
  </si>
  <si>
    <t>«Intraoperative culture samples tested positive for methicillin-susceptible Staphylococcus aureus.» (p. 1) | «Bacteriophage products are a mixture of sterile filtrates of phage lysates which have previously been shown to be active against S. aureus isolates from the patient.» (p. 1)</t>
  </si>
  <si>
    <t>EST-051</t>
  </si>
  <si>
    <t>Case report: Local bacteriophage therapy for fracture-related infection with polymicrobial multi-resistant bacteria: hydrogel application and postoperative phage analysis through metagenomic sequencing</t>
  </si>
  <si>
    <t>[DUDOSO] El cóctel administrado (Intesti) solo fue activo contra E. coli, y la P. aeruginosa no volvió a aislarse antes de aplicar el fago.
Lo firmado: declarada no verificable: MDR declarado sin antibiograma. Además, el cóctel administrado (Intesti) solo fue activo contra E. coli, no contra P. aeruginosa, y la P. aeruginosa no volvió a aislarse antes de aplicar el fago.</t>
  </si>
  <si>
    <t>«multi-drug resistant (MDR) Pseudomonas aeruginosa, MDR Proteus mirabilis, MDR Klebsiella pneumoniae, MDR Escherichia coli, and vancomycin-resistant Enterococcus faecium» (p. 2) | «Intesti bacteriophage showed activity only against the E. coli strain» (p. 5) | «The previously cultivated multi-resistant Gram-negative bacteria could not be detected» (p. 2)</t>
  </si>
  <si>
    <t>EST-096</t>
  </si>
  <si>
    <t>Low immunogenicity of intravesical phage therapy for urogenitary tract infections</t>
  </si>
  <si>
    <t>[DUDOSO] P. aeruginosa se detectó 85 días antes de la fagoterapia y la orina ya era negativa al iniciarla (paciente 10).
Lo firmado: declarada no verificable: «multidrug resistant» se aplica a toda la serie sin antibiograma; P. aeruginosa solo aparece en la paciente 10, detectada 85 días antes de la fagoterapia y ya negativa («neg») en orina al iniciarla.</t>
  </si>
  <si>
    <t>«Patients with chronic urinary and urogenital multidrug resistant bacterial infections received phage therapy (PT)» (p. 1) | «P. aeruginosa as well as E. coli were detected at 106 CFU/mL in urine culture 85 days before PT» (p. 4)</t>
  </si>
  <si>
    <t>1 brazo(s), NA paciente(s); diseño non-randomised trial; evaluado con ROBINS-I en riesgo de sesgo (sale de la Tabla 7)</t>
  </si>
  <si>
    <t>¿Se mantienen, como EST-001 y EST-094, los estudios de un solo brazo por debajo del umbral?</t>
  </si>
  <si>
    <t>EST-053</t>
  </si>
  <si>
    <t>Phage-Antibiotic Combination Therapy against Recurrent Pseudomonas Septicaemia in a Patient with an Arterial Stent.</t>
  </si>
  <si>
    <t>below-MDR-threshold (verificada con el texto): el primer aislado es sensible a todo salvo trimetoprim-sulfametoxazol (resistencia intrínseca, no es categoría de Magiorakos); el aislado posterior solo añade resistencia a levofloxacino (1 categoría). DTR = no.</t>
  </si>
  <si>
    <t>«The pathogen was susceptible to all tested antimicrobial agents except trimetoprim + sulpha» (p. 2) | «P. aeruginosa of an otherwise similar susceptibility pattern, but resistant to levofloxacin, was growing in the samples taken from the inguinal area during the operation» (p. 2) | «Even though meropenem was still an option, other treatment alternatives began to be considered» (p. 3)</t>
  </si>
  <si>
    <t>EST-057</t>
  </si>
  <si>
    <t>Phage Therapy as a Rescue Treatment for Recurrent Pseudomonas aeruginosa Bentall Infection.</t>
  </si>
  <si>
    <t>below-MDR-threshold (verificada con el texto): aislado «multi-susceptible», tratado con ceftazidima y ciprofloxacino; la recaída tuvo el mismo perfil. Es una infección difícil de tratar por el material protésico, no por resistencia. DTR = no.</t>
  </si>
  <si>
    <t>«Investigations revealed bacterial prostatitis caused by multi-susceptible P. aeruginosa» (p. 1) | «Multiple blood cultures were, once again, positive for P. aeruginosa with the same resistance profile» (p. 2) | «These DTIs are caused by antibiotic-sensitive bacteria but associated with foreign material» (p. 1)</t>
  </si>
  <si>
    <t>EST-088</t>
  </si>
  <si>
    <t>Case report: Personalized triple phage-antibiotic combination therapy to rescue necrotizing fasciitis caused by Panton-Valentine leukocidin-producing MRSA in a 12-year-old boy.</t>
  </si>
  <si>
    <t>below-MDR-threshold (verificada): el aislado de P. aeruginosa es sensible a todos los agentes probados (amikacina, aztreonam, ceftazidima, ciprofloxacino, colistina, cefepime, imipenem, meropenem, piperacilina-tazobactam); solo es R a minociclina, que no es categoría antipseudomónica de Magiorakos. DTR = no. P. aeruginosa es un patógeno secundario (el principal es SARM).</t>
  </si>
  <si>
    <t>«P. aeruginosa AST S. maltophilia AST» (p. 6) | «Amikacin 8 R Amikacin S Amikacin R» (p. 6) | «Aztreonam S Aztreonam R» (p. 6) | «Ceftazidim S Ceftazidim R» (p. 6) | «Colistin S Cefepim R» (p. 6) | «Imipenem S Imipenem R» (p. 6) | «Meropenem S Meropenem R» (p. 6) | «Piperacillin-Taz. S Piperacillin-Taz. R» (p. 6) | «AST is assessed by standard disk diffusion method for P. aeruginosa and S. maltophilia» (p. 6)</t>
  </si>
  <si>
    <t>1 brazo(s), 1 paciente(s); diseño case report; comparte pacientes con EST-108</t>
  </si>
  <si>
    <t>Brazos con más de un valor posible de clase o de DTR</t>
  </si>
  <si>
    <t>Lo que queda abierto</t>
  </si>
  <si>
    <t>Opciones</t>
  </si>
  <si>
    <t>EST-004</t>
  </si>
  <si>
    <t>DTR: «sí en pacientes 1 y 3», pero el artículo no dice en qué brazo están; el brazo A sigue en «yes» y el B en «no».</t>
  </si>
  <si>
    <t>MDR confirmada en los 9 pacientes; en los pacientes 1 y 3 el aislado pre-fago es R a los 11 agentes probados de 6 categorías (≥ XDR; colistina y fosfomicina no constan en la Fig. 2). PDR (2 pacientes) no verificable: la colistina aparece intermedia/sensible en la Fig. Extendida 1. DTR = sí en pacientes 1 y 3 (toda la primera línea R).</t>
  </si>
  <si>
    <t>· Dejar A en «yes» y B en «no»
· Poner los dos en «not-derivable»</t>
  </si>
  <si>
    <t>EST-019</t>
  </si>
  <si>
    <t>DTR mixto: sí en el paciente HVR y no en LFV; el brazo (2 pacientes) sigue en «no».</t>
  </si>
  <si>
    <t>MDR confirmada. Paciente LFV: R a aminoglucósidos, colistina y meropenem (3 categorías). Paciente HVR: R a penicilina+inhibidor, cefalosporinas, carbapenémicos, aminoglucósidos y fluoroquinolonas, y sensible a colistina (XDR no derivable porque no se probaron aztreonam ni fosfomicina). DTR = sí en HVR.</t>
  </si>
  <si>
    <t>· Dejar el brazo en «no»
· Poner «not-derivable»</t>
  </si>
  <si>
    <t>EST-042</t>
  </si>
  <si>
    <t>Clase: la lectura refuta la PDR (paciente 1 por debajo del umbral; paciente 2 por debajo antes del fago y ≥ MDR después), pero no dice qué clase codificar para el brazo de 2 pacientes.</t>
  </si>
  <si>
    <t>PDR no confirmada; el antibiograma la contradice. Paciente 2 (PDR declarado): el aislado pre-fago del 2020-06-11 solo es no sensible a fluoroquinolonas y carbapenémicos (2 categorías: por debajo del umbral MDR); el aislado del 2020-07-20 es no sensible en 6 categorías, pero amikacina y tobramicina siguen sensibles (≥ MDR, no PDR). Paciente 1: pre-fago solo no sensible a carbapenémicos (below-MDR-threshold). DTR = no.</t>
  </si>
  <si>
    <t>· Corregir a «not-classifiable»
· Dejar «PDR» y declarar que no se sostiene
· Partir el brazo por paciente (requiere reextraer desenlaces)</t>
  </si>
  <si>
    <t>EST-047</t>
  </si>
  <si>
    <t>DTR: sí en el aislado 2 y no en el aislado 1 del mismo paciente; sigue en «no».</t>
  </si>
  <si>
    <t>XDR confirmada (MDR declarada se queda corta). Aislado 1: no sensible en 7 de 8 categorías (ceftazidima S, pero cefepime R; solo la colistina conserva toda su categoría). Aislado 2: sensible solo a colistina. DTR = sí en el aislado 2; no en el aislado 1 (ceftazidima sensible).</t>
  </si>
  <si>
    <t>· Dejar «no»
· Poner «yes» (manda el aislado 2)
· Poner «not-derivable»</t>
  </si>
  <si>
    <t>EST-048</t>
  </si>
  <si>
    <t>La extracción dice «MDR, declarada por el autor», y la lectura dice que el artículo no declara ninguna clase (solo meropenem sensible). ¿Se corrige a «not-classifiable»?</t>
  </si>
  <si>
    <t>declarada no verificable: el artículo no declara MDR/XDR/PDR para el aislado Pa_AR1 ni imprime su antibiograma; solo informa meropenem sensible (CMI 2 μg/mL). DTR = no (meropenem sensible).</t>
  </si>
  <si>
    <t>· Corregir a «not-classifiable»
· Dejar «MDR»</t>
  </si>
  <si>
    <t>EST-058</t>
  </si>
  <si>
    <t>DTR: «sí» si la «I» de EUCAST cuenta como no sensible (Kadri), «no» si se lee como sensible con exposición aumentada; sigue en «no».</t>
  </si>
  <si>
    <t>MDR confirmada. Aislado del día 0: R a amikacina y tobramicina, ciprofloxacino, imipenem y meropenem (3 categorías: aminoglucósidos, fluoroquinolonas y carbapenémicos); aztreonam, cefepime, ceftazidima y piperacilina-tazobactam en «I» de EUCAST v13. DTR = sí si la «I» cuenta como no sensible (Kadri); no si se lee como «sensible con exposición aumentada» (EUCAST). El aislado posterior al fago (día 75) solo es sensible a ceftazidima-avibactam.</t>
  </si>
  <si>
    <t>· Dejar «no» (la «I» de EUCAST es sensible)
· Poner «yes» (la «I» cuenta como no sensible, Kadri)</t>
  </si>
  <si>
    <t>EST-106</t>
  </si>
  <si>
    <t>La lectura dice que lo documentado apunta a «below-MDR-threshold» (ceftazidima sensible durante años, ciprofloxacino intermedio) y la extracción trae «MDR, declarada por el autor». ¿Se corrige?</t>
  </si>
  <si>
    <t>MDR no verificable; lo documentado apunta a below-MDR-threshold: el aislado era sensible a ceftazidima (tratamiento durante años) y luego intermedio a ciprofloxacino (1 categoría); «MDR» solo aparece como marco general. No hay antibiograma completo. DTR = no (ceftazidima sensible).</t>
  </si>
  <si>
    <t>· Corregir a «below-MDR-threshold»
· Corregir a «not-classifiable»
· Dejar «MDR»</t>
  </si>
  <si>
    <t>EST-124</t>
  </si>
  <si>
    <t>Clase y DTR: el aislado PA02 (abril de 2021) es XDR y DTR, pero los del día de la fagoterapia (junio de 2021) están por debajo del umbral. ¿Qué aislado manda?</t>
  </si>
  <si>
    <t>XDR confirmada en el aislado PA02 (19-abr-2021, antes de la fagoterapia): no sensible a cefalosporinas, fluoroquinolonas, fosfomicina, carbapenémicos, aminoglucósidos (tobramicina R) y penicilina+inhibidor (6 categorías); sensible a colistina; aztreonam no probado. DTR = sí en PA02. Ojo: los aislados del día de la cirugía y de la fagoterapia (PAP01/PAP02, 16-jun-2021) solo son R a fosfomicina (el resto S o «I» de EUCAST, sensible con exposición aumentada), es decir, below-MDR-threshold en el momento del tratamiento.</t>
  </si>
  <si>
    <t>· Manda el aislado del día de la fagoterapia: «below-MDR-threshold»
· Manda el aislado PA02: «XDR» y DTR «yes»
· Corregir a «not-classifiable»</t>
  </si>
  <si>
    <t>EST-169</t>
  </si>
  <si>
    <t>Clase y DTR: F12 está por debajo del umbral y M17 es XDR y DTR, en un solo brazo de 2 pacientes. Codificarlo exige partir el brazo, con el desenlace de cada paciente por separado.</t>
  </si>
  <si>
    <t>Mixta, verificable con la Fig. 4. F12: below-MDR-threshold (todo S o S-IE de EUCAST; gentamicina INS). M17 antes de la fagoterapia: XDR (R a todos los agentes probados de 6 categorías: aminoglucósidos, monobactam, cefalosporinas, fluoroquinolonas, carbapenémicos y penicilina+inhibidor; colistina y fosfomicina no probadas, así que PDR no es verificable). DTR = sí en M17 y no en F12. El artículo no declara ninguna clase.</t>
  </si>
  <si>
    <t>· Dejar «not-classifiable» y declararlo mixto
· Partir el brazo por paciente (requiere reextraer desenlaces)</t>
  </si>
  <si>
    <t>Cómo se hizo la lectura del 30 de septiembre</t>
  </si>
  <si>
    <t>¿Quién leyó los artículos y rellenó las tres hojas?</t>
  </si>
  <si>
    <t>Si intervino un modelo de lenguaje: ¿cuál, y qué hizo exactamente? (buscar en el PDF, transcribir figuras, redactar la conclusión...)</t>
  </si>
  <si>
    <t>Las 23 transcripciones marcadas «[imagen]» (antibiogramas leídos de figuras): ¿las comprobó una persona contra la figura?</t>
  </si>
  <si>
    <t>Por qué se pregunta: el manuscrito no puede presentar como humano un procedimiento que no lo fue, y declara el uso de modelos de lenguaje en el cribado. Las 457 citas de texto del cuaderno se comprobaron de forma mecánica y todas están en su PDF y en la página que dice; las 23 transcripciones de figuras no se pueden comprobar así.</t>
  </si>
  <si>
    <t>Firma de los dos autores</t>
  </si>
  <si>
    <t>Las decisiones son de los dos: se firman juntas o no se firma ninguna.</t>
  </si>
  <si>
    <t>Revisor 1 (nombre completo)</t>
  </si>
  <si>
    <t>Revisor 2 (nombre completo)</t>
  </si>
  <si>
    <t>Fecha (AAAA-MM-DD)</t>
  </si>
  <si>
    <t>¿Habéis leído los artículos citados en cada hoja?</t>
  </si>
  <si>
    <t>EXCLUIR con el código ORG</t>
  </si>
  <si>
    <t>MANTENER en el corpus</t>
  </si>
  <si>
    <t>MANTENER y declararlo; como EST-001 y EST-094</t>
  </si>
  <si>
    <t>Dejar A en «yes» y B en «no»</t>
  </si>
  <si>
    <t>Dejar el brazo en «no»</t>
  </si>
  <si>
    <t>Dejar «PDR» y declarar que no se sostiene</t>
  </si>
  <si>
    <t>Poner «yes» (manda el aislado 2)</t>
  </si>
  <si>
    <t>Corregir a «not-classifiable»</t>
  </si>
  <si>
    <t>Poner «yes» (la «I» cuenta como no sensible; Kadri)</t>
  </si>
  <si>
    <t>Manda el aislado PA02: «XDR» y DTR «yes»</t>
  </si>
  <si>
    <t>Dejar «not-classifiable» y declararlo mixto</t>
  </si>
  <si>
    <t>La leímos los dos; cada uno los artículos completos</t>
  </si>
  <si>
    <t>Sí; todas</t>
  </si>
  <si>
    <t>DANNY VALDIVIEZO</t>
  </si>
  <si>
    <t>NATALY TRELLES</t>
  </si>
  <si>
    <t>SI</t>
  </si>
  <si>
    <t>No contiene pseudomona</t>
  </si>
  <si>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t>
  </si>
  <si>
    <t>Resistance rate (%). Antibiotics E. coli (n = 114) K. pneumoniae (n = 31) Proteus mirabilis (n = 20) S. epidermidis (n = 8) S. aureus (n = 5)</t>
  </si>
  <si>
    <t>pseudomonas derivable del brazo</t>
  </si>
  <si>
    <t>Intraoperative cultures were positive for MSSA and Pseudomonas aeruginosa</t>
  </si>
  <si>
    <t>a mixture of bacteriophages against isolates most commonly found in the ICU, such as Escherichia coli, Pseudomonas aeruginosa,</t>
  </si>
  <si>
    <t>A bacterial culture of the hematoma revealed superinfection with Pseudomonas aeruginosa, Achromobacter spp., and Proteus mirabilis in culture</t>
  </si>
  <si>
    <t>A multidrugresistant Pseudomonas aeruginosa in a lung transplant recipient was treated with adjunctive intravenous and inhaled PT</t>
  </si>
  <si>
    <t>Phage therapy was described in one patient with Dacron aortic graft infection complicated by an aorto-cutaneous fistula due to Pseudomonas aeruginosa</t>
  </si>
  <si>
    <t>PJI of non-staphylococcal etiology» (p. 4) | «Identified PJI bacteria were Staphylococcus spp</t>
  </si>
  <si>
    <t>Intraoperative culture samples tested positive for methicillin-susceptible Staphylococcus aureus.</t>
  </si>
  <si>
    <t>multi-drug resistant (MDR) Pseudomonas aeruginosa, MDR Proteus mirabilis, MDR Klebsiella pneumoniae, MDR Escherichia coli, and vancomycin-resistant Enterococcus faecium</t>
  </si>
  <si>
    <t>P. aeruginosa as well as E. coli were detected at 106 CFU/mL in urine culture 85 days before PT»</t>
  </si>
  <si>
    <t>P. aeruginosa of an otherwise similar susceptibility pattern, but resistant to levofloxacin, was growing in the samples taken from the inguinal area during the operation</t>
  </si>
  <si>
    <t>Investigations revealed bacterial prostatitis caused by multi-susceptible P. aeruginosa</t>
  </si>
  <si>
    <t xml:space="preserve">P. aeruginosa AST S. maltophilia AST» (p. 6) | «Amikacin 8 R Amikacin S Amikacin </t>
  </si>
  <si>
    <t xml:space="preserve">MDR confirmada en los 9 pacientes; en los pacientes 1 y 3 el aislado pre-fago es R a los 11 agentes probados de 6 categorías </t>
  </si>
  <si>
    <t>XDR no derivable porque no se probaron aztreonam ni fosfomicina</t>
  </si>
  <si>
    <t>aciente 2 (PDR declarado): el aislado pre-fago del 2020-06-11 solo es no sensible a fluoroquinolonas y carbapenémicos</t>
  </si>
  <si>
    <t>XDR confirmada</t>
  </si>
  <si>
    <t>no verificable</t>
  </si>
  <si>
    <t>MDR confirmada</t>
  </si>
  <si>
    <t>Corregir a «below-MDR-threshold»</t>
  </si>
  <si>
    <t>MDR no verificable</t>
  </si>
  <si>
    <t>XDR confirmada en el aislado PA02 (</t>
  </si>
  <si>
    <t>Mixta, verificable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</si>
</sst>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11"/>
      <name val="Calibri"/>
    </font>
    <font>
      <b/>
      <sz val="13"/>
      <name val="Calibri"/>
    </font>
    <font>
      <b/>
      <sz val="11"/>
      <color rgb="FFFFFFFF"/>
      <name val="Calibri"/>
    </font>
  </fonts>
  <fills count="4">
    <fill>
      <patternFill patternType="none"/>
    </fill>
    <fill>
      <patternFill patternType="gray125"/>
    </fill>
    <fill>
      <patternFill patternType="solid">
        <fgColor rgb="FF44546A"/>
      </patternFill>
    </fill>
    <fill>
      <patternFill patternType="solid">
        <fgColor rgb="FFFCE4D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3" borderId="0" xfId="0" applyFill="1"/>
    <xf numFmtId="14"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baseColWidth="10" defaultColWidth="8.88671875" defaultRowHeight="14.4"/>
  <cols>
    <col min="1" max="1" width="110" customWidth="1"/>
  </cols>
  <sheetData>
    <row r="1" spans="1:1">
      <c r="A1" s="1" t="s">
        <v>0</v>
      </c>
    </row>
    <row r="2" spans="1:1">
      <c r="A2" s="2"/>
    </row>
    <row r="3" spans="1:1">
      <c r="A3" s="2" t="s">
        <v>1</v>
      </c>
    </row>
    <row r="4" spans="1:1">
      <c r="A4" s="2" t="s">
        <v>2</v>
      </c>
    </row>
    <row r="5" spans="1:1">
      <c r="A5" s="2" t="s">
        <v>3</v>
      </c>
    </row>
    <row r="6" spans="1:1">
      <c r="A6" s="2"/>
    </row>
    <row r="7" spans="1:1">
      <c r="A7" s="2" t="s">
        <v>4</v>
      </c>
    </row>
    <row r="8" spans="1:1">
      <c r="A8" s="2" t="s">
        <v>5</v>
      </c>
    </row>
    <row r="9" spans="1:1">
      <c r="A9" s="2" t="s">
        <v>6</v>
      </c>
    </row>
    <row r="10" spans="1:1">
      <c r="A10" s="2" t="s">
        <v>7</v>
      </c>
    </row>
    <row r="11" spans="1:1">
      <c r="A11" s="2"/>
    </row>
    <row r="12" spans="1:1">
      <c r="A12" s="2" t="s">
        <v>8</v>
      </c>
    </row>
    <row r="13" spans="1:1">
      <c r="A13" s="2" t="s">
        <v>9</v>
      </c>
    </row>
    <row r="14" spans="1:1">
      <c r="A14" s="2" t="s">
        <v>10</v>
      </c>
    </row>
    <row r="15" spans="1:1">
      <c r="A15" s="2"/>
    </row>
    <row r="16" spans="1:1">
      <c r="A16" s="1" t="s">
        <v>11</v>
      </c>
    </row>
    <row r="17" spans="1:1">
      <c r="A17" s="1"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pane xSplit="1" ySplit="3" topLeftCell="E13" activePane="bottomRight" state="frozen"/>
      <selection pane="topRight"/>
      <selection pane="bottomLeft"/>
      <selection pane="bottomRight" activeCell="H14" sqref="H14"/>
    </sheetView>
  </sheetViews>
  <sheetFormatPr baseColWidth="10" defaultColWidth="8.88671875" defaultRowHeight="14.4"/>
  <cols>
    <col min="1" max="1" width="10" customWidth="1"/>
    <col min="2" max="2" width="40" customWidth="1"/>
    <col min="3" max="4" width="60" customWidth="1"/>
    <col min="5" max="5" width="42" customWidth="1"/>
    <col min="6" max="6" width="26" customWidth="1"/>
    <col min="7" max="7" width="36" customWidth="1"/>
    <col min="8" max="8" width="40" customWidth="1"/>
  </cols>
  <sheetData>
    <row r="1" spans="1:8" ht="17.399999999999999">
      <c r="A1" s="3" t="s">
        <v>13</v>
      </c>
    </row>
    <row r="3" spans="1:8">
      <c r="A3" s="4" t="s">
        <v>14</v>
      </c>
      <c r="B3" s="4" t="s">
        <v>15</v>
      </c>
      <c r="C3" s="4" t="s">
        <v>16</v>
      </c>
      <c r="D3" s="4" t="s">
        <v>17</v>
      </c>
      <c r="E3" s="4" t="s">
        <v>18</v>
      </c>
      <c r="F3" s="4" t="s">
        <v>19</v>
      </c>
      <c r="G3" s="4" t="s">
        <v>20</v>
      </c>
      <c r="H3" s="4" t="s">
        <v>21</v>
      </c>
    </row>
    <row r="4" spans="1:8" ht="150" customHeight="1">
      <c r="A4" s="5" t="s">
        <v>22</v>
      </c>
      <c r="B4" s="5" t="s">
        <v>23</v>
      </c>
      <c r="C4" s="5" t="s">
        <v>24</v>
      </c>
      <c r="D4" s="5" t="s">
        <v>25</v>
      </c>
      <c r="E4" s="5" t="s">
        <v>26</v>
      </c>
      <c r="F4" s="6" t="s">
        <v>137</v>
      </c>
      <c r="G4" s="6" t="s">
        <v>153</v>
      </c>
      <c r="H4" s="6" t="s">
        <v>154</v>
      </c>
    </row>
    <row r="5" spans="1:8" ht="150" customHeight="1">
      <c r="A5" s="5" t="s">
        <v>27</v>
      </c>
      <c r="B5" s="5" t="s">
        <v>28</v>
      </c>
      <c r="C5" s="5" t="s">
        <v>29</v>
      </c>
      <c r="D5" s="5" t="s">
        <v>30</v>
      </c>
      <c r="E5" s="5" t="s">
        <v>31</v>
      </c>
      <c r="F5" s="6" t="s">
        <v>137</v>
      </c>
      <c r="G5" s="6" t="s">
        <v>153</v>
      </c>
      <c r="H5" s="6" t="s">
        <v>155</v>
      </c>
    </row>
    <row r="6" spans="1:8" ht="150" customHeight="1">
      <c r="A6" s="5" t="s">
        <v>32</v>
      </c>
      <c r="B6" s="5" t="s">
        <v>33</v>
      </c>
      <c r="C6" s="5" t="s">
        <v>34</v>
      </c>
      <c r="D6" s="5" t="s">
        <v>35</v>
      </c>
      <c r="E6" s="5" t="s">
        <v>36</v>
      </c>
      <c r="F6" s="6" t="s">
        <v>138</v>
      </c>
      <c r="G6" s="6" t="s">
        <v>156</v>
      </c>
      <c r="H6" s="6" t="s">
        <v>157</v>
      </c>
    </row>
    <row r="7" spans="1:8" ht="150" customHeight="1">
      <c r="A7" s="5" t="s">
        <v>37</v>
      </c>
      <c r="B7" s="5" t="s">
        <v>38</v>
      </c>
      <c r="C7" s="5" t="s">
        <v>39</v>
      </c>
      <c r="D7" s="5" t="s">
        <v>40</v>
      </c>
      <c r="E7" s="5" t="s">
        <v>41</v>
      </c>
      <c r="F7" s="6" t="s">
        <v>138</v>
      </c>
      <c r="G7" s="6" t="s">
        <v>156</v>
      </c>
      <c r="H7" s="6" t="s">
        <v>158</v>
      </c>
    </row>
    <row r="8" spans="1:8" ht="150" customHeight="1">
      <c r="A8" s="5" t="s">
        <v>42</v>
      </c>
      <c r="B8" s="5" t="s">
        <v>43</v>
      </c>
      <c r="C8" s="5" t="s">
        <v>44</v>
      </c>
      <c r="D8" s="5" t="s">
        <v>45</v>
      </c>
      <c r="E8" s="5" t="s">
        <v>26</v>
      </c>
      <c r="F8" s="6" t="s">
        <v>138</v>
      </c>
      <c r="G8" s="6" t="s">
        <v>156</v>
      </c>
      <c r="H8" s="6" t="s">
        <v>159</v>
      </c>
    </row>
    <row r="9" spans="1:8" ht="150" customHeight="1">
      <c r="A9" s="5" t="s">
        <v>46</v>
      </c>
      <c r="B9" s="5" t="s">
        <v>47</v>
      </c>
      <c r="C9" s="5" t="s">
        <v>48</v>
      </c>
      <c r="D9" s="5" t="s">
        <v>49</v>
      </c>
      <c r="E9" s="5" t="s">
        <v>50</v>
      </c>
      <c r="F9" s="6" t="s">
        <v>138</v>
      </c>
      <c r="G9" s="6" t="s">
        <v>156</v>
      </c>
      <c r="H9" s="6" t="s">
        <v>160</v>
      </c>
    </row>
    <row r="10" spans="1:8" ht="150" customHeight="1">
      <c r="A10" s="5" t="s">
        <v>51</v>
      </c>
      <c r="B10" s="5" t="s">
        <v>52</v>
      </c>
      <c r="C10" s="5" t="s">
        <v>53</v>
      </c>
      <c r="D10" s="5" t="s">
        <v>54</v>
      </c>
      <c r="E10" s="5" t="s">
        <v>26</v>
      </c>
      <c r="F10" s="6" t="s">
        <v>138</v>
      </c>
      <c r="G10" s="6" t="s">
        <v>156</v>
      </c>
      <c r="H10" s="6" t="s">
        <v>161</v>
      </c>
    </row>
    <row r="11" spans="1:8" ht="150" customHeight="1">
      <c r="A11" s="5" t="s">
        <v>55</v>
      </c>
      <c r="B11" s="5" t="s">
        <v>56</v>
      </c>
      <c r="C11" s="5" t="s">
        <v>57</v>
      </c>
      <c r="D11" s="5" t="s">
        <v>58</v>
      </c>
      <c r="E11" s="5" t="s">
        <v>59</v>
      </c>
      <c r="F11" s="6" t="s">
        <v>137</v>
      </c>
      <c r="G11" s="6" t="s">
        <v>153</v>
      </c>
      <c r="H11" s="6" t="s">
        <v>162</v>
      </c>
    </row>
    <row r="12" spans="1:8" ht="150" customHeight="1">
      <c r="A12" s="5" t="s">
        <v>60</v>
      </c>
      <c r="B12" s="5" t="s">
        <v>61</v>
      </c>
      <c r="C12" s="5" t="s">
        <v>62</v>
      </c>
      <c r="D12" s="5" t="s">
        <v>63</v>
      </c>
      <c r="E12" s="5" t="s">
        <v>26</v>
      </c>
      <c r="F12" s="6" t="s">
        <v>137</v>
      </c>
      <c r="G12" s="6" t="s">
        <v>153</v>
      </c>
      <c r="H12" s="6" t="s">
        <v>163</v>
      </c>
    </row>
    <row r="13" spans="1:8" ht="150" customHeight="1">
      <c r="A13" s="5" t="s">
        <v>64</v>
      </c>
      <c r="B13" s="5" t="s">
        <v>65</v>
      </c>
      <c r="C13" s="5" t="s">
        <v>66</v>
      </c>
      <c r="D13" s="5" t="s">
        <v>67</v>
      </c>
      <c r="E13" s="5" t="s">
        <v>26</v>
      </c>
      <c r="F13" s="6" t="s">
        <v>138</v>
      </c>
      <c r="G13" s="6" t="s">
        <v>156</v>
      </c>
      <c r="H13" s="6" t="s">
        <v>164</v>
      </c>
    </row>
    <row r="14" spans="1:8" ht="150" customHeight="1">
      <c r="A14" s="5" t="s">
        <v>68</v>
      </c>
      <c r="B14" s="5" t="s">
        <v>69</v>
      </c>
      <c r="C14" s="5" t="s">
        <v>70</v>
      </c>
      <c r="D14" s="5" t="s">
        <v>71</v>
      </c>
      <c r="E14" s="5" t="s">
        <v>72</v>
      </c>
      <c r="F14" s="6" t="s">
        <v>138</v>
      </c>
      <c r="G14" s="6" t="s">
        <v>156</v>
      </c>
      <c r="H14" s="6" t="s">
        <v>165</v>
      </c>
    </row>
  </sheetData>
  <dataValidations count="1">
    <dataValidation type="list" allowBlank="1" error="Escoja una de las opciones." sqref="F4:F14" xr:uid="{00000000-0002-0000-0100-000000000000}">
      <formula1>"EXCLUIR con el código ORG,MANTENER en el corpus"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tabSelected="1" workbookViewId="0">
      <pane xSplit="1" ySplit="3" topLeftCell="E5" activePane="bottomRight" state="frozen"/>
      <selection pane="topRight"/>
      <selection pane="bottomLeft"/>
      <selection pane="bottomRight" activeCell="H6" sqref="H6"/>
    </sheetView>
  </sheetViews>
  <sheetFormatPr baseColWidth="10" defaultColWidth="8.88671875" defaultRowHeight="14.4"/>
  <cols>
    <col min="1" max="1" width="10" customWidth="1"/>
    <col min="2" max="2" width="40" customWidth="1"/>
    <col min="3" max="4" width="60" customWidth="1"/>
    <col min="5" max="5" width="42" customWidth="1"/>
    <col min="6" max="6" width="30" customWidth="1"/>
    <col min="7" max="7" width="36" customWidth="1"/>
    <col min="8" max="8" width="40" customWidth="1"/>
  </cols>
  <sheetData>
    <row r="1" spans="1:8" ht="17.399999999999999">
      <c r="A1" s="3" t="s">
        <v>73</v>
      </c>
    </row>
    <row r="3" spans="1:8">
      <c r="A3" s="4" t="s">
        <v>14</v>
      </c>
      <c r="B3" s="4" t="s">
        <v>15</v>
      </c>
      <c r="C3" s="4" t="s">
        <v>16</v>
      </c>
      <c r="D3" s="4" t="s">
        <v>17</v>
      </c>
      <c r="E3" s="4" t="s">
        <v>18</v>
      </c>
      <c r="F3" s="4" t="s">
        <v>19</v>
      </c>
      <c r="G3" s="4" t="s">
        <v>20</v>
      </c>
      <c r="H3" s="4" t="s">
        <v>21</v>
      </c>
    </row>
    <row r="4" spans="1:8" ht="150" customHeight="1">
      <c r="A4" s="5" t="s">
        <v>74</v>
      </c>
      <c r="B4" s="5" t="s">
        <v>75</v>
      </c>
      <c r="C4" s="5" t="s">
        <v>76</v>
      </c>
      <c r="D4" s="5" t="s">
        <v>77</v>
      </c>
      <c r="E4" s="5" t="s">
        <v>26</v>
      </c>
      <c r="F4" s="6" t="s">
        <v>139</v>
      </c>
      <c r="G4" s="6"/>
      <c r="H4" s="6" t="s">
        <v>166</v>
      </c>
    </row>
    <row r="5" spans="1:8" ht="150" customHeight="1">
      <c r="A5" s="5" t="s">
        <v>78</v>
      </c>
      <c r="B5" s="5" t="s">
        <v>79</v>
      </c>
      <c r="C5" s="5" t="s">
        <v>80</v>
      </c>
      <c r="D5" s="5" t="s">
        <v>81</v>
      </c>
      <c r="E5" s="5" t="s">
        <v>26</v>
      </c>
      <c r="F5" s="6" t="s">
        <v>139</v>
      </c>
      <c r="G5" s="6"/>
      <c r="H5" s="6" t="s">
        <v>167</v>
      </c>
    </row>
    <row r="6" spans="1:8" ht="150" customHeight="1">
      <c r="A6" s="5" t="s">
        <v>82</v>
      </c>
      <c r="B6" s="5" t="s">
        <v>83</v>
      </c>
      <c r="C6" s="5" t="s">
        <v>84</v>
      </c>
      <c r="D6" s="5" t="s">
        <v>85</v>
      </c>
      <c r="E6" s="5" t="s">
        <v>86</v>
      </c>
      <c r="F6" s="6" t="s">
        <v>139</v>
      </c>
      <c r="G6" s="6"/>
      <c r="H6" s="6" t="s">
        <v>168</v>
      </c>
    </row>
  </sheetData>
  <dataValidations count="1">
    <dataValidation type="list" allowBlank="1" error="Escoja una de las opciones." sqref="F4:F6" xr:uid="{00000000-0002-0000-0200-000000000000}">
      <formula1>"MANTENER y declararlo; como EST-001 y EST-094,EXCLUIR"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workbookViewId="0">
      <pane xSplit="1" ySplit="3" topLeftCell="C11" activePane="bottomRight" state="frozen"/>
      <selection pane="topRight"/>
      <selection pane="bottomLeft"/>
      <selection pane="bottomRight" activeCell="G12" sqref="G12"/>
    </sheetView>
  </sheetViews>
  <sheetFormatPr baseColWidth="10" defaultColWidth="8.88671875" defaultRowHeight="14.4"/>
  <cols>
    <col min="1" max="1" width="10" customWidth="1"/>
    <col min="2" max="2" width="50" customWidth="1"/>
    <col min="3" max="3" width="70" customWidth="1"/>
    <col min="4" max="4" width="42" customWidth="1"/>
    <col min="5" max="5" width="30" customWidth="1"/>
    <col min="6" max="6" width="36" customWidth="1"/>
    <col min="7" max="7" width="40" customWidth="1"/>
  </cols>
  <sheetData>
    <row r="1" spans="1:7" ht="17.399999999999999">
      <c r="A1" s="3" t="s">
        <v>87</v>
      </c>
    </row>
    <row r="3" spans="1:7">
      <c r="A3" s="4" t="s">
        <v>14</v>
      </c>
      <c r="B3" s="4" t="s">
        <v>88</v>
      </c>
      <c r="C3" s="4" t="s">
        <v>16</v>
      </c>
      <c r="D3" s="4" t="s">
        <v>89</v>
      </c>
      <c r="E3" s="4" t="s">
        <v>19</v>
      </c>
      <c r="F3" s="4" t="s">
        <v>20</v>
      </c>
      <c r="G3" s="4" t="s">
        <v>21</v>
      </c>
    </row>
    <row r="4" spans="1:7" ht="150" customHeight="1">
      <c r="A4" s="5" t="s">
        <v>90</v>
      </c>
      <c r="B4" s="5" t="s">
        <v>91</v>
      </c>
      <c r="C4" s="5" t="s">
        <v>92</v>
      </c>
      <c r="D4" s="5" t="s">
        <v>93</v>
      </c>
      <c r="E4" s="6" t="s">
        <v>140</v>
      </c>
      <c r="F4" s="6"/>
      <c r="G4" s="6" t="s">
        <v>169</v>
      </c>
    </row>
    <row r="5" spans="1:7" ht="150" customHeight="1">
      <c r="A5" s="5" t="s">
        <v>94</v>
      </c>
      <c r="B5" s="5" t="s">
        <v>95</v>
      </c>
      <c r="C5" s="5" t="s">
        <v>96</v>
      </c>
      <c r="D5" s="5" t="s">
        <v>97</v>
      </c>
      <c r="E5" s="6" t="s">
        <v>141</v>
      </c>
      <c r="F5" s="6"/>
      <c r="G5" s="6" t="s">
        <v>170</v>
      </c>
    </row>
    <row r="6" spans="1:7" ht="150" customHeight="1">
      <c r="A6" s="5" t="s">
        <v>98</v>
      </c>
      <c r="B6" s="5" t="s">
        <v>99</v>
      </c>
      <c r="C6" s="5" t="s">
        <v>100</v>
      </c>
      <c r="D6" s="5" t="s">
        <v>101</v>
      </c>
      <c r="E6" s="6" t="s">
        <v>142</v>
      </c>
      <c r="F6" s="6"/>
      <c r="G6" s="6" t="s">
        <v>171</v>
      </c>
    </row>
    <row r="7" spans="1:7" ht="150" customHeight="1">
      <c r="A7" s="5" t="s">
        <v>102</v>
      </c>
      <c r="B7" s="5" t="s">
        <v>103</v>
      </c>
      <c r="C7" s="5" t="s">
        <v>104</v>
      </c>
      <c r="D7" s="5" t="s">
        <v>105</v>
      </c>
      <c r="E7" s="6" t="s">
        <v>143</v>
      </c>
      <c r="F7" s="6"/>
      <c r="G7" s="6" t="s">
        <v>172</v>
      </c>
    </row>
    <row r="8" spans="1:7" ht="150" customHeight="1">
      <c r="A8" s="5" t="s">
        <v>106</v>
      </c>
      <c r="B8" s="5" t="s">
        <v>107</v>
      </c>
      <c r="C8" s="5" t="s">
        <v>108</v>
      </c>
      <c r="D8" s="5" t="s">
        <v>109</v>
      </c>
      <c r="E8" s="6" t="s">
        <v>144</v>
      </c>
      <c r="F8" s="6"/>
      <c r="G8" s="6" t="s">
        <v>173</v>
      </c>
    </row>
    <row r="9" spans="1:7" ht="150" customHeight="1">
      <c r="A9" s="5" t="s">
        <v>110</v>
      </c>
      <c r="B9" s="5" t="s">
        <v>111</v>
      </c>
      <c r="C9" s="5" t="s">
        <v>112</v>
      </c>
      <c r="D9" s="5" t="s">
        <v>113</v>
      </c>
      <c r="E9" s="6" t="s">
        <v>145</v>
      </c>
      <c r="F9" s="6"/>
      <c r="G9" s="6" t="s">
        <v>174</v>
      </c>
    </row>
    <row r="10" spans="1:7" ht="150" customHeight="1">
      <c r="A10" s="5" t="s">
        <v>114</v>
      </c>
      <c r="B10" s="5" t="s">
        <v>115</v>
      </c>
      <c r="C10" s="5" t="s">
        <v>116</v>
      </c>
      <c r="D10" s="5" t="s">
        <v>117</v>
      </c>
      <c r="E10" s="6" t="s">
        <v>175</v>
      </c>
      <c r="F10" s="6"/>
      <c r="G10" s="6" t="s">
        <v>176</v>
      </c>
    </row>
    <row r="11" spans="1:7" ht="150" customHeight="1">
      <c r="A11" s="5" t="s">
        <v>118</v>
      </c>
      <c r="B11" s="5" t="s">
        <v>119</v>
      </c>
      <c r="C11" s="5" t="s">
        <v>120</v>
      </c>
      <c r="D11" s="5" t="s">
        <v>121</v>
      </c>
      <c r="E11" s="6" t="s">
        <v>146</v>
      </c>
      <c r="F11" s="6"/>
      <c r="G11" s="6" t="s">
        <v>177</v>
      </c>
    </row>
    <row r="12" spans="1:7" ht="150" customHeight="1">
      <c r="A12" s="5" t="s">
        <v>122</v>
      </c>
      <c r="B12" s="5" t="s">
        <v>123</v>
      </c>
      <c r="C12" s="5" t="s">
        <v>124</v>
      </c>
      <c r="D12" s="5" t="s">
        <v>125</v>
      </c>
      <c r="E12" s="6" t="s">
        <v>147</v>
      </c>
      <c r="F12" s="6"/>
      <c r="G12" s="6" t="s">
        <v>178</v>
      </c>
    </row>
  </sheetData>
  <dataValidations count="9">
    <dataValidation type="list" allowBlank="1" error="Escoja una de las opciones." sqref="E4" xr:uid="{00000000-0002-0000-0300-000000000000}">
      <formula1>"Dejar A en «yes» y B en «no»,Poner los dos en «not-derivable»"</formula1>
    </dataValidation>
    <dataValidation type="list" allowBlank="1" error="Escoja una de las opciones." sqref="E5" xr:uid="{00000000-0002-0000-0300-000001000000}">
      <formula1>"Dejar el brazo en «no»,Poner «not-derivable»"</formula1>
    </dataValidation>
    <dataValidation type="list" allowBlank="1" error="Escoja una de las opciones." sqref="E6" xr:uid="{00000000-0002-0000-0300-000002000000}">
      <formula1>"Corregir a «not-classifiable»,Dejar «PDR» y declarar que no se sostiene,Partir el brazo por paciente (requiere reextraer desenlaces)"</formula1>
    </dataValidation>
    <dataValidation type="list" allowBlank="1" error="Escoja una de las opciones." sqref="E7" xr:uid="{00000000-0002-0000-0300-000003000000}">
      <formula1>"Dejar «no»,Poner «yes» (manda el aislado 2),Poner «not-derivable»"</formula1>
    </dataValidation>
    <dataValidation type="list" allowBlank="1" error="Escoja una de las opciones." sqref="E8" xr:uid="{00000000-0002-0000-0300-000004000000}">
      <formula1>"Corregir a «not-classifiable»,Dejar «MDR»"</formula1>
    </dataValidation>
    <dataValidation type="list" allowBlank="1" error="Escoja una de las opciones." sqref="E9" xr:uid="{00000000-0002-0000-0300-000005000000}">
      <formula1>"Dejar «no» (la «I» de EUCAST es sensible),Poner «yes» (la «I» cuenta como no sensible; Kadri)"</formula1>
    </dataValidation>
    <dataValidation type="list" allowBlank="1" error="Escoja una de las opciones." sqref="E10" xr:uid="{00000000-0002-0000-0300-000006000000}">
      <formula1>"Corregir a «below-MDR-threshold»,Corregir a «not-classifiable»,Dejar «MDR»"</formula1>
    </dataValidation>
    <dataValidation type="list" allowBlank="1" error="Escoja una de las opciones." sqref="E11" xr:uid="{00000000-0002-0000-0300-000007000000}">
      <formula1>"Manda el aislado del día de la fagoterapia: «below-MDR-threshold»,Manda el aislado PA02: «XDR» y DTR «yes»,Corregir a «not-classifiable»"</formula1>
    </dataValidation>
    <dataValidation type="list" allowBlank="1" error="Escoja una de las opciones." sqref="E12" xr:uid="{00000000-0002-0000-0300-000008000000}">
      <formula1>"Dejar «not-classifiable» y declararlo mixto,Partir el brazo por paciente (requiere reextraer desenlaces)"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topLeftCell="A2" workbookViewId="0">
      <selection activeCell="A15" sqref="A15"/>
    </sheetView>
  </sheetViews>
  <sheetFormatPr baseColWidth="10" defaultColWidth="8.88671875" defaultRowHeight="14.4"/>
  <cols>
    <col min="1" max="1" width="58" customWidth="1"/>
    <col min="2" max="2" width="70" customWidth="1"/>
  </cols>
  <sheetData>
    <row r="1" spans="1:2" ht="17.399999999999999">
      <c r="A1" s="3" t="s">
        <v>126</v>
      </c>
    </row>
    <row r="3" spans="1:2" ht="48" customHeight="1">
      <c r="A3" s="5" t="s">
        <v>127</v>
      </c>
      <c r="B3" s="6" t="s">
        <v>148</v>
      </c>
    </row>
    <row r="5" spans="1:2" ht="48" customHeight="1">
      <c r="A5" s="5" t="s">
        <v>128</v>
      </c>
      <c r="B5" s="6"/>
    </row>
    <row r="7" spans="1:2" ht="48" customHeight="1">
      <c r="A7" s="5" t="s">
        <v>129</v>
      </c>
      <c r="B7" s="6" t="s">
        <v>149</v>
      </c>
    </row>
    <row r="9" spans="1:2" ht="79.95" customHeight="1">
      <c r="A9" s="5" t="s">
        <v>130</v>
      </c>
    </row>
  </sheetData>
  <dataValidations count="2">
    <dataValidation type="list" allowBlank="1" sqref="B3" xr:uid="{00000000-0002-0000-0400-000000000000}">
      <formula1>"La leímos los dos; cada uno los artículos completos,La leyó un autor y la revisó el otro,Con un modelo de lenguaje y la revisamos los dos,Otra: la explicamos en «por qué»"</formula1>
    </dataValidation>
    <dataValidation type="list" allowBlank="1" sqref="B7" xr:uid="{00000000-0002-0000-0400-000001000000}">
      <formula1>"Sí; todas,Algunas: decid cuáles en la casilla de al lado,No"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election activeCell="A7" sqref="A7"/>
    </sheetView>
  </sheetViews>
  <sheetFormatPr baseColWidth="10" defaultColWidth="8.88671875" defaultRowHeight="14.4"/>
  <cols>
    <col min="1" max="1" width="46" customWidth="1"/>
    <col min="2" max="2" width="54" customWidth="1"/>
  </cols>
  <sheetData>
    <row r="1" spans="1:2">
      <c r="A1" s="1" t="s">
        <v>131</v>
      </c>
    </row>
    <row r="2" spans="1:2">
      <c r="A2" t="s">
        <v>132</v>
      </c>
    </row>
    <row r="4" spans="1:2">
      <c r="A4" s="1" t="s">
        <v>133</v>
      </c>
      <c r="B4" s="7" t="s">
        <v>150</v>
      </c>
    </row>
    <row r="5" spans="1:2">
      <c r="A5" s="1" t="s">
        <v>134</v>
      </c>
      <c r="B5" s="7" t="s">
        <v>151</v>
      </c>
    </row>
    <row r="6" spans="1:2">
      <c r="A6" s="1" t="s">
        <v>135</v>
      </c>
      <c r="B6" s="8">
        <v>46296</v>
      </c>
    </row>
    <row r="7" spans="1:2">
      <c r="A7" s="1" t="s">
        <v>136</v>
      </c>
      <c r="B7" s="7"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Empieza aqui</vt:lpstr>
      <vt:lpstr>1 Sin P. aeruginosa</vt:lpstr>
      <vt:lpstr>2 Bajo el umbral</vt:lpstr>
      <vt:lpstr>3 Clase y DTR abiertos</vt:lpstr>
      <vt:lpstr>4 Cómo se hizo</vt:lpstr>
      <vt:lpstr>Firma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2026-10-01T19:25:08Z</dcterms:created>
  <dcterms:modified xsi:type="dcterms:W3CDTF">2026-10-02T00:28:59Z</dcterms:modified>
</cp:coreProperties>
</file>